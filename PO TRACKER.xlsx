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NBES\Documents\Desktop files 24.03.2025\Files 24.3.25\OneDrive\Desktop\"/>
    </mc:Choice>
  </mc:AlternateContent>
  <xr:revisionPtr revIDLastSave="0" documentId="13_ncr:1_{3A685178-11D5-410A-A772-4FE14961DE23}" xr6:coauthVersionLast="47" xr6:coauthVersionMax="47" xr10:uidLastSave="{00000000-0000-0000-0000-000000000000}"/>
  <bookViews>
    <workbookView xWindow="-108" yWindow="-108" windowWidth="23256" windowHeight="12576" xr2:uid="{00000000-000D-0000-FFFF-FFFF00000000}"/>
  </bookViews>
  <sheets>
    <sheet name="HCL PO" sheetId="5" r:id="rId1"/>
    <sheet name="Pending PO" sheetId="19" r:id="rId2"/>
    <sheet name="DLF MALL" sheetId="12" r:id="rId3"/>
    <sheet name="Sheet1" sheetId="18" r:id="rId4"/>
    <sheet name="Satya Praksh" sheetId="16" r:id="rId5"/>
    <sheet name="HCL Sec-60" sheetId="10" r:id="rId6"/>
    <sheet name="8100014714" sheetId="7" r:id="rId7"/>
    <sheet name="Metlife" sheetId="14" r:id="rId8"/>
  </sheets>
  <definedNames>
    <definedName name="_xlnm._FilterDatabase" localSheetId="0" hidden="1">'HCL PO'!$A$2:$W$2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490" i="5" l="1"/>
  <c r="Q2481" i="5"/>
  <c r="S2481" i="5"/>
  <c r="T2481" i="5"/>
  <c r="Q2482" i="5"/>
  <c r="S2482" i="5" s="1"/>
  <c r="Q2483" i="5"/>
  <c r="T2483" i="5" s="1"/>
  <c r="S2483" i="5"/>
  <c r="Q2484" i="5"/>
  <c r="S2484" i="5"/>
  <c r="T2484" i="5"/>
  <c r="Q2485" i="5"/>
  <c r="S2485" i="5"/>
  <c r="T2485" i="5"/>
  <c r="Q2486" i="5"/>
  <c r="S2486" i="5" s="1"/>
  <c r="Q2487" i="5"/>
  <c r="T2487" i="5" s="1"/>
  <c r="S2487" i="5"/>
  <c r="T2480" i="5"/>
  <c r="S2480" i="5"/>
  <c r="Q2480" i="5"/>
  <c r="T2482" i="5" l="1"/>
  <c r="T2486" i="5"/>
  <c r="Q2426" i="5" l="1"/>
  <c r="S2426" i="5" s="1"/>
  <c r="T2426" i="5" s="1"/>
  <c r="Q2427" i="5"/>
  <c r="S2427" i="5" s="1"/>
  <c r="T2427" i="5" s="1"/>
  <c r="Q2428" i="5"/>
  <c r="S2428" i="5" s="1"/>
  <c r="T2428" i="5" s="1"/>
  <c r="Q2429" i="5"/>
  <c r="S2429" i="5" s="1"/>
  <c r="T2429" i="5" s="1"/>
  <c r="Q2430" i="5"/>
  <c r="S2430" i="5" s="1"/>
  <c r="Q2431" i="5"/>
  <c r="S2431" i="5" s="1"/>
  <c r="Q2432" i="5"/>
  <c r="Q2433" i="5"/>
  <c r="S2433" i="5" s="1"/>
  <c r="Q2434" i="5"/>
  <c r="S2434" i="5"/>
  <c r="Q2435" i="5"/>
  <c r="S2435" i="5" s="1"/>
  <c r="T2435" i="5" s="1"/>
  <c r="Q2436" i="5"/>
  <c r="S2436" i="5" s="1"/>
  <c r="Q2437" i="5"/>
  <c r="S2437" i="5" s="1"/>
  <c r="Q2438" i="5"/>
  <c r="Q2439" i="5"/>
  <c r="S2439" i="5" s="1"/>
  <c r="Q2440" i="5"/>
  <c r="S2440" i="5" s="1"/>
  <c r="T2440" i="5" s="1"/>
  <c r="Q2441" i="5"/>
  <c r="S2441" i="5" s="1"/>
  <c r="Q2442" i="5"/>
  <c r="S2442" i="5" s="1"/>
  <c r="Q2443" i="5"/>
  <c r="S2443" i="5"/>
  <c r="Q2444" i="5"/>
  <c r="S2444" i="5" s="1"/>
  <c r="Q2445" i="5"/>
  <c r="S2445" i="5" s="1"/>
  <c r="Q2446" i="5"/>
  <c r="S2446" i="5" s="1"/>
  <c r="Q2447" i="5"/>
  <c r="S2447" i="5" s="1"/>
  <c r="Q2448" i="5"/>
  <c r="Q2449" i="5"/>
  <c r="S2449" i="5" s="1"/>
  <c r="Q2450" i="5"/>
  <c r="S2450" i="5"/>
  <c r="Q2451" i="5"/>
  <c r="S2451" i="5" s="1"/>
  <c r="T2451" i="5" s="1"/>
  <c r="Q2452" i="5"/>
  <c r="S2452" i="5" s="1"/>
  <c r="Q2453" i="5"/>
  <c r="S2453" i="5" s="1"/>
  <c r="Q2454" i="5"/>
  <c r="Q2455" i="5"/>
  <c r="S2455" i="5" s="1"/>
  <c r="Q2456" i="5"/>
  <c r="S2456" i="5" s="1"/>
  <c r="T2456" i="5" s="1"/>
  <c r="Q2457" i="5"/>
  <c r="S2457" i="5" s="1"/>
  <c r="Q2458" i="5"/>
  <c r="S2458" i="5" s="1"/>
  <c r="Q2459" i="5"/>
  <c r="S2459" i="5" s="1"/>
  <c r="Q2460" i="5"/>
  <c r="S2460" i="5" s="1"/>
  <c r="Q2461" i="5"/>
  <c r="S2461" i="5" s="1"/>
  <c r="Q2462" i="5"/>
  <c r="S2462" i="5" s="1"/>
  <c r="T2425" i="5"/>
  <c r="S2425" i="5"/>
  <c r="Q2425" i="5"/>
  <c r="T2460" i="5" l="1"/>
  <c r="T2459" i="5"/>
  <c r="T2455" i="5"/>
  <c r="T2444" i="5"/>
  <c r="T2443" i="5"/>
  <c r="T2439" i="5"/>
  <c r="S2448" i="5"/>
  <c r="T2448" i="5" s="1"/>
  <c r="S2432" i="5"/>
  <c r="T2432" i="5" s="1"/>
  <c r="T2450" i="5"/>
  <c r="T2434" i="5"/>
  <c r="T2462" i="5"/>
  <c r="T2452" i="5"/>
  <c r="T2447" i="5"/>
  <c r="T2446" i="5"/>
  <c r="T2436" i="5"/>
  <c r="T2431" i="5"/>
  <c r="T2458" i="5"/>
  <c r="S2454" i="5"/>
  <c r="T2454" i="5" s="1"/>
  <c r="T2442" i="5"/>
  <c r="S2438" i="5"/>
  <c r="T2438" i="5" s="1"/>
  <c r="T2461" i="5"/>
  <c r="T2457" i="5"/>
  <c r="T2453" i="5"/>
  <c r="T2449" i="5"/>
  <c r="T2445" i="5"/>
  <c r="T2441" i="5"/>
  <c r="T2437" i="5"/>
  <c r="T2433" i="5"/>
  <c r="T2430" i="5"/>
  <c r="T2465" i="5" l="1"/>
  <c r="Q2322" i="5" l="1"/>
  <c r="S2322" i="5" s="1"/>
  <c r="S2321" i="5"/>
  <c r="Q2321" i="5"/>
  <c r="T2321" i="5" s="1"/>
  <c r="J2594" i="5"/>
  <c r="Q2594" i="5"/>
  <c r="S2594" i="5" s="1"/>
  <c r="T2594" i="5" s="1"/>
  <c r="J2595" i="5"/>
  <c r="Q2595" i="5"/>
  <c r="S2595" i="5" s="1"/>
  <c r="T2595" i="5" s="1"/>
  <c r="J2596" i="5"/>
  <c r="Q2596" i="5"/>
  <c r="S2596" i="5" s="1"/>
  <c r="T2596" i="5" s="1"/>
  <c r="J2597" i="5"/>
  <c r="Q2597" i="5"/>
  <c r="S2597" i="5" s="1"/>
  <c r="T2597" i="5" s="1"/>
  <c r="Q2598" i="5"/>
  <c r="S2598" i="5" s="1"/>
  <c r="T2598" i="5" s="1"/>
  <c r="Q2599" i="5"/>
  <c r="S2599" i="5" s="1"/>
  <c r="T2599" i="5" s="1"/>
  <c r="Q2600" i="5"/>
  <c r="S2600" i="5" s="1"/>
  <c r="T2600" i="5" s="1"/>
  <c r="J2601" i="5"/>
  <c r="Q2601" i="5"/>
  <c r="S2601" i="5" s="1"/>
  <c r="T2601" i="5" s="1"/>
  <c r="J2602" i="5"/>
  <c r="Q2602" i="5"/>
  <c r="S2602" i="5" s="1"/>
  <c r="T2602" i="5" s="1"/>
  <c r="J2603" i="5"/>
  <c r="Q2603" i="5"/>
  <c r="S2603" i="5" s="1"/>
  <c r="T2603" i="5" s="1"/>
  <c r="J2604" i="5"/>
  <c r="Q2604" i="5"/>
  <c r="S2604" i="5" s="1"/>
  <c r="T2604" i="5" s="1"/>
  <c r="J2605" i="5"/>
  <c r="Q2605" i="5"/>
  <c r="S2605" i="5" s="1"/>
  <c r="T2605" i="5" s="1"/>
  <c r="J2606" i="5"/>
  <c r="Q2606" i="5"/>
  <c r="S2606" i="5" s="1"/>
  <c r="T2606" i="5" s="1"/>
  <c r="J2607" i="5"/>
  <c r="Q2607" i="5"/>
  <c r="S2607" i="5" s="1"/>
  <c r="T2607" i="5" s="1"/>
  <c r="J2608" i="5"/>
  <c r="Q2608" i="5"/>
  <c r="S2608" i="5" s="1"/>
  <c r="T2608" i="5" s="1"/>
  <c r="J2609" i="5"/>
  <c r="Q2609" i="5"/>
  <c r="S2609" i="5" s="1"/>
  <c r="T2609" i="5" s="1"/>
  <c r="J2610" i="5"/>
  <c r="Q2610" i="5"/>
  <c r="S2610" i="5" s="1"/>
  <c r="T2610" i="5" s="1"/>
  <c r="J2611" i="5"/>
  <c r="Q2611" i="5"/>
  <c r="S2611" i="5" s="1"/>
  <c r="T2611" i="5" s="1"/>
  <c r="J2612" i="5"/>
  <c r="Q2612" i="5"/>
  <c r="S2612" i="5" s="1"/>
  <c r="T2612" i="5" s="1"/>
  <c r="J2613" i="5"/>
  <c r="Q2613" i="5"/>
  <c r="S2613" i="5" s="1"/>
  <c r="T2613" i="5" s="1"/>
  <c r="J2614" i="5"/>
  <c r="Q2614" i="5"/>
  <c r="S2614" i="5" s="1"/>
  <c r="T2614" i="5" s="1"/>
  <c r="J2615" i="5"/>
  <c r="Q2615" i="5"/>
  <c r="S2615" i="5" s="1"/>
  <c r="T2615" i="5" s="1"/>
  <c r="J2616" i="5"/>
  <c r="Q2616" i="5"/>
  <c r="S2616" i="5" s="1"/>
  <c r="T2616" i="5" s="1"/>
  <c r="J2617" i="5"/>
  <c r="Q2617" i="5"/>
  <c r="S2617" i="5" s="1"/>
  <c r="T2617" i="5" s="1"/>
  <c r="J2618" i="5"/>
  <c r="Q2618" i="5"/>
  <c r="S2618" i="5" s="1"/>
  <c r="T2618" i="5" s="1"/>
  <c r="J2619" i="5"/>
  <c r="Q2619" i="5"/>
  <c r="S2619" i="5" s="1"/>
  <c r="T2619" i="5" s="1"/>
  <c r="J2620" i="5"/>
  <c r="Q2620" i="5"/>
  <c r="S2620" i="5" s="1"/>
  <c r="T2620" i="5" s="1"/>
  <c r="J2621" i="5"/>
  <c r="Q2621" i="5"/>
  <c r="S2621" i="5" s="1"/>
  <c r="T2621" i="5" s="1"/>
  <c r="J2622" i="5"/>
  <c r="Q2622" i="5"/>
  <c r="S2622" i="5" s="1"/>
  <c r="T2622" i="5" s="1"/>
  <c r="J2623" i="5"/>
  <c r="Q2623" i="5"/>
  <c r="S2623" i="5" s="1"/>
  <c r="T2623" i="5" s="1"/>
  <c r="J2624" i="5"/>
  <c r="Q2624" i="5"/>
  <c r="S2624" i="5" s="1"/>
  <c r="T2624" i="5" s="1"/>
  <c r="J2625" i="5"/>
  <c r="Q2625" i="5"/>
  <c r="S2625" i="5" s="1"/>
  <c r="T2625" i="5" s="1"/>
  <c r="J2626" i="5"/>
  <c r="Q2626" i="5"/>
  <c r="S2626" i="5" s="1"/>
  <c r="T2626" i="5" s="1"/>
  <c r="J2627" i="5"/>
  <c r="Q2627" i="5"/>
  <c r="S2627" i="5" s="1"/>
  <c r="T2627" i="5" s="1"/>
  <c r="J2628" i="5"/>
  <c r="Q2628" i="5"/>
  <c r="S2628" i="5" s="1"/>
  <c r="T2628" i="5" s="1"/>
  <c r="T2322" i="5" l="1"/>
  <c r="T2325" i="5" s="1"/>
  <c r="Q2519" i="5"/>
  <c r="S2519" i="5" s="1"/>
  <c r="Q2520" i="5"/>
  <c r="S2520" i="5" s="1"/>
  <c r="Q2521" i="5"/>
  <c r="Q2522" i="5"/>
  <c r="S2522" i="5" s="1"/>
  <c r="Q2523" i="5"/>
  <c r="S2523" i="5" s="1"/>
  <c r="Q2524" i="5"/>
  <c r="Q2525" i="5"/>
  <c r="S2525" i="5" s="1"/>
  <c r="T2525" i="5" s="1"/>
  <c r="Q2526" i="5"/>
  <c r="S2526" i="5" s="1"/>
  <c r="T2526" i="5" s="1"/>
  <c r="Q2527" i="5"/>
  <c r="S2527" i="5" s="1"/>
  <c r="Q2528" i="5"/>
  <c r="S2528" i="5" s="1"/>
  <c r="Q2529" i="5"/>
  <c r="S2529" i="5" s="1"/>
  <c r="T2529" i="5" s="1"/>
  <c r="Q2530" i="5"/>
  <c r="S2530" i="5" s="1"/>
  <c r="T2530" i="5" s="1"/>
  <c r="Q2535" i="5"/>
  <c r="S2535" i="5" s="1"/>
  <c r="Q2536" i="5"/>
  <c r="Q2537" i="5"/>
  <c r="S2537" i="5" s="1"/>
  <c r="T2537" i="5" s="1"/>
  <c r="Q2538" i="5"/>
  <c r="S2538" i="5" s="1"/>
  <c r="T2538" i="5" s="1"/>
  <c r="Q2540" i="5"/>
  <c r="S2540" i="5" s="1"/>
  <c r="T2540" i="5" s="1"/>
  <c r="Q2541" i="5"/>
  <c r="S2541" i="5" s="1"/>
  <c r="T2541" i="5" s="1"/>
  <c r="Q2542" i="5"/>
  <c r="S2542" i="5" s="1"/>
  <c r="Q2543" i="5"/>
  <c r="S2543" i="5" s="1"/>
  <c r="Q2544" i="5"/>
  <c r="S2544" i="5" s="1"/>
  <c r="T2544" i="5" s="1"/>
  <c r="Q2545" i="5"/>
  <c r="S2545" i="5" s="1"/>
  <c r="T2545" i="5" s="1"/>
  <c r="Q2546" i="5"/>
  <c r="S2546" i="5" s="1"/>
  <c r="Q2547" i="5"/>
  <c r="S2547" i="5" s="1"/>
  <c r="Q2548" i="5"/>
  <c r="S2548" i="5" s="1"/>
  <c r="T2548" i="5" s="1"/>
  <c r="Q2549" i="5"/>
  <c r="S2549" i="5" s="1"/>
  <c r="T2549" i="5" s="1"/>
  <c r="Q2550" i="5"/>
  <c r="Q2551" i="5"/>
  <c r="S2551" i="5" s="1"/>
  <c r="Q2552" i="5"/>
  <c r="S2552" i="5" s="1"/>
  <c r="T2552" i="5" s="1"/>
  <c r="Q2553" i="5"/>
  <c r="S2553" i="5" s="1"/>
  <c r="T2553" i="5" s="1"/>
  <c r="Q2554" i="5"/>
  <c r="S2554" i="5" s="1"/>
  <c r="Q2555" i="5"/>
  <c r="S2555" i="5" s="1"/>
  <c r="Q2556" i="5"/>
  <c r="S2556" i="5" s="1"/>
  <c r="T2556" i="5" s="1"/>
  <c r="Q2561" i="5"/>
  <c r="S2561" i="5" s="1"/>
  <c r="T2561" i="5" s="1"/>
  <c r="Q2566" i="5"/>
  <c r="S2566" i="5" s="1"/>
  <c r="Q2567" i="5"/>
  <c r="S2567" i="5" s="1"/>
  <c r="Q2568" i="5"/>
  <c r="S2568" i="5" s="1"/>
  <c r="T2568" i="5" s="1"/>
  <c r="Q2569" i="5"/>
  <c r="S2569" i="5" s="1"/>
  <c r="T2569" i="5" s="1"/>
  <c r="Q2570" i="5"/>
  <c r="S2570" i="5" s="1"/>
  <c r="Q2571" i="5"/>
  <c r="S2571" i="5" s="1"/>
  <c r="Q2576" i="5"/>
  <c r="S2576" i="5" s="1"/>
  <c r="T2576" i="5" s="1"/>
  <c r="Q2577" i="5"/>
  <c r="S2577" i="5" s="1"/>
  <c r="Q2578" i="5"/>
  <c r="S2578" i="5" s="1"/>
  <c r="Q2579" i="5"/>
  <c r="S2579" i="5" s="1"/>
  <c r="T2579" i="5" s="1"/>
  <c r="Q2580" i="5"/>
  <c r="S2580" i="5" s="1"/>
  <c r="T2580" i="5" s="1"/>
  <c r="Q2581" i="5"/>
  <c r="S2581" i="5" s="1"/>
  <c r="Q2582" i="5"/>
  <c r="S2582" i="5" s="1"/>
  <c r="Q2584" i="5"/>
  <c r="S2584" i="5" s="1"/>
  <c r="T2584" i="5" s="1"/>
  <c r="Q2585" i="5"/>
  <c r="S2585" i="5" s="1"/>
  <c r="T2585" i="5" s="1"/>
  <c r="Q2586" i="5"/>
  <c r="Q2587" i="5"/>
  <c r="S2587" i="5" s="1"/>
  <c r="Q2588" i="5"/>
  <c r="S2588" i="5" s="1"/>
  <c r="T2588" i="5" s="1"/>
  <c r="Q2593" i="5"/>
  <c r="S2593" i="5" s="1"/>
  <c r="T2593" i="5" s="1"/>
  <c r="Q2518" i="5"/>
  <c r="Q2492" i="5"/>
  <c r="S2492" i="5" s="1"/>
  <c r="Q2355" i="5"/>
  <c r="Q2328" i="5"/>
  <c r="Q2329" i="5"/>
  <c r="S2329" i="5" s="1"/>
  <c r="Q2330" i="5"/>
  <c r="S2330" i="5" s="1"/>
  <c r="Q2331" i="5"/>
  <c r="S2331" i="5" s="1"/>
  <c r="T2331" i="5" s="1"/>
  <c r="Q2332" i="5"/>
  <c r="S2332" i="5" s="1"/>
  <c r="Q2327" i="5"/>
  <c r="S2327" i="5" s="1"/>
  <c r="Q2508" i="5"/>
  <c r="S2508" i="5" s="1"/>
  <c r="Q2282" i="5"/>
  <c r="S2282" i="5" s="1"/>
  <c r="T2282" i="5" s="1"/>
  <c r="Q2283" i="5"/>
  <c r="S2283" i="5" s="1"/>
  <c r="Q2284" i="5"/>
  <c r="S2284" i="5" s="1"/>
  <c r="Q2285" i="5"/>
  <c r="S2285" i="5" s="1"/>
  <c r="T2285" i="5" s="1"/>
  <c r="Q2286" i="5"/>
  <c r="Q2287" i="5"/>
  <c r="S2287" i="5" s="1"/>
  <c r="Q2288" i="5"/>
  <c r="S2288" i="5" s="1"/>
  <c r="Q2289" i="5"/>
  <c r="S2289" i="5" s="1"/>
  <c r="T2289" i="5" s="1"/>
  <c r="Q2290" i="5"/>
  <c r="S2290" i="5" s="1"/>
  <c r="T2290" i="5" s="1"/>
  <c r="Q2291" i="5"/>
  <c r="S2291" i="5" s="1"/>
  <c r="Q2292" i="5"/>
  <c r="S2292" i="5" s="1"/>
  <c r="Q2293" i="5"/>
  <c r="S2293" i="5" s="1"/>
  <c r="Q2294" i="5"/>
  <c r="S2294" i="5" s="1"/>
  <c r="T2294" i="5" s="1"/>
  <c r="Q2295" i="5"/>
  <c r="S2295" i="5" s="1"/>
  <c r="Q2281" i="5"/>
  <c r="S2281" i="5" s="1"/>
  <c r="Q2468" i="5"/>
  <c r="S2468" i="5" s="1"/>
  <c r="T2468" i="5" s="1"/>
  <c r="Q2469" i="5"/>
  <c r="S2469" i="5" s="1"/>
  <c r="Q2470" i="5"/>
  <c r="S2470" i="5" s="1"/>
  <c r="Q2471" i="5"/>
  <c r="Q2472" i="5"/>
  <c r="S2472" i="5" s="1"/>
  <c r="Q2473" i="5"/>
  <c r="S2473" i="5" s="1"/>
  <c r="Q2474" i="5"/>
  <c r="Q2475" i="5"/>
  <c r="S2475" i="5" s="1"/>
  <c r="T2475" i="5" s="1"/>
  <c r="Q2467" i="5"/>
  <c r="Q2361" i="5"/>
  <c r="Q2360" i="5"/>
  <c r="S2360" i="5" s="1"/>
  <c r="T2360" i="5" s="1"/>
  <c r="Q2274" i="5"/>
  <c r="S2274" i="5" s="1"/>
  <c r="T2274" i="5" s="1"/>
  <c r="Q2275" i="5"/>
  <c r="S2275" i="5" s="1"/>
  <c r="Q2276" i="5"/>
  <c r="S2276" i="5" s="1"/>
  <c r="Q2273" i="5"/>
  <c r="S2273" i="5" s="1"/>
  <c r="T2273" i="5" s="1"/>
  <c r="J2566" i="5"/>
  <c r="J2567" i="5"/>
  <c r="J2568" i="5"/>
  <c r="J2569" i="5"/>
  <c r="J2570" i="5"/>
  <c r="J2571" i="5"/>
  <c r="J2576" i="5"/>
  <c r="J2577" i="5"/>
  <c r="J2578" i="5"/>
  <c r="J2579" i="5"/>
  <c r="J2584" i="5"/>
  <c r="J2585" i="5"/>
  <c r="J2586" i="5"/>
  <c r="J2587" i="5"/>
  <c r="J2588" i="5"/>
  <c r="Q2214" i="5"/>
  <c r="Q2213" i="5"/>
  <c r="S2213" i="5" s="1"/>
  <c r="T2213" i="5" s="1"/>
  <c r="Q2212" i="5"/>
  <c r="S2212" i="5" s="1"/>
  <c r="T2212" i="5" s="1"/>
  <c r="J2589" i="5" l="1"/>
  <c r="J2590" i="5" s="1"/>
  <c r="J2591" i="5" s="1"/>
  <c r="T2519" i="5"/>
  <c r="T2582" i="5"/>
  <c r="T2554" i="5"/>
  <c r="T2546" i="5"/>
  <c r="T2528" i="5"/>
  <c r="T2522" i="5"/>
  <c r="T2520" i="5"/>
  <c r="S2550" i="5"/>
  <c r="T2550" i="5" s="1"/>
  <c r="S2536" i="5"/>
  <c r="T2536" i="5" s="1"/>
  <c r="S2524" i="5"/>
  <c r="T2524" i="5" s="1"/>
  <c r="T2542" i="5"/>
  <c r="T2570" i="5"/>
  <c r="T2566" i="5"/>
  <c r="T2587" i="5"/>
  <c r="T2578" i="5"/>
  <c r="T2581" i="5"/>
  <c r="T2577" i="5"/>
  <c r="S2586" i="5"/>
  <c r="T2586" i="5" s="1"/>
  <c r="S2521" i="5"/>
  <c r="T2521" i="5" s="1"/>
  <c r="T2571" i="5"/>
  <c r="T2567" i="5"/>
  <c r="T2555" i="5"/>
  <c r="T2551" i="5"/>
  <c r="T2547" i="5"/>
  <c r="T2543" i="5"/>
  <c r="T2535" i="5"/>
  <c r="T2527" i="5"/>
  <c r="T2523" i="5"/>
  <c r="J2572" i="5"/>
  <c r="J2580" i="5"/>
  <c r="T2281" i="5"/>
  <c r="T2327" i="5"/>
  <c r="T2276" i="5"/>
  <c r="S2361" i="5"/>
  <c r="T2361" i="5" s="1"/>
  <c r="T2364" i="5" s="1"/>
  <c r="S2467" i="5"/>
  <c r="T2467" i="5" s="1"/>
  <c r="T2472" i="5"/>
  <c r="S2471" i="5"/>
  <c r="T2471" i="5" s="1"/>
  <c r="T2293" i="5"/>
  <c r="T2292" i="5"/>
  <c r="S2286" i="5"/>
  <c r="T2286" i="5" s="1"/>
  <c r="T2284" i="5"/>
  <c r="T2508" i="5"/>
  <c r="T2332" i="5"/>
  <c r="S2328" i="5"/>
  <c r="T2328" i="5" s="1"/>
  <c r="S2355" i="5"/>
  <c r="T2355" i="5" s="1"/>
  <c r="T2492" i="5"/>
  <c r="S2474" i="5"/>
  <c r="T2474" i="5" s="1"/>
  <c r="T2288" i="5"/>
  <c r="T2330" i="5"/>
  <c r="T2470" i="5"/>
  <c r="T2329" i="5"/>
  <c r="T2283" i="5"/>
  <c r="T2295" i="5"/>
  <c r="T2291" i="5"/>
  <c r="T2287" i="5"/>
  <c r="T2473" i="5"/>
  <c r="T2469" i="5"/>
  <c r="T2275" i="5"/>
  <c r="S2214" i="5"/>
  <c r="T2214" i="5" s="1"/>
  <c r="T2335" i="5" l="1"/>
  <c r="J2581" i="5"/>
  <c r="J2582" i="5" s="1"/>
  <c r="J2573" i="5"/>
  <c r="J2574" i="5" s="1"/>
  <c r="T2478" i="5"/>
  <c r="T2298" i="5"/>
  <c r="T2279" i="5"/>
  <c r="Q2350" i="5"/>
  <c r="S2350" i="5" l="1"/>
  <c r="T2350" i="5" s="1"/>
  <c r="T2353" i="5" s="1"/>
  <c r="Q2391" i="5"/>
  <c r="S2391" i="5" s="1"/>
  <c r="Q2392" i="5"/>
  <c r="S2392" i="5" s="1"/>
  <c r="T2392" i="5" s="1"/>
  <c r="Q2390" i="5"/>
  <c r="S2390" i="5" l="1"/>
  <c r="T2390" i="5" s="1"/>
  <c r="T2391" i="5"/>
  <c r="T2395" i="5" l="1"/>
  <c r="Q2153" i="5"/>
  <c r="S2153" i="5" s="1"/>
  <c r="Q2154" i="5"/>
  <c r="S2154" i="5" s="1"/>
  <c r="Q2155" i="5"/>
  <c r="S2155" i="5" s="1"/>
  <c r="T2155" i="5" l="1"/>
  <c r="T2153" i="5"/>
  <c r="T2154" i="5"/>
  <c r="Q2513" i="5" l="1"/>
  <c r="S2513" i="5" s="1"/>
  <c r="J2520" i="5"/>
  <c r="J2521" i="5"/>
  <c r="J2522" i="5"/>
  <c r="J2523" i="5"/>
  <c r="J2524" i="5"/>
  <c r="J2525" i="5"/>
  <c r="J2526" i="5"/>
  <c r="J2527" i="5"/>
  <c r="J2528" i="5"/>
  <c r="J2529" i="5"/>
  <c r="J2530" i="5"/>
  <c r="J2535" i="5"/>
  <c r="J2536" i="5" s="1"/>
  <c r="J2540" i="5"/>
  <c r="J2541" i="5"/>
  <c r="J2542" i="5"/>
  <c r="J2543" i="5"/>
  <c r="J2544" i="5"/>
  <c r="J2545" i="5"/>
  <c r="J2546" i="5"/>
  <c r="J2547" i="5"/>
  <c r="J2548" i="5"/>
  <c r="J2549" i="5"/>
  <c r="J2550" i="5"/>
  <c r="J2551" i="5"/>
  <c r="J2552" i="5"/>
  <c r="J2553" i="5"/>
  <c r="J2554" i="5"/>
  <c r="J2555" i="5"/>
  <c r="J2556" i="5"/>
  <c r="J2561" i="5"/>
  <c r="J2562" i="5" s="1"/>
  <c r="Q2373" i="5"/>
  <c r="S2373" i="5" s="1"/>
  <c r="T2373" i="5" s="1"/>
  <c r="Q2374" i="5"/>
  <c r="S2374" i="5" s="1"/>
  <c r="Q2375" i="5"/>
  <c r="S2375" i="5" s="1"/>
  <c r="Q2376" i="5"/>
  <c r="S2376" i="5" s="1"/>
  <c r="Q2372" i="5"/>
  <c r="S2372" i="5" s="1"/>
  <c r="T2372" i="5" s="1"/>
  <c r="J2563" i="5" l="1"/>
  <c r="J2564" i="5" s="1"/>
  <c r="J2557" i="5"/>
  <c r="J2558" i="5" s="1"/>
  <c r="J2559" i="5" s="1"/>
  <c r="J2537" i="5"/>
  <c r="J2538" i="5" s="1"/>
  <c r="T2513" i="5"/>
  <c r="S2518" i="5"/>
  <c r="T2518" i="5" s="1"/>
  <c r="T2375" i="5"/>
  <c r="T2376" i="5"/>
  <c r="T2374" i="5"/>
  <c r="T2379" i="5" l="1"/>
  <c r="J2497" i="5"/>
  <c r="J2498" i="5"/>
  <c r="J2499" i="5"/>
  <c r="J2500" i="5"/>
  <c r="J2501" i="5"/>
  <c r="J2502" i="5"/>
  <c r="J2503" i="5"/>
  <c r="J2508" i="5"/>
  <c r="J2509" i="5" s="1"/>
  <c r="J2513" i="5"/>
  <c r="J2514" i="5" s="1"/>
  <c r="J2518" i="5"/>
  <c r="J2519" i="5"/>
  <c r="J2593" i="5"/>
  <c r="J2598" i="5" s="1"/>
  <c r="J2492" i="5"/>
  <c r="J2493" i="5" s="1"/>
  <c r="J2481" i="5"/>
  <c r="J2482" i="5"/>
  <c r="J2483" i="5"/>
  <c r="J2484" i="5"/>
  <c r="J2485" i="5"/>
  <c r="J2486" i="5"/>
  <c r="J2487" i="5"/>
  <c r="J2480" i="5"/>
  <c r="J2599" i="5" l="1"/>
  <c r="J2600" i="5" s="1"/>
  <c r="J2531" i="5"/>
  <c r="J2532" i="5" s="1"/>
  <c r="J2533" i="5" s="1"/>
  <c r="J2515" i="5"/>
  <c r="J2516" i="5" s="1"/>
  <c r="J2504" i="5"/>
  <c r="J2505" i="5" s="1"/>
  <c r="J2506" i="5" s="1"/>
  <c r="J2494" i="5"/>
  <c r="J2495" i="5" s="1"/>
  <c r="J2488" i="5"/>
  <c r="J2489" i="5" s="1"/>
  <c r="J2490" i="5" s="1"/>
  <c r="J2510" i="5"/>
  <c r="J2511" i="5" s="1"/>
  <c r="Q2048" i="5" l="1"/>
  <c r="Q2107" i="5"/>
  <c r="S2107" i="5" s="1"/>
  <c r="Q2108" i="5"/>
  <c r="S2108" i="5" s="1"/>
  <c r="Q2109" i="5"/>
  <c r="S2109" i="5" s="1"/>
  <c r="Q2110" i="5"/>
  <c r="S2110" i="5" s="1"/>
  <c r="Q2111" i="5"/>
  <c r="S2111" i="5" s="1"/>
  <c r="Q2112" i="5"/>
  <c r="S2112" i="5" s="1"/>
  <c r="Q2113" i="5"/>
  <c r="S2113" i="5" s="1"/>
  <c r="T2113" i="5" s="1"/>
  <c r="Q2114" i="5"/>
  <c r="S2114" i="5" s="1"/>
  <c r="Q2115" i="5"/>
  <c r="S2115" i="5" s="1"/>
  <c r="Q2116" i="5"/>
  <c r="S2116" i="5" s="1"/>
  <c r="Q2117" i="5"/>
  <c r="S2117" i="5" s="1"/>
  <c r="T2117" i="5" s="1"/>
  <c r="Q2118" i="5"/>
  <c r="S2118" i="5" s="1"/>
  <c r="T2118" i="5" s="1"/>
  <c r="Q2119" i="5"/>
  <c r="S2119" i="5" s="1"/>
  <c r="Q2120" i="5"/>
  <c r="S2120" i="5" s="1"/>
  <c r="Q2121" i="5"/>
  <c r="S2121" i="5" s="1"/>
  <c r="T2121" i="5" s="1"/>
  <c r="Q2122" i="5"/>
  <c r="S2122" i="5" s="1"/>
  <c r="T2122" i="5" s="1"/>
  <c r="Q2123" i="5"/>
  <c r="S2123" i="5" s="1"/>
  <c r="Q2124" i="5"/>
  <c r="S2124" i="5" s="1"/>
  <c r="Q2125" i="5"/>
  <c r="S2125" i="5" s="1"/>
  <c r="T2125" i="5" s="1"/>
  <c r="Q2126" i="5"/>
  <c r="S2126" i="5" s="1"/>
  <c r="Q2106" i="5"/>
  <c r="S2106" i="5" s="1"/>
  <c r="T2106" i="5" s="1"/>
  <c r="T2107" i="5" l="1"/>
  <c r="T2114" i="5"/>
  <c r="S2048" i="5"/>
  <c r="T2048" i="5" s="1"/>
  <c r="T2126" i="5"/>
  <c r="T2110" i="5"/>
  <c r="T2109" i="5"/>
  <c r="T2123" i="5"/>
  <c r="T2119" i="5"/>
  <c r="T2115" i="5"/>
  <c r="T2111" i="5"/>
  <c r="T2124" i="5"/>
  <c r="T2120" i="5"/>
  <c r="T2116" i="5"/>
  <c r="T2112" i="5"/>
  <c r="T2108" i="5"/>
  <c r="T2129" i="5" l="1"/>
  <c r="J2475" i="5"/>
  <c r="J2474" i="5"/>
  <c r="J2453" i="5" l="1"/>
  <c r="J2454" i="5"/>
  <c r="J2455" i="5"/>
  <c r="J2456" i="5"/>
  <c r="J2457" i="5"/>
  <c r="J2458" i="5"/>
  <c r="J2459" i="5"/>
  <c r="J2460" i="5"/>
  <c r="J2461" i="5"/>
  <c r="J2462" i="5"/>
  <c r="J2466" i="5"/>
  <c r="J2467" i="5"/>
  <c r="J2468" i="5"/>
  <c r="J2469" i="5"/>
  <c r="J2470" i="5"/>
  <c r="J2471" i="5"/>
  <c r="J2472" i="5"/>
  <c r="J2473" i="5"/>
  <c r="J2432" i="5"/>
  <c r="J2433" i="5"/>
  <c r="J2434" i="5"/>
  <c r="J2435" i="5"/>
  <c r="J2436" i="5"/>
  <c r="J2437" i="5"/>
  <c r="J2438" i="5"/>
  <c r="J2439" i="5"/>
  <c r="J2440" i="5"/>
  <c r="J2441" i="5"/>
  <c r="J2442" i="5"/>
  <c r="J2443" i="5"/>
  <c r="J2444" i="5"/>
  <c r="J2445" i="5"/>
  <c r="J2446" i="5"/>
  <c r="J2447" i="5"/>
  <c r="J2448" i="5"/>
  <c r="J2449" i="5"/>
  <c r="J2450" i="5"/>
  <c r="J2451" i="5"/>
  <c r="J2452" i="5"/>
  <c r="J2412" i="5"/>
  <c r="J2414" i="5"/>
  <c r="J2415" i="5"/>
  <c r="J2416" i="5"/>
  <c r="J2417" i="5"/>
  <c r="J2418" i="5"/>
  <c r="J2419" i="5"/>
  <c r="J2420" i="5"/>
  <c r="J2425" i="5"/>
  <c r="J2426" i="5"/>
  <c r="J2427" i="5"/>
  <c r="J2428" i="5"/>
  <c r="J2429" i="5"/>
  <c r="J2430" i="5"/>
  <c r="J2431" i="5"/>
  <c r="Q1934" i="5"/>
  <c r="S1934" i="5" s="1"/>
  <c r="Q1935" i="5"/>
  <c r="S1935" i="5" s="1"/>
  <c r="Q1936" i="5"/>
  <c r="Q1937" i="5"/>
  <c r="S1937" i="5" s="1"/>
  <c r="T1937" i="5" s="1"/>
  <c r="Q1938" i="5"/>
  <c r="S1938" i="5" s="1"/>
  <c r="T1938" i="5" s="1"/>
  <c r="Q1939" i="5"/>
  <c r="S1939" i="5" s="1"/>
  <c r="Q1940" i="5"/>
  <c r="S1940" i="5" s="1"/>
  <c r="Q1941" i="5"/>
  <c r="S1941" i="5" s="1"/>
  <c r="T1941" i="5" s="1"/>
  <c r="Q1942" i="5"/>
  <c r="S1942" i="5" s="1"/>
  <c r="T1942" i="5" s="1"/>
  <c r="Q1943" i="5"/>
  <c r="S1943" i="5" s="1"/>
  <c r="Q1944" i="5"/>
  <c r="Q1945" i="5"/>
  <c r="S1945" i="5" s="1"/>
  <c r="T1945" i="5" s="1"/>
  <c r="Q1946" i="5"/>
  <c r="S1946" i="5" s="1"/>
  <c r="T1946" i="5" s="1"/>
  <c r="Q1947" i="5"/>
  <c r="S1947" i="5" s="1"/>
  <c r="Q1948" i="5"/>
  <c r="S1948" i="5" s="1"/>
  <c r="Q1949" i="5"/>
  <c r="S1949" i="5" s="1"/>
  <c r="T1949" i="5" s="1"/>
  <c r="Q1950" i="5"/>
  <c r="S1950" i="5" s="1"/>
  <c r="T1950" i="5" s="1"/>
  <c r="Q1951" i="5"/>
  <c r="S1951" i="5" s="1"/>
  <c r="Q1952" i="5"/>
  <c r="Q1953" i="5"/>
  <c r="S1953" i="5" s="1"/>
  <c r="T1953" i="5" s="1"/>
  <c r="Q1933" i="5"/>
  <c r="S1933" i="5" s="1"/>
  <c r="T1933" i="5" s="1"/>
  <c r="Q2200" i="5"/>
  <c r="S2200" i="5" s="1"/>
  <c r="T2200" i="5" s="1"/>
  <c r="Q2201" i="5"/>
  <c r="S2201" i="5" s="1"/>
  <c r="Q2202" i="5"/>
  <c r="Q2203" i="5"/>
  <c r="S2203" i="5" s="1"/>
  <c r="Q2204" i="5"/>
  <c r="S2204" i="5" s="1"/>
  <c r="Q2205" i="5"/>
  <c r="S2205" i="5" s="1"/>
  <c r="Q2206" i="5"/>
  <c r="Q2207" i="5"/>
  <c r="S2207" i="5" s="1"/>
  <c r="Q2208" i="5"/>
  <c r="S2208" i="5" s="1"/>
  <c r="T2208" i="5" s="1"/>
  <c r="Q2209" i="5"/>
  <c r="S2209" i="5" s="1"/>
  <c r="Q2210" i="5"/>
  <c r="S2210" i="5" s="1"/>
  <c r="Q2211" i="5"/>
  <c r="S2211" i="5" s="1"/>
  <c r="Q2215" i="5"/>
  <c r="Q2216" i="5"/>
  <c r="Q2217" i="5"/>
  <c r="Q2218" i="5"/>
  <c r="Q2199" i="5"/>
  <c r="S2199" i="5" s="1"/>
  <c r="Q1556" i="5"/>
  <c r="S1556" i="5" s="1"/>
  <c r="Q2316" i="5"/>
  <c r="S2316" i="5" s="1"/>
  <c r="Q2224" i="5"/>
  <c r="S2224" i="5" s="1"/>
  <c r="T2224" i="5" s="1"/>
  <c r="Q2225" i="5"/>
  <c r="S2225" i="5" s="1"/>
  <c r="Q2223" i="5"/>
  <c r="S2223" i="5" s="1"/>
  <c r="Q2171" i="5"/>
  <c r="S2171" i="5" s="1"/>
  <c r="S2215" i="5" l="1"/>
  <c r="T2215" i="5" s="1"/>
  <c r="S2217" i="5"/>
  <c r="T2217" i="5" s="1"/>
  <c r="S2216" i="5"/>
  <c r="T2216" i="5" s="1"/>
  <c r="S2218" i="5"/>
  <c r="T2218" i="5" s="1"/>
  <c r="J2476" i="5"/>
  <c r="J2477" i="5" s="1"/>
  <c r="J2478" i="5" s="1"/>
  <c r="J2463" i="5"/>
  <c r="J2464" i="5" s="1"/>
  <c r="J2465" i="5" s="1"/>
  <c r="T2211" i="5"/>
  <c r="T2207" i="5"/>
  <c r="T2203" i="5"/>
  <c r="T2199" i="5"/>
  <c r="T2204" i="5"/>
  <c r="T1948" i="5"/>
  <c r="T1940" i="5"/>
  <c r="S2206" i="5"/>
  <c r="T2206" i="5" s="1"/>
  <c r="S1952" i="5"/>
  <c r="T1952" i="5" s="1"/>
  <c r="S1944" i="5"/>
  <c r="T1944" i="5" s="1"/>
  <c r="S1936" i="5"/>
  <c r="T1936" i="5" s="1"/>
  <c r="T1934" i="5"/>
  <c r="T1951" i="5"/>
  <c r="T1947" i="5"/>
  <c r="T1943" i="5"/>
  <c r="T1939" i="5"/>
  <c r="T1935" i="5"/>
  <c r="T2210" i="5"/>
  <c r="S2202" i="5"/>
  <c r="T2202" i="5" s="1"/>
  <c r="T2209" i="5"/>
  <c r="T2205" i="5"/>
  <c r="T2201" i="5"/>
  <c r="T1556" i="5"/>
  <c r="T1559" i="5" s="1"/>
  <c r="T2316" i="5"/>
  <c r="T2319" i="5" s="1"/>
  <c r="T2225" i="5"/>
  <c r="T2223" i="5"/>
  <c r="T2171" i="5"/>
  <c r="T2174" i="5" s="1"/>
  <c r="Q2194" i="5"/>
  <c r="Q2345" i="5"/>
  <c r="S2345" i="5" s="1"/>
  <c r="Q2306" i="5"/>
  <c r="S2306" i="5" s="1"/>
  <c r="T2306" i="5" s="1"/>
  <c r="Q2338" i="5"/>
  <c r="Q2339" i="5"/>
  <c r="S2339" i="5" s="1"/>
  <c r="Q2340" i="5"/>
  <c r="S2340" i="5" s="1"/>
  <c r="T2340" i="5" s="1"/>
  <c r="Q2337" i="5"/>
  <c r="S2337" i="5" s="1"/>
  <c r="T2337" i="5" s="1"/>
  <c r="T2228" i="5" l="1"/>
  <c r="T1956" i="5"/>
  <c r="T2220" i="5"/>
  <c r="T2339" i="5"/>
  <c r="S2338" i="5"/>
  <c r="T2338" i="5" s="1"/>
  <c r="T2345" i="5"/>
  <c r="S2194" i="5"/>
  <c r="T2194" i="5" s="1"/>
  <c r="J2382" i="5"/>
  <c r="J2390" i="5"/>
  <c r="J2391" i="5"/>
  <c r="J2392" i="5"/>
  <c r="J2397" i="5"/>
  <c r="J2398" i="5"/>
  <c r="J2399" i="5"/>
  <c r="J2400" i="5"/>
  <c r="J2401" i="5"/>
  <c r="J2402" i="5"/>
  <c r="J2403" i="5"/>
  <c r="J2404" i="5"/>
  <c r="J2405" i="5"/>
  <c r="J2406" i="5"/>
  <c r="J2407" i="5"/>
  <c r="J2408" i="5"/>
  <c r="J2409" i="5"/>
  <c r="J2410" i="5"/>
  <c r="J2411" i="5"/>
  <c r="J2413" i="5"/>
  <c r="J2421" i="5" l="1"/>
  <c r="J2422" i="5" s="1"/>
  <c r="J2423" i="5" s="1"/>
  <c r="T2343" i="5"/>
  <c r="J2393" i="5"/>
  <c r="J2394" i="5" s="1"/>
  <c r="J2395" i="5" s="1"/>
  <c r="J516" i="19"/>
  <c r="J517" i="19" s="1"/>
  <c r="J2355" i="5"/>
  <c r="J2356" i="5" s="1"/>
  <c r="J2360" i="5"/>
  <c r="J2361" i="5"/>
  <c r="J2366" i="5"/>
  <c r="J2367" i="5"/>
  <c r="J2372" i="5"/>
  <c r="J2373" i="5"/>
  <c r="J2374" i="5"/>
  <c r="J2375" i="5"/>
  <c r="J2376" i="5"/>
  <c r="J2381" i="5"/>
  <c r="J2383" i="5"/>
  <c r="J2384" i="5"/>
  <c r="J2385" i="5"/>
  <c r="J2362" i="5" l="1"/>
  <c r="J2363" i="5" s="1"/>
  <c r="J2364" i="5" s="1"/>
  <c r="J2386" i="5"/>
  <c r="J2377" i="5"/>
  <c r="J2378" i="5" s="1"/>
  <c r="J2379" i="5" s="1"/>
  <c r="J2368" i="5"/>
  <c r="J2369" i="5" s="1"/>
  <c r="J2370" i="5" s="1"/>
  <c r="J2357" i="5"/>
  <c r="J2358" i="5" s="1"/>
  <c r="J518" i="19"/>
  <c r="J519" i="19" s="1"/>
  <c r="Q2262" i="5"/>
  <c r="S2262" i="5" s="1"/>
  <c r="T2262" i="5" s="1"/>
  <c r="Q2261" i="5"/>
  <c r="S2261" i="5" s="1"/>
  <c r="T2261" i="5" s="1"/>
  <c r="Q2300" i="5"/>
  <c r="S2300" i="5" s="1"/>
  <c r="J2387" i="5" l="1"/>
  <c r="J2388" i="5" s="1"/>
  <c r="T2265" i="5"/>
  <c r="T2300" i="5"/>
  <c r="T2303" i="5" s="1"/>
  <c r="J511" i="19"/>
  <c r="J512" i="19" s="1"/>
  <c r="J505" i="19"/>
  <c r="J504" i="19"/>
  <c r="J503" i="19"/>
  <c r="J502" i="19"/>
  <c r="J506" i="19" l="1"/>
  <c r="J507" i="19" s="1"/>
  <c r="J508" i="19" s="1"/>
  <c r="J513" i="19"/>
  <c r="J514" i="19" s="1"/>
  <c r="J497" i="19" l="1"/>
  <c r="J496" i="19"/>
  <c r="J495" i="19"/>
  <c r="J494" i="19"/>
  <c r="J493" i="19"/>
  <c r="J492" i="19"/>
  <c r="J487" i="19"/>
  <c r="J486" i="19"/>
  <c r="J2328" i="5"/>
  <c r="J2329" i="5"/>
  <c r="J2330" i="5"/>
  <c r="J2331" i="5"/>
  <c r="J2332" i="5"/>
  <c r="J2337" i="5"/>
  <c r="J2338" i="5"/>
  <c r="J2339" i="5"/>
  <c r="J2340" i="5"/>
  <c r="J2345" i="5"/>
  <c r="J2346" i="5" s="1"/>
  <c r="J2349" i="5"/>
  <c r="J2350" i="5"/>
  <c r="J2351" i="5" s="1"/>
  <c r="J2352" i="5" s="1"/>
  <c r="J488" i="19" l="1"/>
  <c r="J489" i="19" s="1"/>
  <c r="J490" i="19" s="1"/>
  <c r="J2353" i="5"/>
  <c r="J498" i="19"/>
  <c r="J499" i="19" s="1"/>
  <c r="J500" i="19" s="1"/>
  <c r="J2347" i="5"/>
  <c r="J2348" i="5" s="1"/>
  <c r="J2341" i="5"/>
  <c r="J481" i="19"/>
  <c r="J482" i="19" s="1"/>
  <c r="J2342" i="5" l="1"/>
  <c r="J2343" i="5" s="1"/>
  <c r="J483" i="19"/>
  <c r="J484" i="19" s="1"/>
  <c r="J439" i="19" l="1"/>
  <c r="J438" i="19"/>
  <c r="J437" i="19"/>
  <c r="J476" i="19"/>
  <c r="J477" i="19" s="1"/>
  <c r="J475" i="19"/>
  <c r="J471" i="19"/>
  <c r="J470" i="19"/>
  <c r="J464" i="19"/>
  <c r="J463" i="19"/>
  <c r="J462" i="19"/>
  <c r="J461" i="19"/>
  <c r="J460" i="19"/>
  <c r="J459" i="19"/>
  <c r="J458" i="19"/>
  <c r="J457" i="19"/>
  <c r="J456" i="19"/>
  <c r="J455" i="19"/>
  <c r="J454" i="19"/>
  <c r="J453" i="19"/>
  <c r="J452" i="19"/>
  <c r="J451" i="19"/>
  <c r="J450" i="19"/>
  <c r="J445" i="19"/>
  <c r="J444" i="19"/>
  <c r="J443" i="19"/>
  <c r="J442" i="19"/>
  <c r="J431" i="19"/>
  <c r="J430" i="19"/>
  <c r="J429" i="19"/>
  <c r="J428" i="19"/>
  <c r="J423" i="19"/>
  <c r="J422" i="19"/>
  <c r="J421" i="19"/>
  <c r="J420" i="19"/>
  <c r="J419" i="19"/>
  <c r="J418" i="19"/>
  <c r="J417" i="19"/>
  <c r="J416" i="19"/>
  <c r="J411" i="19"/>
  <c r="J410" i="19"/>
  <c r="J409" i="19"/>
  <c r="J404" i="19"/>
  <c r="J403" i="19"/>
  <c r="J402" i="19"/>
  <c r="J401" i="19"/>
  <c r="J400" i="19"/>
  <c r="J399" i="19"/>
  <c r="J398" i="19"/>
  <c r="J397" i="19"/>
  <c r="J396" i="19"/>
  <c r="J395" i="19"/>
  <c r="J394" i="19"/>
  <c r="J393" i="19"/>
  <c r="J392" i="19"/>
  <c r="J391" i="19"/>
  <c r="J390" i="19"/>
  <c r="J389" i="19"/>
  <c r="J388" i="19"/>
  <c r="J387" i="19"/>
  <c r="J386" i="19"/>
  <c r="J385" i="19"/>
  <c r="J380" i="19"/>
  <c r="J379" i="19"/>
  <c r="J378" i="19"/>
  <c r="J377" i="19"/>
  <c r="J376" i="19"/>
  <c r="J375" i="19"/>
  <c r="J374" i="19"/>
  <c r="J373" i="19"/>
  <c r="J372" i="19"/>
  <c r="J367" i="19"/>
  <c r="J368" i="19" s="1"/>
  <c r="J362" i="19"/>
  <c r="J361" i="19"/>
  <c r="J356" i="19"/>
  <c r="J355" i="19"/>
  <c r="J354" i="19"/>
  <c r="J353" i="19"/>
  <c r="J348" i="19"/>
  <c r="J347" i="19"/>
  <c r="J346" i="19"/>
  <c r="J345" i="19"/>
  <c r="J344" i="19"/>
  <c r="J343" i="19"/>
  <c r="J342" i="19"/>
  <c r="J341" i="19"/>
  <c r="J340" i="19"/>
  <c r="J339" i="19"/>
  <c r="J338" i="19"/>
  <c r="J337" i="19"/>
  <c r="J336" i="19"/>
  <c r="J335" i="19"/>
  <c r="J334" i="19"/>
  <c r="J333" i="19"/>
  <c r="J332" i="19"/>
  <c r="J331" i="19"/>
  <c r="J330" i="19"/>
  <c r="J329" i="19"/>
  <c r="J328" i="19"/>
  <c r="J323" i="19"/>
  <c r="J322" i="19"/>
  <c r="J321" i="19"/>
  <c r="J316" i="19"/>
  <c r="J315" i="19"/>
  <c r="J314" i="19"/>
  <c r="J313" i="19"/>
  <c r="J312" i="19"/>
  <c r="J311" i="19"/>
  <c r="J310" i="19"/>
  <c r="J309" i="19"/>
  <c r="J308" i="19"/>
  <c r="J307" i="19"/>
  <c r="J306" i="19"/>
  <c r="J305" i="19"/>
  <c r="J304" i="19"/>
  <c r="J303" i="19"/>
  <c r="J302" i="19"/>
  <c r="J301" i="19"/>
  <c r="J300" i="19"/>
  <c r="J299" i="19"/>
  <c r="J298" i="19"/>
  <c r="J297" i="19"/>
  <c r="J296" i="19"/>
  <c r="J290" i="19"/>
  <c r="J289" i="19"/>
  <c r="J288" i="19"/>
  <c r="J287" i="19"/>
  <c r="J286" i="19"/>
  <c r="J285" i="19"/>
  <c r="J284" i="19"/>
  <c r="J283" i="19"/>
  <c r="J282" i="19"/>
  <c r="J281" i="19"/>
  <c r="J280" i="19"/>
  <c r="J279" i="19"/>
  <c r="J278" i="19"/>
  <c r="J273" i="19"/>
  <c r="J274" i="19" s="1"/>
  <c r="J271" i="19"/>
  <c r="J270" i="19"/>
  <c r="J269" i="19"/>
  <c r="J472" i="19" l="1"/>
  <c r="J473" i="19" s="1"/>
  <c r="J474" i="19" s="1"/>
  <c r="J324" i="19"/>
  <c r="J325" i="19" s="1"/>
  <c r="J326" i="19" s="1"/>
  <c r="J357" i="19"/>
  <c r="J358" i="19" s="1"/>
  <c r="J359" i="19" s="1"/>
  <c r="J363" i="19"/>
  <c r="J364" i="19" s="1"/>
  <c r="J365" i="19" s="1"/>
  <c r="J405" i="19"/>
  <c r="J406" i="19" s="1"/>
  <c r="J407" i="19" s="1"/>
  <c r="J412" i="19"/>
  <c r="J413" i="19" s="1"/>
  <c r="J414" i="19" s="1"/>
  <c r="J446" i="19"/>
  <c r="J447" i="19" s="1"/>
  <c r="J448" i="19" s="1"/>
  <c r="J291" i="19"/>
  <c r="J292" i="19" s="1"/>
  <c r="J293" i="19" s="1"/>
  <c r="J465" i="19"/>
  <c r="J466" i="19" s="1"/>
  <c r="J467" i="19" s="1"/>
  <c r="J317" i="19"/>
  <c r="J318" i="19" s="1"/>
  <c r="J319" i="19" s="1"/>
  <c r="J349" i="19"/>
  <c r="J350" i="19" s="1"/>
  <c r="J351" i="19" s="1"/>
  <c r="J381" i="19"/>
  <c r="J382" i="19" s="1"/>
  <c r="J383" i="19" s="1"/>
  <c r="J424" i="19"/>
  <c r="J425" i="19" s="1"/>
  <c r="J432" i="19"/>
  <c r="J433" i="19" s="1"/>
  <c r="J434" i="19" s="1"/>
  <c r="J478" i="19"/>
  <c r="J479" i="19" s="1"/>
  <c r="J369" i="19"/>
  <c r="J370" i="19" s="1"/>
  <c r="J275" i="19"/>
  <c r="J276" i="19" s="1"/>
  <c r="J426" i="19" l="1"/>
  <c r="Q2251" i="5" l="1"/>
  <c r="S2251" i="5" s="1"/>
  <c r="T2251" i="5" s="1"/>
  <c r="Q2252" i="5"/>
  <c r="S2252" i="5" s="1"/>
  <c r="Q2253" i="5"/>
  <c r="Q2254" i="5"/>
  <c r="S2254" i="5" s="1"/>
  <c r="Q2255" i="5"/>
  <c r="S2255" i="5" s="1"/>
  <c r="Q2256" i="5"/>
  <c r="S2256" i="5" s="1"/>
  <c r="Q2250" i="5"/>
  <c r="Q2166" i="5"/>
  <c r="S2166" i="5" s="1"/>
  <c r="T2166" i="5" s="1"/>
  <c r="T2169" i="5" s="1"/>
  <c r="Q2137" i="5"/>
  <c r="S2137" i="5" s="1"/>
  <c r="Q2138" i="5"/>
  <c r="S2138" i="5" s="1"/>
  <c r="Q2139" i="5"/>
  <c r="S2139" i="5" s="1"/>
  <c r="T2139" i="5" s="1"/>
  <c r="Q2140" i="5"/>
  <c r="S2140" i="5" s="1"/>
  <c r="T2140" i="5" s="1"/>
  <c r="Q2141" i="5"/>
  <c r="S2141" i="5" s="1"/>
  <c r="Q2142" i="5"/>
  <c r="S2142" i="5" s="1"/>
  <c r="Q2143" i="5"/>
  <c r="S2143" i="5" s="1"/>
  <c r="T2143" i="5" s="1"/>
  <c r="Q2144" i="5"/>
  <c r="S2144" i="5" s="1"/>
  <c r="T2144" i="5" s="1"/>
  <c r="Q2145" i="5"/>
  <c r="S2145" i="5" s="1"/>
  <c r="Q2146" i="5"/>
  <c r="S2146" i="5" s="1"/>
  <c r="Q2147" i="5"/>
  <c r="S2147" i="5" s="1"/>
  <c r="T2147" i="5" s="1"/>
  <c r="Q2136" i="5"/>
  <c r="J2315" i="5"/>
  <c r="J2316" i="5"/>
  <c r="J2317" i="5" s="1"/>
  <c r="J2321" i="5"/>
  <c r="J2322" i="5"/>
  <c r="J2327" i="5"/>
  <c r="J2333" i="5" s="1"/>
  <c r="J2334" i="5" s="1"/>
  <c r="J2335" i="5" s="1"/>
  <c r="T2255" i="5" l="1"/>
  <c r="J2323" i="5"/>
  <c r="T2254" i="5"/>
  <c r="S2136" i="5"/>
  <c r="T2136" i="5" s="1"/>
  <c r="S2250" i="5"/>
  <c r="T2250" i="5" s="1"/>
  <c r="J2318" i="5"/>
  <c r="J2319" i="5" s="1"/>
  <c r="S2253" i="5"/>
  <c r="T2253" i="5" s="1"/>
  <c r="T2256" i="5"/>
  <c r="T2252" i="5"/>
  <c r="T2145" i="5"/>
  <c r="T2141" i="5"/>
  <c r="T2137" i="5"/>
  <c r="T2146" i="5"/>
  <c r="T2142" i="5"/>
  <c r="T2138" i="5"/>
  <c r="Q2017" i="5"/>
  <c r="S2017" i="5" s="1"/>
  <c r="Q2018" i="5"/>
  <c r="S2018" i="5" s="1"/>
  <c r="Q2019" i="5"/>
  <c r="S2019" i="5" s="1"/>
  <c r="T2019" i="5" s="1"/>
  <c r="Q2020" i="5"/>
  <c r="S2020" i="5" s="1"/>
  <c r="T2020" i="5" s="1"/>
  <c r="Q2021" i="5"/>
  <c r="S2021" i="5" s="1"/>
  <c r="Q2022" i="5"/>
  <c r="S2022" i="5" s="1"/>
  <c r="Q2023" i="5"/>
  <c r="S2023" i="5" s="1"/>
  <c r="T2023" i="5" s="1"/>
  <c r="Q2024" i="5"/>
  <c r="S2024" i="5" s="1"/>
  <c r="T2024" i="5" s="1"/>
  <c r="Q2025" i="5"/>
  <c r="S2025" i="5" s="1"/>
  <c r="Q2026" i="5"/>
  <c r="S2026" i="5" s="1"/>
  <c r="Q2027" i="5"/>
  <c r="S2027" i="5" s="1"/>
  <c r="T2027" i="5" s="1"/>
  <c r="Q2028" i="5"/>
  <c r="S2028" i="5" s="1"/>
  <c r="T2028" i="5" s="1"/>
  <c r="Q2029" i="5"/>
  <c r="S2029" i="5" s="1"/>
  <c r="Q2030" i="5"/>
  <c r="S2030" i="5" s="1"/>
  <c r="Q2031" i="5"/>
  <c r="S2031" i="5" s="1"/>
  <c r="T2031" i="5" s="1"/>
  <c r="Q2032" i="5"/>
  <c r="S2032" i="5" s="1"/>
  <c r="T2032" i="5" s="1"/>
  <c r="Q2033" i="5"/>
  <c r="S2033" i="5" s="1"/>
  <c r="Q2034" i="5"/>
  <c r="S2034" i="5" s="1"/>
  <c r="Q2035" i="5"/>
  <c r="S2035" i="5" s="1"/>
  <c r="T2035" i="5" s="1"/>
  <c r="Q2016" i="5"/>
  <c r="Q2268" i="5"/>
  <c r="S2268" i="5" s="1"/>
  <c r="Q2267" i="5"/>
  <c r="S2267" i="5" s="1"/>
  <c r="T2267" i="5" s="1"/>
  <c r="Q2038" i="5" l="1"/>
  <c r="T2150" i="5"/>
  <c r="J2324" i="5"/>
  <c r="J2325" i="5" s="1"/>
  <c r="T2258" i="5"/>
  <c r="S2016" i="5"/>
  <c r="T2016" i="5" s="1"/>
  <c r="T2268" i="5"/>
  <c r="T2271" i="5" s="1"/>
  <c r="T2033" i="5"/>
  <c r="T2029" i="5"/>
  <c r="T2025" i="5"/>
  <c r="T2021" i="5"/>
  <c r="T2017" i="5"/>
  <c r="T2034" i="5"/>
  <c r="T2030" i="5"/>
  <c r="T2026" i="5"/>
  <c r="T2022" i="5"/>
  <c r="T2018" i="5"/>
  <c r="T2038" i="5" l="1"/>
  <c r="Q2078" i="5"/>
  <c r="S2078" i="5" s="1"/>
  <c r="Q2079" i="5"/>
  <c r="S2079" i="5" s="1"/>
  <c r="Q2080" i="5"/>
  <c r="S2080" i="5" s="1"/>
  <c r="Q2077" i="5"/>
  <c r="S2077" i="5" s="1"/>
  <c r="T2077" i="5" s="1"/>
  <c r="T2080" i="5" l="1"/>
  <c r="T2079" i="5"/>
  <c r="T2078" i="5"/>
  <c r="J259" i="19"/>
  <c r="J258" i="19"/>
  <c r="J257" i="19"/>
  <c r="J256" i="19"/>
  <c r="J255" i="19"/>
  <c r="J254" i="19"/>
  <c r="J253" i="19"/>
  <c r="J252" i="19"/>
  <c r="J251" i="19"/>
  <c r="J250" i="19"/>
  <c r="J249" i="19"/>
  <c r="J248" i="19"/>
  <c r="J247" i="19"/>
  <c r="J246" i="19"/>
  <c r="J245" i="19"/>
  <c r="T2083" i="5" l="1"/>
  <c r="J260" i="19"/>
  <c r="J261" i="19" s="1"/>
  <c r="J262" i="19" s="1"/>
  <c r="Q2092" i="5" l="1"/>
  <c r="S2092" i="5" l="1"/>
  <c r="T2092" i="5" s="1"/>
  <c r="J2285" i="5"/>
  <c r="J2286" i="5"/>
  <c r="J2287" i="5"/>
  <c r="J2288" i="5"/>
  <c r="J2289" i="5"/>
  <c r="J2290" i="5"/>
  <c r="J2291" i="5"/>
  <c r="J2292" i="5"/>
  <c r="J2293" i="5"/>
  <c r="J2294" i="5"/>
  <c r="J2295" i="5"/>
  <c r="J2300" i="5"/>
  <c r="J2301" i="5" s="1"/>
  <c r="J2302" i="5" s="1"/>
  <c r="J2305" i="5"/>
  <c r="J2306" i="5"/>
  <c r="J2310" i="5"/>
  <c r="J2311" i="5"/>
  <c r="J2312" i="5" s="1"/>
  <c r="J2313" i="5" l="1"/>
  <c r="J2314" i="5" s="1"/>
  <c r="J2307" i="5"/>
  <c r="J2308" i="5" s="1"/>
  <c r="J2303" i="5"/>
  <c r="Q2176" i="5"/>
  <c r="J2309" i="5" l="1"/>
  <c r="S2176" i="5"/>
  <c r="T2176" i="5" s="1"/>
  <c r="Q2181" i="5"/>
  <c r="S2181" i="5" s="1"/>
  <c r="T2181" i="5" s="1"/>
  <c r="T2184" i="5" s="1"/>
  <c r="J240" i="19" l="1"/>
  <c r="J239" i="19"/>
  <c r="J238" i="19"/>
  <c r="J237" i="19"/>
  <c r="J232" i="19"/>
  <c r="J231" i="19"/>
  <c r="J226" i="19"/>
  <c r="J225" i="19"/>
  <c r="J233" i="19" l="1"/>
  <c r="J234" i="19" s="1"/>
  <c r="J235" i="19" s="1"/>
  <c r="J227" i="19"/>
  <c r="J228" i="19" s="1"/>
  <c r="J229" i="19" s="1"/>
  <c r="J241" i="19"/>
  <c r="J242" i="19" s="1"/>
  <c r="J243" i="19" s="1"/>
  <c r="J2267" i="5" l="1"/>
  <c r="J2268" i="5"/>
  <c r="J2273" i="5"/>
  <c r="J2274" i="5"/>
  <c r="J2275" i="5"/>
  <c r="J2276" i="5"/>
  <c r="J2281" i="5"/>
  <c r="J2282" i="5"/>
  <c r="J2283" i="5"/>
  <c r="J2284" i="5"/>
  <c r="J2296" i="5" l="1"/>
  <c r="J2277" i="5"/>
  <c r="J2278" i="5" s="1"/>
  <c r="J2279" i="5" s="1"/>
  <c r="J2269" i="5"/>
  <c r="J2270" i="5" s="1"/>
  <c r="J2271" i="5" s="1"/>
  <c r="J191" i="19"/>
  <c r="J190" i="19"/>
  <c r="J189" i="19"/>
  <c r="J2237" i="5"/>
  <c r="J2236" i="5"/>
  <c r="J2235" i="5"/>
  <c r="J2234" i="5"/>
  <c r="J2233" i="5"/>
  <c r="J2232" i="5"/>
  <c r="J2231" i="5"/>
  <c r="J2230" i="5"/>
  <c r="J192" i="19" l="1"/>
  <c r="J193" i="19" s="1"/>
  <c r="J194" i="19" s="1"/>
  <c r="J2297" i="5"/>
  <c r="J2298" i="5" s="1"/>
  <c r="J2238" i="5"/>
  <c r="J2239" i="5" s="1"/>
  <c r="J2240" i="5" s="1"/>
  <c r="Q2160" i="5" l="1"/>
  <c r="J221" i="19"/>
  <c r="J220" i="19"/>
  <c r="J219" i="19"/>
  <c r="J218" i="19"/>
  <c r="J217" i="19"/>
  <c r="J216" i="19"/>
  <c r="J215" i="19"/>
  <c r="J211" i="19"/>
  <c r="J210" i="19"/>
  <c r="J209" i="19"/>
  <c r="J208" i="19"/>
  <c r="J203" i="19"/>
  <c r="J202" i="19"/>
  <c r="J201" i="19"/>
  <c r="J200" i="19"/>
  <c r="J199" i="19"/>
  <c r="J198" i="19"/>
  <c r="J197" i="19"/>
  <c r="J196" i="19"/>
  <c r="J184" i="19"/>
  <c r="J183" i="19"/>
  <c r="J182" i="19"/>
  <c r="J181" i="19"/>
  <c r="J180" i="19"/>
  <c r="J179" i="19"/>
  <c r="J178" i="19"/>
  <c r="J177" i="19"/>
  <c r="J176" i="19"/>
  <c r="J175" i="19"/>
  <c r="J174" i="19"/>
  <c r="J173" i="19"/>
  <c r="J172" i="19"/>
  <c r="J171" i="19"/>
  <c r="J170" i="19"/>
  <c r="J169" i="19"/>
  <c r="J168" i="19"/>
  <c r="J167" i="19"/>
  <c r="J166" i="19"/>
  <c r="J165" i="19"/>
  <c r="J160" i="19"/>
  <c r="J159" i="19"/>
  <c r="J158" i="19"/>
  <c r="J157" i="19"/>
  <c r="J156" i="19"/>
  <c r="J155" i="19"/>
  <c r="J154" i="19"/>
  <c r="J153" i="19"/>
  <c r="J152" i="19"/>
  <c r="J146" i="19"/>
  <c r="J147" i="19" s="1"/>
  <c r="J148" i="19" s="1"/>
  <c r="J149" i="19" s="1"/>
  <c r="J141" i="19"/>
  <c r="J140" i="19"/>
  <c r="J136" i="19"/>
  <c r="J135" i="19"/>
  <c r="J134" i="19"/>
  <c r="J129" i="19"/>
  <c r="J128" i="19"/>
  <c r="J127" i="19"/>
  <c r="J126" i="19"/>
  <c r="J125" i="19"/>
  <c r="J124" i="19"/>
  <c r="J123" i="19"/>
  <c r="J122" i="19"/>
  <c r="J121" i="19"/>
  <c r="J120" i="19"/>
  <c r="J119" i="19"/>
  <c r="J118" i="19"/>
  <c r="J113" i="19"/>
  <c r="J112" i="19"/>
  <c r="J111" i="19"/>
  <c r="J110" i="19"/>
  <c r="J109" i="19"/>
  <c r="J108" i="19"/>
  <c r="J107" i="19"/>
  <c r="J106" i="19"/>
  <c r="J105" i="19"/>
  <c r="J104" i="19"/>
  <c r="J103" i="19"/>
  <c r="J102" i="19"/>
  <c r="J101" i="19"/>
  <c r="J100" i="19"/>
  <c r="J99" i="19"/>
  <c r="J98" i="19"/>
  <c r="J97" i="19"/>
  <c r="J96" i="19"/>
  <c r="J95" i="19"/>
  <c r="J94" i="19"/>
  <c r="J93" i="19"/>
  <c r="J91" i="19"/>
  <c r="J86" i="19"/>
  <c r="J85" i="19"/>
  <c r="J84" i="19"/>
  <c r="J83" i="19"/>
  <c r="J78" i="19"/>
  <c r="J77" i="19"/>
  <c r="J76" i="19"/>
  <c r="J71" i="19"/>
  <c r="J70" i="19"/>
  <c r="J69" i="19"/>
  <c r="J68" i="19"/>
  <c r="J67" i="19"/>
  <c r="J66" i="19"/>
  <c r="J65" i="19"/>
  <c r="J64" i="19"/>
  <c r="J63" i="19"/>
  <c r="J62" i="19"/>
  <c r="J61" i="19"/>
  <c r="J60" i="19"/>
  <c r="J59" i="19"/>
  <c r="J58" i="19"/>
  <c r="J57" i="19"/>
  <c r="J56" i="19"/>
  <c r="J55" i="19"/>
  <c r="J54" i="19"/>
  <c r="J53" i="19"/>
  <c r="J52" i="19"/>
  <c r="J50" i="19"/>
  <c r="J45" i="19"/>
  <c r="J44" i="19"/>
  <c r="J43" i="19"/>
  <c r="J42" i="19"/>
  <c r="J41" i="19"/>
  <c r="J40" i="19"/>
  <c r="J39" i="19"/>
  <c r="J38" i="19"/>
  <c r="J37" i="19"/>
  <c r="J36" i="19"/>
  <c r="J35" i="19"/>
  <c r="J34" i="19"/>
  <c r="J33" i="19"/>
  <c r="J32" i="19"/>
  <c r="J31" i="19"/>
  <c r="J30" i="19"/>
  <c r="J29" i="19"/>
  <c r="J28" i="19"/>
  <c r="J27" i="19"/>
  <c r="J26" i="19"/>
  <c r="J25" i="19"/>
  <c r="J20" i="19"/>
  <c r="J19" i="19"/>
  <c r="J18" i="19"/>
  <c r="J17" i="19"/>
  <c r="J16" i="19"/>
  <c r="J15" i="19"/>
  <c r="J14" i="19"/>
  <c r="J13" i="19"/>
  <c r="J12" i="19"/>
  <c r="J11" i="19"/>
  <c r="J10" i="19"/>
  <c r="J9" i="19"/>
  <c r="J8" i="19"/>
  <c r="J1" i="19"/>
  <c r="J2" i="19" s="1"/>
  <c r="J142" i="19" l="1"/>
  <c r="J143" i="19" s="1"/>
  <c r="J144" i="19" s="1"/>
  <c r="J87" i="19"/>
  <c r="J88" i="19" s="1"/>
  <c r="J89" i="19" s="1"/>
  <c r="S2160" i="5"/>
  <c r="T2160" i="5" s="1"/>
  <c r="T2163" i="5" s="1"/>
  <c r="J161" i="19"/>
  <c r="J162" i="19" s="1"/>
  <c r="J163" i="19" s="1"/>
  <c r="J114" i="19"/>
  <c r="J115" i="19" s="1"/>
  <c r="J116" i="19" s="1"/>
  <c r="J130" i="19"/>
  <c r="J131" i="19" s="1"/>
  <c r="J132" i="19" s="1"/>
  <c r="J185" i="19"/>
  <c r="J186" i="19" s="1"/>
  <c r="J187" i="19" s="1"/>
  <c r="J204" i="19"/>
  <c r="J205" i="19" s="1"/>
  <c r="J206" i="19" s="1"/>
  <c r="J212" i="19"/>
  <c r="J213" i="19" s="1"/>
  <c r="J222" i="19"/>
  <c r="J223" i="19" s="1"/>
  <c r="J224" i="19" s="1"/>
  <c r="J72" i="19"/>
  <c r="J21" i="19"/>
  <c r="J22" i="19" s="1"/>
  <c r="J23" i="19" s="1"/>
  <c r="J46" i="19"/>
  <c r="J47" i="19" s="1"/>
  <c r="J48" i="19" s="1"/>
  <c r="J79" i="19"/>
  <c r="J80" i="19" s="1"/>
  <c r="J81" i="19" s="1"/>
  <c r="J3" i="19"/>
  <c r="J4" i="19" s="1"/>
  <c r="J214" i="19" l="1"/>
  <c r="J73" i="19"/>
  <c r="J74" i="19" s="1"/>
  <c r="J2242" i="5" l="1"/>
  <c r="J2243" i="5"/>
  <c r="J2244" i="5"/>
  <c r="J2245" i="5"/>
  <c r="J2250" i="5"/>
  <c r="J2251" i="5"/>
  <c r="J2252" i="5"/>
  <c r="J2253" i="5"/>
  <c r="J2254" i="5"/>
  <c r="J2255" i="5"/>
  <c r="J2256" i="5"/>
  <c r="J2261" i="5"/>
  <c r="J2262" i="5"/>
  <c r="J2207" i="5"/>
  <c r="J2208" i="5"/>
  <c r="J2209" i="5"/>
  <c r="J2210" i="5"/>
  <c r="J2211" i="5"/>
  <c r="J2212" i="5"/>
  <c r="J2213" i="5"/>
  <c r="J2214" i="5"/>
  <c r="J2215" i="5"/>
  <c r="J2216" i="5"/>
  <c r="J2217" i="5"/>
  <c r="J2218" i="5"/>
  <c r="J2223" i="5"/>
  <c r="J2224" i="5"/>
  <c r="J2225" i="5"/>
  <c r="J2200" i="5"/>
  <c r="J2201" i="5"/>
  <c r="J2202" i="5"/>
  <c r="J2203" i="5"/>
  <c r="J2204" i="5"/>
  <c r="J2205" i="5"/>
  <c r="J2206" i="5"/>
  <c r="J2176" i="5"/>
  <c r="J2177" i="5" s="1"/>
  <c r="J2181" i="5"/>
  <c r="J2182" i="5" s="1"/>
  <c r="J2186" i="5"/>
  <c r="J2187" i="5"/>
  <c r="J2188" i="5"/>
  <c r="J2189" i="5"/>
  <c r="J2190" i="5"/>
  <c r="J2191" i="5"/>
  <c r="J2192" i="5"/>
  <c r="J2193" i="5"/>
  <c r="J2194" i="5"/>
  <c r="J2199" i="5"/>
  <c r="J2263" i="5" l="1"/>
  <c r="J2264" i="5" s="1"/>
  <c r="J2265" i="5" s="1"/>
  <c r="J2257" i="5"/>
  <c r="J2226" i="5"/>
  <c r="J2246" i="5"/>
  <c r="J2219" i="5"/>
  <c r="J2220" i="5" s="1"/>
  <c r="J2221" i="5" s="1"/>
  <c r="J2195" i="5"/>
  <c r="J2196" i="5" s="1"/>
  <c r="J2197" i="5" s="1"/>
  <c r="J2183" i="5"/>
  <c r="J2184" i="5" s="1"/>
  <c r="J2178" i="5"/>
  <c r="J2179" i="5" s="1"/>
  <c r="Q2152" i="5"/>
  <c r="J2227" i="5" l="1"/>
  <c r="J2228" i="5" s="1"/>
  <c r="J2258" i="5"/>
  <c r="J2259" i="5" s="1"/>
  <c r="J2247" i="5"/>
  <c r="J2248" i="5" s="1"/>
  <c r="S2152" i="5"/>
  <c r="T2152" i="5" s="1"/>
  <c r="T2158" i="5" s="1"/>
  <c r="Q2131" i="5"/>
  <c r="S2131" i="5" s="1"/>
  <c r="Q1850" i="5"/>
  <c r="Q1851" i="5"/>
  <c r="S1851" i="5" s="1"/>
  <c r="Q1852" i="5"/>
  <c r="S1852" i="5" s="1"/>
  <c r="Q1853" i="5"/>
  <c r="S1853" i="5" s="1"/>
  <c r="T1853" i="5" s="1"/>
  <c r="Q1854" i="5"/>
  <c r="S1854" i="5" s="1"/>
  <c r="T1854" i="5" s="1"/>
  <c r="Q1855" i="5"/>
  <c r="S1855" i="5" s="1"/>
  <c r="Q1856" i="5"/>
  <c r="S1856" i="5" s="1"/>
  <c r="Q1857" i="5"/>
  <c r="S1857" i="5" s="1"/>
  <c r="T1857" i="5" s="1"/>
  <c r="Q1849" i="5"/>
  <c r="S1849" i="5" s="1"/>
  <c r="Q2061" i="5"/>
  <c r="S2061" i="5" s="1"/>
  <c r="Q2062" i="5"/>
  <c r="S2062" i="5" s="1"/>
  <c r="T2062" i="5" s="1"/>
  <c r="Q2063" i="5"/>
  <c r="S2063" i="5" s="1"/>
  <c r="T2063" i="5" s="1"/>
  <c r="Q2064" i="5"/>
  <c r="S2064" i="5" s="1"/>
  <c r="Q2065" i="5"/>
  <c r="Q2066" i="5"/>
  <c r="S2066" i="5" s="1"/>
  <c r="T2066" i="5" s="1"/>
  <c r="Q2060" i="5"/>
  <c r="Q2008" i="5"/>
  <c r="Q2009" i="5"/>
  <c r="S2009" i="5" s="1"/>
  <c r="Q2010" i="5"/>
  <c r="S2010" i="5" s="1"/>
  <c r="Q2011" i="5"/>
  <c r="S2011" i="5" s="1"/>
  <c r="T2011" i="5" s="1"/>
  <c r="Q2007" i="5"/>
  <c r="S2060" i="5" l="1"/>
  <c r="T2060" i="5" s="1"/>
  <c r="Q2068" i="5"/>
  <c r="T1849" i="5"/>
  <c r="T2131" i="5"/>
  <c r="T2134" i="5" s="1"/>
  <c r="T1852" i="5"/>
  <c r="T1856" i="5"/>
  <c r="S1850" i="5"/>
  <c r="T1850" i="5" s="1"/>
  <c r="T1851" i="5"/>
  <c r="T1855" i="5"/>
  <c r="S2065" i="5"/>
  <c r="T2065" i="5" s="1"/>
  <c r="T2064" i="5"/>
  <c r="T2061" i="5"/>
  <c r="S2007" i="5"/>
  <c r="T2007" i="5" s="1"/>
  <c r="T2010" i="5"/>
  <c r="S2008" i="5"/>
  <c r="T2008" i="5" s="1"/>
  <c r="T2009" i="5"/>
  <c r="T2069" i="5" l="1"/>
  <c r="T1860" i="5"/>
  <c r="T2014" i="5"/>
  <c r="Q2054" i="5"/>
  <c r="S2054" i="5" s="1"/>
  <c r="T2054" i="5" s="1"/>
  <c r="Q2055" i="5"/>
  <c r="Q2053" i="5"/>
  <c r="J186" i="18"/>
  <c r="J185" i="18"/>
  <c r="J184" i="18"/>
  <c r="J183" i="18"/>
  <c r="J178" i="18"/>
  <c r="J177" i="18"/>
  <c r="J176" i="18"/>
  <c r="J175" i="18"/>
  <c r="J174" i="18"/>
  <c r="J173" i="18"/>
  <c r="J172" i="18"/>
  <c r="J171" i="18"/>
  <c r="J170" i="18"/>
  <c r="J169" i="18"/>
  <c r="J168" i="18"/>
  <c r="J167" i="18"/>
  <c r="J166" i="18"/>
  <c r="J162" i="18"/>
  <c r="J163" i="18" s="1"/>
  <c r="J161" i="18"/>
  <c r="J157" i="18"/>
  <c r="J156" i="18"/>
  <c r="J155" i="18"/>
  <c r="J154" i="18"/>
  <c r="J153" i="18"/>
  <c r="J152" i="18"/>
  <c r="J151" i="18"/>
  <c r="J150" i="18"/>
  <c r="J149" i="18"/>
  <c r="J148" i="18"/>
  <c r="J147" i="18"/>
  <c r="J146" i="18"/>
  <c r="J145" i="18"/>
  <c r="J144" i="18"/>
  <c r="J143" i="18"/>
  <c r="J142" i="18"/>
  <c r="J141" i="18"/>
  <c r="J140" i="18"/>
  <c r="J139" i="18"/>
  <c r="J138" i="18"/>
  <c r="J137" i="18"/>
  <c r="J131" i="18"/>
  <c r="J132" i="18" s="1"/>
  <c r="J125" i="18"/>
  <c r="J124" i="18"/>
  <c r="J123" i="18"/>
  <c r="J122" i="18"/>
  <c r="J116" i="18"/>
  <c r="J115" i="18"/>
  <c r="J114" i="18"/>
  <c r="J113" i="18"/>
  <c r="J112" i="18"/>
  <c r="J111" i="18"/>
  <c r="J110" i="18"/>
  <c r="J105" i="18"/>
  <c r="J104" i="18"/>
  <c r="J103" i="18"/>
  <c r="J98" i="18"/>
  <c r="J97" i="18"/>
  <c r="J96" i="18"/>
  <c r="J90" i="18"/>
  <c r="J89" i="18"/>
  <c r="J88" i="18"/>
  <c r="J87" i="18"/>
  <c r="J86" i="18"/>
  <c r="J85" i="18"/>
  <c r="J84" i="18"/>
  <c r="J83" i="18"/>
  <c r="J82" i="18"/>
  <c r="J81" i="18"/>
  <c r="J80" i="18"/>
  <c r="J79" i="18"/>
  <c r="J78" i="18"/>
  <c r="J77" i="18"/>
  <c r="J76" i="18"/>
  <c r="J75" i="18"/>
  <c r="J74" i="18"/>
  <c r="J73" i="18"/>
  <c r="J72" i="18"/>
  <c r="J71" i="18"/>
  <c r="J66" i="18"/>
  <c r="J65" i="18"/>
  <c r="J64" i="18"/>
  <c r="J63" i="18"/>
  <c r="J62" i="18"/>
  <c r="J57" i="18"/>
  <c r="J56" i="18"/>
  <c r="J55" i="18"/>
  <c r="J54" i="18"/>
  <c r="J53" i="18"/>
  <c r="J52" i="18"/>
  <c r="J51" i="18"/>
  <c r="J50" i="18"/>
  <c r="J49" i="18"/>
  <c r="J48" i="18"/>
  <c r="J47" i="18"/>
  <c r="J46" i="18"/>
  <c r="J45" i="18"/>
  <c r="J44" i="18"/>
  <c r="J43" i="18"/>
  <c r="J42" i="18"/>
  <c r="J41" i="18"/>
  <c r="J40" i="18"/>
  <c r="J39" i="18"/>
  <c r="J38" i="18"/>
  <c r="J37" i="18"/>
  <c r="J32" i="18"/>
  <c r="J31" i="18"/>
  <c r="J30" i="18"/>
  <c r="J29" i="18"/>
  <c r="J28" i="18"/>
  <c r="J27" i="18"/>
  <c r="J26" i="18"/>
  <c r="J25" i="18"/>
  <c r="J24" i="18"/>
  <c r="J23" i="18"/>
  <c r="J22" i="18"/>
  <c r="J21" i="18"/>
  <c r="J20" i="18"/>
  <c r="J15" i="18"/>
  <c r="J14" i="18"/>
  <c r="J13" i="18"/>
  <c r="J12" i="18"/>
  <c r="J11" i="18"/>
  <c r="J10" i="18"/>
  <c r="J9" i="18"/>
  <c r="J8" i="18"/>
  <c r="J7" i="18"/>
  <c r="J1" i="18"/>
  <c r="J2" i="18" s="1"/>
  <c r="J158" i="18" l="1"/>
  <c r="J159" i="18" s="1"/>
  <c r="J160" i="18" s="1"/>
  <c r="J187" i="18"/>
  <c r="S2053" i="5"/>
  <c r="T2053" i="5" s="1"/>
  <c r="S2055" i="5"/>
  <c r="T2055" i="5" s="1"/>
  <c r="J179" i="18"/>
  <c r="J180" i="18" s="1"/>
  <c r="J181" i="18" s="1"/>
  <c r="J58" i="18"/>
  <c r="J59" i="18" s="1"/>
  <c r="J60" i="18" s="1"/>
  <c r="J117" i="18"/>
  <c r="J118" i="18" s="1"/>
  <c r="J119" i="18" s="1"/>
  <c r="J16" i="18"/>
  <c r="J17" i="18" s="1"/>
  <c r="J18" i="18" s="1"/>
  <c r="J91" i="18"/>
  <c r="J92" i="18" s="1"/>
  <c r="J93" i="18" s="1"/>
  <c r="J99" i="18"/>
  <c r="J100" i="18" s="1"/>
  <c r="J101" i="18" s="1"/>
  <c r="J3" i="18"/>
  <c r="J4" i="18" s="1"/>
  <c r="J67" i="18"/>
  <c r="J68" i="18" s="1"/>
  <c r="J69" i="18" s="1"/>
  <c r="J33" i="18"/>
  <c r="J34" i="18" s="1"/>
  <c r="J35" i="18" s="1"/>
  <c r="J106" i="18"/>
  <c r="J107" i="18" s="1"/>
  <c r="J108" i="18" s="1"/>
  <c r="J126" i="18"/>
  <c r="J127" i="18" s="1"/>
  <c r="J128" i="18" s="1"/>
  <c r="J133" i="18"/>
  <c r="J134" i="18" s="1"/>
  <c r="J164" i="18"/>
  <c r="J165" i="18" s="1"/>
  <c r="J188" i="18"/>
  <c r="J189" i="18" s="1"/>
  <c r="Q2098" i="5"/>
  <c r="S2098" i="5" s="1"/>
  <c r="Q2099" i="5"/>
  <c r="S2099" i="5" s="1"/>
  <c r="Q2100" i="5"/>
  <c r="S2100" i="5" s="1"/>
  <c r="Q2101" i="5"/>
  <c r="S2101" i="5" s="1"/>
  <c r="T2058" i="5" l="1"/>
  <c r="T2100" i="5"/>
  <c r="T2101" i="5"/>
  <c r="T2098" i="5"/>
  <c r="T2099" i="5"/>
  <c r="Q1959" i="5" l="1"/>
  <c r="S1959" i="5" s="1"/>
  <c r="T1959" i="5" s="1"/>
  <c r="Q1960" i="5"/>
  <c r="S1960" i="5" s="1"/>
  <c r="Q1961" i="5"/>
  <c r="S1961" i="5" s="1"/>
  <c r="Q1962" i="5"/>
  <c r="S1962" i="5" s="1"/>
  <c r="Q1963" i="5"/>
  <c r="S1963" i="5" s="1"/>
  <c r="Q1964" i="5"/>
  <c r="S1964" i="5" s="1"/>
  <c r="Q1965" i="5"/>
  <c r="Q1958" i="5"/>
  <c r="S1965" i="5" l="1"/>
  <c r="T1965" i="5" s="1"/>
  <c r="S1958" i="5"/>
  <c r="T1958" i="5" s="1"/>
  <c r="T1961" i="5"/>
  <c r="T1964" i="5"/>
  <c r="T1962" i="5"/>
  <c r="T1963" i="5"/>
  <c r="T1960" i="5"/>
  <c r="T1968" i="5" l="1"/>
  <c r="J2135" i="5"/>
  <c r="J2136" i="5"/>
  <c r="J2137" i="5"/>
  <c r="J2138" i="5"/>
  <c r="J2139" i="5"/>
  <c r="J2140" i="5"/>
  <c r="J2141" i="5"/>
  <c r="J2142" i="5"/>
  <c r="J2143" i="5"/>
  <c r="J2144" i="5"/>
  <c r="J2145" i="5"/>
  <c r="J2146" i="5"/>
  <c r="J2147" i="5"/>
  <c r="J2152" i="5"/>
  <c r="J2153" i="5"/>
  <c r="J2154" i="5"/>
  <c r="J2155" i="5"/>
  <c r="J2160" i="5"/>
  <c r="J2161" i="5" s="1"/>
  <c r="Q2097" i="5"/>
  <c r="J2162" i="5" l="1"/>
  <c r="J2163" i="5" s="1"/>
  <c r="J2148" i="5"/>
  <c r="J2156" i="5"/>
  <c r="S2097" i="5"/>
  <c r="T2097" i="5" s="1"/>
  <c r="T2104" i="5" s="1"/>
  <c r="Q1828" i="5"/>
  <c r="S1828" i="5" s="1"/>
  <c r="T1828" i="5" s="1"/>
  <c r="Q1829" i="5"/>
  <c r="Q1830" i="5"/>
  <c r="S1830" i="5" s="1"/>
  <c r="Q1831" i="5"/>
  <c r="S1831" i="5" s="1"/>
  <c r="Q1832" i="5"/>
  <c r="S1832" i="5" s="1"/>
  <c r="Q1833" i="5"/>
  <c r="Q1827" i="5"/>
  <c r="S1827" i="5" s="1"/>
  <c r="J2157" i="5" l="1"/>
  <c r="J2158" i="5" s="1"/>
  <c r="J2149" i="5"/>
  <c r="J2150" i="5" s="1"/>
  <c r="T1830" i="5"/>
  <c r="S1833" i="5"/>
  <c r="T1833" i="5" s="1"/>
  <c r="T1827" i="5"/>
  <c r="S1829" i="5"/>
  <c r="T1829" i="5" s="1"/>
  <c r="T1831" i="5"/>
  <c r="T1832" i="5"/>
  <c r="T1836" i="5" l="1"/>
  <c r="Q1784" i="5" l="1"/>
  <c r="S1784" i="5" s="1"/>
  <c r="Q1783" i="5"/>
  <c r="S1783" i="5" s="1"/>
  <c r="T1783" i="5" s="1"/>
  <c r="Q2041" i="5"/>
  <c r="T2041" i="5" s="1"/>
  <c r="Q1998" i="5"/>
  <c r="S1998" i="5" s="1"/>
  <c r="Q1999" i="5"/>
  <c r="S1999" i="5" s="1"/>
  <c r="Q2000" i="5"/>
  <c r="S2000" i="5" s="1"/>
  <c r="T2000" i="5" s="1"/>
  <c r="Q2001" i="5"/>
  <c r="S2001" i="5" s="1"/>
  <c r="T2001" i="5" s="1"/>
  <c r="Q2002" i="5"/>
  <c r="S2002" i="5" s="1"/>
  <c r="Q1997" i="5"/>
  <c r="S1997" i="5" s="1"/>
  <c r="T1784" i="5" l="1"/>
  <c r="T1786" i="5" s="1"/>
  <c r="T2002" i="5"/>
  <c r="T1997" i="5"/>
  <c r="T1998" i="5"/>
  <c r="T1999" i="5"/>
  <c r="T2005" i="5" l="1"/>
  <c r="X743" i="5" l="1"/>
  <c r="Q2086" i="5"/>
  <c r="S2086" i="5" s="1"/>
  <c r="T2086" i="5" s="1"/>
  <c r="Q2087" i="5"/>
  <c r="S2087" i="5" s="1"/>
  <c r="Q2085" i="5"/>
  <c r="S2085" i="5" s="1"/>
  <c r="T2085" i="5" s="1"/>
  <c r="T2087" i="5" l="1"/>
  <c r="T2090" i="5" s="1"/>
  <c r="Q1863" i="5"/>
  <c r="S1863" i="5" s="1"/>
  <c r="Q1862" i="5"/>
  <c r="S1862" i="5" s="1"/>
  <c r="T1862" i="5" s="1"/>
  <c r="Q2072" i="5"/>
  <c r="S2072" i="5" s="1"/>
  <c r="Q2071" i="5"/>
  <c r="Q2040" i="5"/>
  <c r="T2040" i="5" s="1"/>
  <c r="T2044" i="5" s="1"/>
  <c r="Q1971" i="5"/>
  <c r="Q1972" i="5"/>
  <c r="S1972" i="5" s="1"/>
  <c r="Q1973" i="5"/>
  <c r="S1973" i="5" s="1"/>
  <c r="T1973" i="5" s="1"/>
  <c r="Q1974" i="5"/>
  <c r="S1974" i="5" s="1"/>
  <c r="T1974" i="5" s="1"/>
  <c r="Q1975" i="5"/>
  <c r="S1975" i="5" s="1"/>
  <c r="T1975" i="5" s="1"/>
  <c r="Q1976" i="5"/>
  <c r="S1976" i="5" s="1"/>
  <c r="T1976" i="5" s="1"/>
  <c r="Q1977" i="5"/>
  <c r="S1977" i="5" s="1"/>
  <c r="T1977" i="5" s="1"/>
  <c r="Q1978" i="5"/>
  <c r="Q1979" i="5"/>
  <c r="S1979" i="5" s="1"/>
  <c r="T1979" i="5" s="1"/>
  <c r="Q1980" i="5"/>
  <c r="S1980" i="5" s="1"/>
  <c r="T1980" i="5" s="1"/>
  <c r="Q1981" i="5"/>
  <c r="S1981" i="5" s="1"/>
  <c r="T1981" i="5" s="1"/>
  <c r="Q1982" i="5"/>
  <c r="Q1983" i="5"/>
  <c r="Q1984" i="5"/>
  <c r="S1984" i="5" s="1"/>
  <c r="T1984" i="5" s="1"/>
  <c r="Q1985" i="5"/>
  <c r="S1985" i="5" s="1"/>
  <c r="T1985" i="5" s="1"/>
  <c r="Q1986" i="5"/>
  <c r="S1986" i="5" s="1"/>
  <c r="T1986" i="5" s="1"/>
  <c r="Q1987" i="5"/>
  <c r="S1987" i="5" s="1"/>
  <c r="T1987" i="5" s="1"/>
  <c r="Q1988" i="5"/>
  <c r="S1988" i="5" s="1"/>
  <c r="T1988" i="5" s="1"/>
  <c r="Q1989" i="5"/>
  <c r="S1989" i="5" s="1"/>
  <c r="T1989" i="5" s="1"/>
  <c r="Q1990" i="5"/>
  <c r="S1990" i="5" s="1"/>
  <c r="T1990" i="5" s="1"/>
  <c r="Q1991" i="5"/>
  <c r="Q1992" i="5"/>
  <c r="Q1970" i="5"/>
  <c r="J2108" i="5"/>
  <c r="J2109" i="5"/>
  <c r="J2110" i="5"/>
  <c r="J2111" i="5"/>
  <c r="J2112" i="5"/>
  <c r="J2113" i="5"/>
  <c r="J2114" i="5"/>
  <c r="J2115" i="5"/>
  <c r="J2116" i="5"/>
  <c r="J2117" i="5"/>
  <c r="J2118" i="5"/>
  <c r="J2119" i="5"/>
  <c r="J2120" i="5"/>
  <c r="J2121" i="5"/>
  <c r="J2122" i="5"/>
  <c r="J2123" i="5"/>
  <c r="J2124" i="5"/>
  <c r="J2125" i="5"/>
  <c r="J2126" i="5"/>
  <c r="J2130" i="5"/>
  <c r="J2131" i="5"/>
  <c r="J2132" i="5" s="1"/>
  <c r="J2165" i="5"/>
  <c r="J2166" i="5"/>
  <c r="J2097" i="5"/>
  <c r="J2098" i="5"/>
  <c r="J2099" i="5"/>
  <c r="J2100" i="5"/>
  <c r="J2101" i="5"/>
  <c r="J2106" i="5"/>
  <c r="J2107" i="5"/>
  <c r="J2171" i="5"/>
  <c r="J2172" i="5" s="1"/>
  <c r="J2092" i="5"/>
  <c r="J2093" i="5" s="1"/>
  <c r="J2087" i="5"/>
  <c r="J2086" i="5"/>
  <c r="J2085" i="5"/>
  <c r="Q1759" i="5"/>
  <c r="S1759" i="5" s="1"/>
  <c r="T1759" i="5" s="1"/>
  <c r="Q1760" i="5"/>
  <c r="S1760" i="5" s="1"/>
  <c r="T1760" i="5" s="1"/>
  <c r="Q1761" i="5"/>
  <c r="S1761" i="5" s="1"/>
  <c r="T1761" i="5" s="1"/>
  <c r="Q1762" i="5"/>
  <c r="S1762" i="5" s="1"/>
  <c r="T1762" i="5" s="1"/>
  <c r="Q1763" i="5"/>
  <c r="S1763" i="5" s="1"/>
  <c r="T1763" i="5" s="1"/>
  <c r="Q1764" i="5"/>
  <c r="S1764" i="5" s="1"/>
  <c r="T1764" i="5" s="1"/>
  <c r="Q1765" i="5"/>
  <c r="S1765" i="5" s="1"/>
  <c r="T1765" i="5" s="1"/>
  <c r="Q1758" i="5"/>
  <c r="Q1920" i="5"/>
  <c r="S1920" i="5" s="1"/>
  <c r="T1920" i="5" s="1"/>
  <c r="Q1921" i="5"/>
  <c r="S1921" i="5" s="1"/>
  <c r="T1921" i="5" s="1"/>
  <c r="Q1922" i="5"/>
  <c r="S1922" i="5" s="1"/>
  <c r="T1922" i="5" s="1"/>
  <c r="Q1923" i="5"/>
  <c r="S1923" i="5" s="1"/>
  <c r="T1923" i="5" s="1"/>
  <c r="Q1924" i="5"/>
  <c r="S1924" i="5" s="1"/>
  <c r="T1924" i="5" s="1"/>
  <c r="Q1925" i="5"/>
  <c r="S1925" i="5" s="1"/>
  <c r="T1925" i="5" s="1"/>
  <c r="Q1926" i="5"/>
  <c r="S1926" i="5" s="1"/>
  <c r="T1926" i="5" s="1"/>
  <c r="Q1927" i="5"/>
  <c r="S1927" i="5" s="1"/>
  <c r="T1927" i="5" s="1"/>
  <c r="Q1928" i="5"/>
  <c r="Q1919" i="5"/>
  <c r="Q1808" i="5"/>
  <c r="S1808" i="5" s="1"/>
  <c r="T1808" i="5" s="1"/>
  <c r="Q1809" i="5"/>
  <c r="S1809" i="5" s="1"/>
  <c r="T1809" i="5" s="1"/>
  <c r="Q1807" i="5"/>
  <c r="Q1801" i="5"/>
  <c r="S1801" i="5" s="1"/>
  <c r="T1801" i="5" s="1"/>
  <c r="Q1802" i="5"/>
  <c r="S1802" i="5" s="1"/>
  <c r="T1802" i="5" s="1"/>
  <c r="Q1800" i="5"/>
  <c r="Q1790" i="5"/>
  <c r="S1790" i="5" s="1"/>
  <c r="T1790" i="5" s="1"/>
  <c r="Q1791" i="5"/>
  <c r="S1791" i="5" s="1"/>
  <c r="T1791" i="5" s="1"/>
  <c r="Q1792" i="5"/>
  <c r="Q1793" i="5"/>
  <c r="S1793" i="5" s="1"/>
  <c r="T1793" i="5" s="1"/>
  <c r="Q1794" i="5"/>
  <c r="S1794" i="5" s="1"/>
  <c r="T1794" i="5" s="1"/>
  <c r="Q1795" i="5"/>
  <c r="S1795" i="5" s="1"/>
  <c r="T1795" i="5" s="1"/>
  <c r="Q1789" i="5"/>
  <c r="Q1744" i="5"/>
  <c r="J2061" i="5"/>
  <c r="J2062" i="5"/>
  <c r="J2063" i="5"/>
  <c r="J2064" i="5"/>
  <c r="J2065" i="5"/>
  <c r="J2066" i="5"/>
  <c r="J2071" i="5"/>
  <c r="J2072" i="5"/>
  <c r="J2077" i="5"/>
  <c r="J2078" i="5"/>
  <c r="J2079" i="5"/>
  <c r="J2080" i="5"/>
  <c r="J2060" i="5"/>
  <c r="Q1894" i="5"/>
  <c r="S1894" i="5" s="1"/>
  <c r="T1894" i="5" s="1"/>
  <c r="Q1895" i="5"/>
  <c r="S1895" i="5" s="1"/>
  <c r="T1895" i="5" s="1"/>
  <c r="Q1896" i="5"/>
  <c r="S1896" i="5" s="1"/>
  <c r="T1896" i="5" s="1"/>
  <c r="Q1897" i="5"/>
  <c r="S1897" i="5" s="1"/>
  <c r="T1897" i="5" s="1"/>
  <c r="Q1893" i="5"/>
  <c r="J2031" i="5"/>
  <c r="J2017" i="5"/>
  <c r="J2018" i="5"/>
  <c r="J2019" i="5"/>
  <c r="J2020" i="5"/>
  <c r="J2021" i="5"/>
  <c r="J2022" i="5"/>
  <c r="J2023" i="5"/>
  <c r="J2024" i="5"/>
  <c r="J2025" i="5"/>
  <c r="J2026" i="5"/>
  <c r="J2027" i="5"/>
  <c r="J2028" i="5"/>
  <c r="J2029" i="5"/>
  <c r="J2030" i="5"/>
  <c r="J2032" i="5"/>
  <c r="J2033" i="5"/>
  <c r="J2034" i="5"/>
  <c r="J2035" i="5"/>
  <c r="J2040" i="5"/>
  <c r="J2041" i="5"/>
  <c r="J2046" i="5"/>
  <c r="J2047" i="5"/>
  <c r="J2048" i="5"/>
  <c r="J2053" i="5"/>
  <c r="J2054" i="5"/>
  <c r="J2055" i="5"/>
  <c r="J2016" i="5"/>
  <c r="Q1887" i="5"/>
  <c r="Q1888" i="5"/>
  <c r="Q1886" i="5"/>
  <c r="S1886" i="5" s="1"/>
  <c r="T1886" i="5" s="1"/>
  <c r="Q1844" i="5"/>
  <c r="S1844" i="5" s="1"/>
  <c r="T1844" i="5" s="1"/>
  <c r="T1847" i="5" s="1"/>
  <c r="Q1903" i="5"/>
  <c r="S1903" i="5" s="1"/>
  <c r="T1903" i="5" s="1"/>
  <c r="Q1904" i="5"/>
  <c r="S1904" i="5" s="1"/>
  <c r="T1904" i="5" s="1"/>
  <c r="Q1905" i="5"/>
  <c r="S1905" i="5" s="1"/>
  <c r="T1905" i="5" s="1"/>
  <c r="Q1906" i="5"/>
  <c r="Q1907" i="5"/>
  <c r="Q1908" i="5"/>
  <c r="Q1909" i="5"/>
  <c r="Q1910" i="5"/>
  <c r="Q1911" i="5"/>
  <c r="Q1912" i="5"/>
  <c r="Q1913" i="5"/>
  <c r="Q1914" i="5"/>
  <c r="Q1902" i="5"/>
  <c r="Q1874" i="5"/>
  <c r="S1874" i="5" s="1"/>
  <c r="Q1869" i="5"/>
  <c r="S1869" i="5" s="1"/>
  <c r="T1869" i="5" s="1"/>
  <c r="Q1868" i="5"/>
  <c r="J1972" i="5"/>
  <c r="J1973" i="5"/>
  <c r="J1974" i="5"/>
  <c r="J1975" i="5"/>
  <c r="J1976" i="5"/>
  <c r="J1977" i="5"/>
  <c r="J1978" i="5"/>
  <c r="J1979" i="5"/>
  <c r="J1980" i="5"/>
  <c r="J1981" i="5"/>
  <c r="J1982" i="5"/>
  <c r="J1983" i="5"/>
  <c r="J1984" i="5"/>
  <c r="J1985" i="5"/>
  <c r="J1986" i="5"/>
  <c r="J1987" i="5"/>
  <c r="J1988" i="5"/>
  <c r="J1989" i="5"/>
  <c r="J1990" i="5"/>
  <c r="J1991" i="5"/>
  <c r="J1992" i="5"/>
  <c r="J1997" i="5"/>
  <c r="J1998" i="5"/>
  <c r="J1999" i="5"/>
  <c r="J2000" i="5"/>
  <c r="J2001" i="5"/>
  <c r="J2002" i="5"/>
  <c r="J2006" i="5"/>
  <c r="J2007" i="5"/>
  <c r="J2008" i="5"/>
  <c r="J2009" i="5"/>
  <c r="J2010" i="5"/>
  <c r="J1950" i="5"/>
  <c r="J1951" i="5"/>
  <c r="J1952" i="5"/>
  <c r="J1953" i="5"/>
  <c r="J1958" i="5"/>
  <c r="J1959" i="5"/>
  <c r="J1960" i="5"/>
  <c r="J1961" i="5"/>
  <c r="J1962" i="5"/>
  <c r="J1963" i="5"/>
  <c r="J1964" i="5"/>
  <c r="J1965" i="5"/>
  <c r="J1970" i="5"/>
  <c r="J1971" i="5"/>
  <c r="J2011" i="5"/>
  <c r="J1921" i="5"/>
  <c r="J1922" i="5"/>
  <c r="J1923" i="5"/>
  <c r="J1924" i="5"/>
  <c r="J1925" i="5"/>
  <c r="J1926" i="5"/>
  <c r="J1927" i="5"/>
  <c r="J1928" i="5"/>
  <c r="J1933" i="5"/>
  <c r="J1934" i="5"/>
  <c r="J1935" i="5"/>
  <c r="J1936" i="5"/>
  <c r="J1937" i="5"/>
  <c r="J1938" i="5"/>
  <c r="J1939" i="5"/>
  <c r="J1940" i="5"/>
  <c r="J1941" i="5"/>
  <c r="J1942" i="5"/>
  <c r="J1943" i="5"/>
  <c r="J1944" i="5"/>
  <c r="J1945" i="5"/>
  <c r="J1946" i="5"/>
  <c r="J1947" i="5"/>
  <c r="J1948" i="5"/>
  <c r="J1902" i="5"/>
  <c r="J1903" i="5"/>
  <c r="J1904" i="5"/>
  <c r="J1905" i="5"/>
  <c r="J1906" i="5"/>
  <c r="J1907" i="5"/>
  <c r="J1908" i="5"/>
  <c r="J1909" i="5"/>
  <c r="J1910" i="5"/>
  <c r="J1911" i="5"/>
  <c r="J1912" i="5"/>
  <c r="J1913" i="5"/>
  <c r="J1914" i="5"/>
  <c r="J1919" i="5"/>
  <c r="J1920" i="5"/>
  <c r="J1949" i="5"/>
  <c r="J1879" i="5"/>
  <c r="J1880" i="5"/>
  <c r="J1881" i="5"/>
  <c r="J1886" i="5"/>
  <c r="J1887" i="5"/>
  <c r="J1888" i="5"/>
  <c r="J1893" i="5"/>
  <c r="J1894" i="5"/>
  <c r="J1895" i="5"/>
  <c r="J1896" i="5"/>
  <c r="J1897" i="5"/>
  <c r="Q1815" i="5"/>
  <c r="S1815" i="5" s="1"/>
  <c r="T1815" i="5" s="1"/>
  <c r="Q1816" i="5"/>
  <c r="S1816" i="5" s="1"/>
  <c r="T1816" i="5" s="1"/>
  <c r="Q1814" i="5"/>
  <c r="J1863" i="5"/>
  <c r="J1862" i="5"/>
  <c r="Q1771" i="5"/>
  <c r="S1771" i="5" s="1"/>
  <c r="T1771" i="5" s="1"/>
  <c r="Q1770" i="5"/>
  <c r="Q1750" i="5"/>
  <c r="S1750" i="5" s="1"/>
  <c r="T1750" i="5" s="1"/>
  <c r="Q1751" i="5"/>
  <c r="S1751" i="5" s="1"/>
  <c r="T1751" i="5" s="1"/>
  <c r="Q1752" i="5"/>
  <c r="S1752" i="5" s="1"/>
  <c r="T1752" i="5" s="1"/>
  <c r="Q1753" i="5"/>
  <c r="S1753" i="5" s="1"/>
  <c r="T1753" i="5" s="1"/>
  <c r="Q1749" i="5"/>
  <c r="Q1711" i="5"/>
  <c r="Q1710" i="5"/>
  <c r="J1828" i="5"/>
  <c r="J1829" i="5"/>
  <c r="J1830" i="5"/>
  <c r="J1831" i="5"/>
  <c r="J1832" i="5"/>
  <c r="J1833" i="5"/>
  <c r="J1827" i="5"/>
  <c r="J1844" i="5"/>
  <c r="J1845" i="5" s="1"/>
  <c r="J1848" i="5"/>
  <c r="J1849" i="5"/>
  <c r="J1850" i="5"/>
  <c r="J1851" i="5"/>
  <c r="J1852" i="5"/>
  <c r="J1853" i="5"/>
  <c r="J1854" i="5"/>
  <c r="J1855" i="5"/>
  <c r="J1856" i="5"/>
  <c r="J1857" i="5"/>
  <c r="J1861" i="5"/>
  <c r="J1868" i="5"/>
  <c r="J1869" i="5"/>
  <c r="J1874" i="5"/>
  <c r="J1875" i="5" s="1"/>
  <c r="F4" i="16"/>
  <c r="G4" i="16" s="1"/>
  <c r="F10" i="16"/>
  <c r="G10" i="16" s="1"/>
  <c r="E16" i="16"/>
  <c r="F8" i="16"/>
  <c r="G8" i="16" s="1"/>
  <c r="F5" i="16"/>
  <c r="G5" i="16" s="1"/>
  <c r="F6" i="16"/>
  <c r="G6" i="16" s="1"/>
  <c r="F7" i="16"/>
  <c r="G7" i="16" s="1"/>
  <c r="F9" i="16"/>
  <c r="G9" i="16" s="1"/>
  <c r="F11" i="16"/>
  <c r="G11" i="16" s="1"/>
  <c r="F12" i="16"/>
  <c r="G12" i="16" s="1"/>
  <c r="F13" i="16"/>
  <c r="G13" i="16" s="1"/>
  <c r="F14" i="16"/>
  <c r="G14" i="16" s="1"/>
  <c r="F15" i="16"/>
  <c r="G15" i="16" s="1"/>
  <c r="F3" i="16"/>
  <c r="G3" i="16" s="1"/>
  <c r="Q1777" i="5"/>
  <c r="Q1776" i="5"/>
  <c r="J1806" i="5"/>
  <c r="J1807" i="5"/>
  <c r="J1808" i="5"/>
  <c r="J1809" i="5"/>
  <c r="J1814" i="5"/>
  <c r="J1815" i="5"/>
  <c r="J1816" i="5"/>
  <c r="J1821" i="5"/>
  <c r="J1822" i="5"/>
  <c r="J1838" i="5"/>
  <c r="J1839" i="5"/>
  <c r="J1783" i="5"/>
  <c r="J1784" i="5"/>
  <c r="J1788" i="5"/>
  <c r="J1789" i="5"/>
  <c r="J1790" i="5"/>
  <c r="J1791" i="5"/>
  <c r="J1792" i="5"/>
  <c r="J1793" i="5"/>
  <c r="J1794" i="5"/>
  <c r="J1795" i="5"/>
  <c r="J1800" i="5"/>
  <c r="J1801" i="5"/>
  <c r="J1802" i="5"/>
  <c r="Q1727" i="5"/>
  <c r="Q1728" i="5"/>
  <c r="S1728" i="5" s="1"/>
  <c r="T1728" i="5" s="1"/>
  <c r="Q1726" i="5"/>
  <c r="Q1721" i="5"/>
  <c r="J1760" i="5"/>
  <c r="J1761" i="5"/>
  <c r="J1762" i="5"/>
  <c r="J1763" i="5"/>
  <c r="J1764" i="5"/>
  <c r="J1765" i="5"/>
  <c r="J1770" i="5"/>
  <c r="J1771" i="5"/>
  <c r="J1776" i="5"/>
  <c r="J1777" i="5"/>
  <c r="J1782" i="5"/>
  <c r="Q1695" i="5"/>
  <c r="Q1716" i="5"/>
  <c r="S1716" i="5" s="1"/>
  <c r="T1716" i="5" s="1"/>
  <c r="T1719" i="5" s="1"/>
  <c r="Q1734" i="5"/>
  <c r="S1734" i="5" s="1"/>
  <c r="T1734" i="5" s="1"/>
  <c r="Q1735" i="5"/>
  <c r="S1735" i="5" s="1"/>
  <c r="T1735" i="5" s="1"/>
  <c r="Q1736" i="5"/>
  <c r="S1736" i="5" s="1"/>
  <c r="T1736" i="5" s="1"/>
  <c r="Q1737" i="5"/>
  <c r="Q1738" i="5"/>
  <c r="Q1739" i="5"/>
  <c r="Q1733" i="5"/>
  <c r="Q1562" i="5"/>
  <c r="S1562" i="5" s="1"/>
  <c r="T1562" i="5" s="1"/>
  <c r="Q1563" i="5"/>
  <c r="S1563" i="5" s="1"/>
  <c r="T1563" i="5" s="1"/>
  <c r="Q1564" i="5"/>
  <c r="S1564" i="5" s="1"/>
  <c r="T1564" i="5" s="1"/>
  <c r="Q1561" i="5"/>
  <c r="Q1531" i="5"/>
  <c r="S1531" i="5" s="1"/>
  <c r="T1531" i="5" s="1"/>
  <c r="Q1532" i="5"/>
  <c r="S1532" i="5" s="1"/>
  <c r="T1532" i="5" s="1"/>
  <c r="Q1533" i="5"/>
  <c r="S1533" i="5" s="1"/>
  <c r="T1533" i="5" s="1"/>
  <c r="Q1534" i="5"/>
  <c r="Q1535" i="5"/>
  <c r="S1535" i="5" s="1"/>
  <c r="T1535" i="5" s="1"/>
  <c r="Q1536" i="5"/>
  <c r="Q1537" i="5"/>
  <c r="S1537" i="5" s="1"/>
  <c r="T1537" i="5" s="1"/>
  <c r="Q1538" i="5"/>
  <c r="Q1539" i="5"/>
  <c r="Q1540" i="5"/>
  <c r="S1540" i="5" s="1"/>
  <c r="T1540" i="5" s="1"/>
  <c r="Q1541" i="5"/>
  <c r="S1541" i="5" s="1"/>
  <c r="T1541" i="5" s="1"/>
  <c r="Q1542" i="5"/>
  <c r="S1542" i="5" s="1"/>
  <c r="T1542" i="5" s="1"/>
  <c r="Q1543" i="5"/>
  <c r="S1543" i="5" s="1"/>
  <c r="T1543" i="5" s="1"/>
  <c r="Q1544" i="5"/>
  <c r="S1544" i="5" s="1"/>
  <c r="T1544" i="5" s="1"/>
  <c r="Q1545" i="5"/>
  <c r="S1545" i="5" s="1"/>
  <c r="T1545" i="5" s="1"/>
  <c r="Q1546" i="5"/>
  <c r="S1546" i="5" s="1"/>
  <c r="T1546" i="5" s="1"/>
  <c r="Q1547" i="5"/>
  <c r="S1547" i="5" s="1"/>
  <c r="T1547" i="5" s="1"/>
  <c r="Q1548" i="5"/>
  <c r="S1548" i="5" s="1"/>
  <c r="T1548" i="5" s="1"/>
  <c r="Q1549" i="5"/>
  <c r="S1549" i="5" s="1"/>
  <c r="T1549" i="5" s="1"/>
  <c r="Q1550" i="5"/>
  <c r="S1550" i="5" s="1"/>
  <c r="T1550" i="5" s="1"/>
  <c r="Q1551" i="5"/>
  <c r="Q1530" i="5"/>
  <c r="Q1602" i="5"/>
  <c r="S1602" i="5" s="1"/>
  <c r="T1602" i="5" s="1"/>
  <c r="Q1603" i="5"/>
  <c r="S1603" i="5" s="1"/>
  <c r="T1603" i="5" s="1"/>
  <c r="Q1604" i="5"/>
  <c r="Q1601" i="5"/>
  <c r="J1734" i="5"/>
  <c r="J1735" i="5"/>
  <c r="J1736" i="5"/>
  <c r="J1737" i="5"/>
  <c r="J1738" i="5"/>
  <c r="J1739" i="5"/>
  <c r="J1744" i="5"/>
  <c r="J1745" i="5" s="1"/>
  <c r="J1748" i="5"/>
  <c r="J1749" i="5"/>
  <c r="J1750" i="5"/>
  <c r="J1751" i="5"/>
  <c r="J1752" i="5"/>
  <c r="J1753" i="5"/>
  <c r="J1758" i="5"/>
  <c r="J1759" i="5"/>
  <c r="Q1621" i="5"/>
  <c r="Q1687" i="5"/>
  <c r="Q1688" i="5"/>
  <c r="S1688" i="5" s="1"/>
  <c r="T1688" i="5" s="1"/>
  <c r="Q1689" i="5"/>
  <c r="S1689" i="5" s="1"/>
  <c r="T1689" i="5" s="1"/>
  <c r="Q1690" i="5"/>
  <c r="S1690" i="5" s="1"/>
  <c r="T1690" i="5" s="1"/>
  <c r="Q1686" i="5"/>
  <c r="Q1635" i="5"/>
  <c r="S1635" i="5" s="1"/>
  <c r="T1635" i="5" s="1"/>
  <c r="Q1636" i="5"/>
  <c r="S1636" i="5" s="1"/>
  <c r="T1636" i="5" s="1"/>
  <c r="Q1637" i="5"/>
  <c r="S1637" i="5" s="1"/>
  <c r="T1637" i="5" s="1"/>
  <c r="Q1638" i="5"/>
  <c r="S1638" i="5" s="1"/>
  <c r="T1638" i="5" s="1"/>
  <c r="Q1639" i="5"/>
  <c r="Q1634" i="5"/>
  <c r="Q1701" i="5"/>
  <c r="S1701" i="5" s="1"/>
  <c r="T1701" i="5" s="1"/>
  <c r="Q1702" i="5"/>
  <c r="S1702" i="5" s="1"/>
  <c r="T1702" i="5" s="1"/>
  <c r="Q1703" i="5"/>
  <c r="S1703" i="5" s="1"/>
  <c r="T1703" i="5" s="1"/>
  <c r="Q1704" i="5"/>
  <c r="S1704" i="5" s="1"/>
  <c r="T1704" i="5" s="1"/>
  <c r="Q1705" i="5"/>
  <c r="S1705" i="5" s="1"/>
  <c r="T1705" i="5" s="1"/>
  <c r="Q1700" i="5"/>
  <c r="Q1491" i="5"/>
  <c r="Q1492" i="5"/>
  <c r="Q1493" i="5"/>
  <c r="Q1494" i="5"/>
  <c r="Q1495" i="5"/>
  <c r="Q1496" i="5"/>
  <c r="Q1681" i="5"/>
  <c r="S1681" i="5" s="1"/>
  <c r="T1681" i="5" s="1"/>
  <c r="Q1680" i="5"/>
  <c r="Q1616" i="5"/>
  <c r="Q1610" i="5"/>
  <c r="Q1611" i="5"/>
  <c r="S1611" i="5" s="1"/>
  <c r="T1611" i="5" s="1"/>
  <c r="J1690" i="5"/>
  <c r="J1695" i="5"/>
  <c r="J1696" i="5" s="1"/>
  <c r="J1700" i="5"/>
  <c r="J1701" i="5"/>
  <c r="J1702" i="5"/>
  <c r="J1703" i="5"/>
  <c r="J1704" i="5"/>
  <c r="J1705" i="5"/>
  <c r="J1710" i="5"/>
  <c r="J1711" i="5"/>
  <c r="J1716" i="5"/>
  <c r="J1717" i="5" s="1"/>
  <c r="J1721" i="5"/>
  <c r="J1722" i="5" s="1"/>
  <c r="J1726" i="5"/>
  <c r="J1727" i="5"/>
  <c r="J1728" i="5"/>
  <c r="J1733" i="5"/>
  <c r="Q29" i="12"/>
  <c r="S29" i="12" s="1"/>
  <c r="T29" i="12" s="1"/>
  <c r="Q30" i="12"/>
  <c r="S30" i="12" s="1"/>
  <c r="T30" i="12" s="1"/>
  <c r="Q31" i="12"/>
  <c r="S31" i="12" s="1"/>
  <c r="Q32" i="12"/>
  <c r="S32" i="12" s="1"/>
  <c r="Q33" i="12"/>
  <c r="S33" i="12" s="1"/>
  <c r="T33" i="12" s="1"/>
  <c r="Q34" i="12"/>
  <c r="S34" i="12" s="1"/>
  <c r="T34" i="12" s="1"/>
  <c r="Q28" i="12"/>
  <c r="S28" i="12" s="1"/>
  <c r="T28" i="12" s="1"/>
  <c r="Q1517" i="5"/>
  <c r="Q1516" i="5"/>
  <c r="Q1294" i="5"/>
  <c r="S1294" i="5" s="1"/>
  <c r="T1294" i="5" s="1"/>
  <c r="Q1295" i="5"/>
  <c r="S1295" i="5" s="1"/>
  <c r="T1295" i="5" s="1"/>
  <c r="Q1296" i="5"/>
  <c r="S1296" i="5" s="1"/>
  <c r="T1296" i="5" s="1"/>
  <c r="Q1297" i="5"/>
  <c r="S1297" i="5" s="1"/>
  <c r="T1297" i="5" s="1"/>
  <c r="Q1298" i="5"/>
  <c r="S1298" i="5" s="1"/>
  <c r="T1298" i="5" s="1"/>
  <c r="Q1299" i="5"/>
  <c r="S1299" i="5" s="1"/>
  <c r="T1299" i="5" s="1"/>
  <c r="Q1293" i="5"/>
  <c r="Q1654" i="5"/>
  <c r="Q1675" i="5"/>
  <c r="S1675" i="5" s="1"/>
  <c r="T1675" i="5" s="1"/>
  <c r="Q1674" i="5"/>
  <c r="Q1473" i="5"/>
  <c r="S1473" i="5" s="1"/>
  <c r="T1473" i="5" s="1"/>
  <c r="Q1472" i="5"/>
  <c r="Q1457" i="5"/>
  <c r="S1457" i="5" s="1"/>
  <c r="T1457" i="5" s="1"/>
  <c r="Q1458" i="5"/>
  <c r="S1458" i="5" s="1"/>
  <c r="T1458" i="5" s="1"/>
  <c r="Q1459" i="5"/>
  <c r="S1459" i="5" s="1"/>
  <c r="T1459" i="5" s="1"/>
  <c r="Q1460" i="5"/>
  <c r="S1460" i="5" s="1"/>
  <c r="T1460" i="5" s="1"/>
  <c r="Q1456" i="5"/>
  <c r="Q1627" i="5"/>
  <c r="S1627" i="5" s="1"/>
  <c r="T1627" i="5" s="1"/>
  <c r="Q1628" i="5"/>
  <c r="S1628" i="5" s="1"/>
  <c r="T1628" i="5" s="1"/>
  <c r="Q1629" i="5"/>
  <c r="S1629" i="5" s="1"/>
  <c r="T1629" i="5" s="1"/>
  <c r="Q1626" i="5"/>
  <c r="Q1367" i="5"/>
  <c r="Q1366" i="5"/>
  <c r="S1366" i="5" s="1"/>
  <c r="T1366" i="5" s="1"/>
  <c r="Q1365" i="5"/>
  <c r="Q1364" i="5"/>
  <c r="S1364" i="5" s="1"/>
  <c r="T1364" i="5" s="1"/>
  <c r="Q1363" i="5"/>
  <c r="Q1466" i="5"/>
  <c r="S1466" i="5" s="1"/>
  <c r="T1466" i="5" s="1"/>
  <c r="Q1467" i="5"/>
  <c r="Q1465" i="5"/>
  <c r="Q1609" i="5"/>
  <c r="Q1645" i="5"/>
  <c r="S1645" i="5" s="1"/>
  <c r="T1645" i="5" s="1"/>
  <c r="Q1646" i="5"/>
  <c r="S1646" i="5" s="1"/>
  <c r="T1646" i="5" s="1"/>
  <c r="Q1647" i="5"/>
  <c r="S1647" i="5" s="1"/>
  <c r="T1647" i="5" s="1"/>
  <c r="Q1648" i="5"/>
  <c r="S1648" i="5" s="1"/>
  <c r="T1648" i="5" s="1"/>
  <c r="Q1649" i="5"/>
  <c r="S1649" i="5" s="1"/>
  <c r="T1649" i="5" s="1"/>
  <c r="Q1644" i="5"/>
  <c r="Q1669" i="5"/>
  <c r="J1673" i="5"/>
  <c r="J1674" i="5"/>
  <c r="J1675" i="5"/>
  <c r="J1680" i="5"/>
  <c r="J1681" i="5"/>
  <c r="J1686" i="5"/>
  <c r="J1687" i="5"/>
  <c r="J1688" i="5"/>
  <c r="J1689" i="5"/>
  <c r="Q1660" i="5"/>
  <c r="Q1661" i="5"/>
  <c r="S1661" i="5" s="1"/>
  <c r="T1661" i="5" s="1"/>
  <c r="Q1662" i="5"/>
  <c r="S1662" i="5" s="1"/>
  <c r="T1662" i="5" s="1"/>
  <c r="Q1663" i="5"/>
  <c r="S1663" i="5" s="1"/>
  <c r="T1663" i="5" s="1"/>
  <c r="Q1664" i="5"/>
  <c r="S1664" i="5" s="1"/>
  <c r="T1664" i="5" s="1"/>
  <c r="Q1659" i="5"/>
  <c r="Q1451" i="5"/>
  <c r="S1451" i="5" s="1"/>
  <c r="T1451" i="5" s="1"/>
  <c r="Q1450" i="5"/>
  <c r="J1644" i="5"/>
  <c r="J1645" i="5"/>
  <c r="J1646" i="5"/>
  <c r="J1647" i="5"/>
  <c r="J1648" i="5"/>
  <c r="J1649" i="5"/>
  <c r="J1653" i="5"/>
  <c r="J1654" i="5"/>
  <c r="J1655" i="5" s="1"/>
  <c r="J1658" i="5"/>
  <c r="J1659" i="5"/>
  <c r="J1660" i="5"/>
  <c r="J1661" i="5"/>
  <c r="J1662" i="5"/>
  <c r="J1663" i="5"/>
  <c r="J1664" i="5"/>
  <c r="J1668" i="5"/>
  <c r="J1669" i="5"/>
  <c r="J1670" i="5" s="1"/>
  <c r="J1626" i="5"/>
  <c r="J1627" i="5"/>
  <c r="J1628" i="5"/>
  <c r="J1629" i="5"/>
  <c r="J1634" i="5"/>
  <c r="J1635" i="5"/>
  <c r="J1636" i="5"/>
  <c r="J1637" i="5"/>
  <c r="J1638" i="5"/>
  <c r="J1639" i="5"/>
  <c r="J1621" i="5"/>
  <c r="J1622" i="5" s="1"/>
  <c r="J1616" i="5"/>
  <c r="J1617" i="5" s="1"/>
  <c r="Q1587" i="5"/>
  <c r="Q1588" i="5"/>
  <c r="Q1589" i="5"/>
  <c r="S1589" i="5" s="1"/>
  <c r="T1589" i="5" s="1"/>
  <c r="Q1586" i="5"/>
  <c r="Q1523" i="5"/>
  <c r="Q1524" i="5"/>
  <c r="Q1525" i="5"/>
  <c r="Q1522" i="5"/>
  <c r="Q1570" i="5"/>
  <c r="Q1571" i="5"/>
  <c r="Q1572" i="5"/>
  <c r="S1572" i="5" s="1"/>
  <c r="T1572" i="5" s="1"/>
  <c r="Q1573" i="5"/>
  <c r="Q1574" i="5"/>
  <c r="S1574" i="5" s="1"/>
  <c r="T1574" i="5" s="1"/>
  <c r="Q1575" i="5"/>
  <c r="S1575" i="5" s="1"/>
  <c r="T1575" i="5" s="1"/>
  <c r="Q1576" i="5"/>
  <c r="S1576" i="5" s="1"/>
  <c r="T1576" i="5" s="1"/>
  <c r="Q1577" i="5"/>
  <c r="Q1578" i="5"/>
  <c r="Q1579" i="5"/>
  <c r="Q1580" i="5"/>
  <c r="S1580" i="5" s="1"/>
  <c r="T1580" i="5" s="1"/>
  <c r="Q1581" i="5"/>
  <c r="Q1569" i="5"/>
  <c r="J1602" i="5"/>
  <c r="J1603" i="5"/>
  <c r="J1604" i="5"/>
  <c r="J1609" i="5"/>
  <c r="J1610" i="5"/>
  <c r="J1611" i="5"/>
  <c r="J1601" i="5"/>
  <c r="J1595" i="5"/>
  <c r="J1596" i="5"/>
  <c r="J1594" i="5"/>
  <c r="J1587" i="5"/>
  <c r="J1588" i="5"/>
  <c r="J1589" i="5"/>
  <c r="J1586" i="5"/>
  <c r="Q1390" i="5"/>
  <c r="S1390" i="5" s="1"/>
  <c r="T1390" i="5" s="1"/>
  <c r="Q1391" i="5"/>
  <c r="S1391" i="5" s="1"/>
  <c r="T1391" i="5" s="1"/>
  <c r="Q1392" i="5"/>
  <c r="S1392" i="5" s="1"/>
  <c r="T1392" i="5" s="1"/>
  <c r="Q1393" i="5"/>
  <c r="S1393" i="5" s="1"/>
  <c r="T1393" i="5" s="1"/>
  <c r="Q1394" i="5"/>
  <c r="Q1395" i="5"/>
  <c r="Q1396" i="5"/>
  <c r="S1396" i="5" s="1"/>
  <c r="T1396" i="5" s="1"/>
  <c r="Q1397" i="5"/>
  <c r="S1397" i="5" s="1"/>
  <c r="T1397" i="5" s="1"/>
  <c r="Q1398" i="5"/>
  <c r="S1398" i="5" s="1"/>
  <c r="T1398" i="5" s="1"/>
  <c r="Q1399" i="5"/>
  <c r="S1399" i="5" s="1"/>
  <c r="T1399" i="5" s="1"/>
  <c r="Q1389" i="5"/>
  <c r="J1570" i="5"/>
  <c r="J1571" i="5"/>
  <c r="J1572" i="5"/>
  <c r="J1573" i="5"/>
  <c r="J1574" i="5"/>
  <c r="J1575" i="5"/>
  <c r="J1576" i="5"/>
  <c r="J1577" i="5"/>
  <c r="J1578" i="5"/>
  <c r="J1579" i="5"/>
  <c r="J1580" i="5"/>
  <c r="J1581" i="5"/>
  <c r="J1569" i="5"/>
  <c r="J1562" i="5"/>
  <c r="J1563" i="5"/>
  <c r="J1564" i="5"/>
  <c r="J1561" i="5"/>
  <c r="Q1480" i="5"/>
  <c r="S1480" i="5" s="1"/>
  <c r="T1480" i="5" s="1"/>
  <c r="Q1479" i="5"/>
  <c r="J1556" i="5"/>
  <c r="J1557" i="5" s="1"/>
  <c r="Q1486" i="5"/>
  <c r="Q1487" i="5"/>
  <c r="Q1488" i="5"/>
  <c r="Q1489" i="5"/>
  <c r="Q1490" i="5"/>
  <c r="Q1485" i="5"/>
  <c r="Q1304" i="5"/>
  <c r="Q1502" i="5"/>
  <c r="Q1503" i="5"/>
  <c r="S1503" i="5" s="1"/>
  <c r="T1503" i="5" s="1"/>
  <c r="Q1504" i="5"/>
  <c r="S1504" i="5" s="1"/>
  <c r="T1504" i="5" s="1"/>
  <c r="Q1505" i="5"/>
  <c r="S1505" i="5" s="1"/>
  <c r="T1505" i="5" s="1"/>
  <c r="Q1506" i="5"/>
  <c r="S1506" i="5" s="1"/>
  <c r="T1506" i="5" s="1"/>
  <c r="Q1507" i="5"/>
  <c r="S1507" i="5" s="1"/>
  <c r="T1507" i="5" s="1"/>
  <c r="Q1508" i="5"/>
  <c r="S1508" i="5" s="1"/>
  <c r="T1508" i="5" s="1"/>
  <c r="Q1509" i="5"/>
  <c r="S1509" i="5" s="1"/>
  <c r="T1509" i="5" s="1"/>
  <c r="Q1510" i="5"/>
  <c r="S1510" i="5" s="1"/>
  <c r="T1510" i="5" s="1"/>
  <c r="Q1511" i="5"/>
  <c r="S1511" i="5" s="1"/>
  <c r="T1511" i="5" s="1"/>
  <c r="Q1501" i="5"/>
  <c r="J1551" i="5"/>
  <c r="J1550" i="5"/>
  <c r="J1549" i="5"/>
  <c r="J1548" i="5"/>
  <c r="J1547" i="5"/>
  <c r="J1531" i="5"/>
  <c r="J1532" i="5"/>
  <c r="J1533" i="5"/>
  <c r="J1534" i="5"/>
  <c r="J1535" i="5"/>
  <c r="J1536" i="5"/>
  <c r="J1537" i="5"/>
  <c r="J1538" i="5"/>
  <c r="J1539" i="5"/>
  <c r="J1540" i="5"/>
  <c r="J1541" i="5"/>
  <c r="J1542" i="5"/>
  <c r="J1543" i="5"/>
  <c r="J1544" i="5"/>
  <c r="J1545" i="5"/>
  <c r="J1546" i="5"/>
  <c r="J1530" i="5"/>
  <c r="Q1373" i="5"/>
  <c r="S1373" i="5" s="1"/>
  <c r="T1373" i="5" s="1"/>
  <c r="Q1374" i="5"/>
  <c r="S1374" i="5" s="1"/>
  <c r="T1374" i="5" s="1"/>
  <c r="Q1375" i="5"/>
  <c r="S1375" i="5" s="1"/>
  <c r="T1375" i="5" s="1"/>
  <c r="Q1376" i="5"/>
  <c r="S1376" i="5" s="1"/>
  <c r="T1376" i="5" s="1"/>
  <c r="Q1377" i="5"/>
  <c r="S1377" i="5" s="1"/>
  <c r="T1377" i="5" s="1"/>
  <c r="Q1378" i="5"/>
  <c r="S1378" i="5" s="1"/>
  <c r="T1378" i="5" s="1"/>
  <c r="Q1372" i="5"/>
  <c r="Q1412" i="5"/>
  <c r="J2" i="14"/>
  <c r="J5" i="14" s="1"/>
  <c r="J6" i="14" s="1"/>
  <c r="J7" i="14" s="1"/>
  <c r="Q2" i="14"/>
  <c r="S2" i="14" s="1"/>
  <c r="T2" i="14" s="1"/>
  <c r="Q3" i="14"/>
  <c r="S3" i="14" s="1"/>
  <c r="T3" i="14" s="1"/>
  <c r="Q4" i="14"/>
  <c r="S4" i="14" s="1"/>
  <c r="T4" i="14" s="1"/>
  <c r="J1523" i="5"/>
  <c r="J1524" i="5"/>
  <c r="J1525" i="5"/>
  <c r="J1522" i="5"/>
  <c r="J1473" i="5"/>
  <c r="J1474" i="5"/>
  <c r="J1472" i="5"/>
  <c r="J1517" i="5"/>
  <c r="J1516" i="5"/>
  <c r="Q1336" i="5"/>
  <c r="S1336" i="5" s="1"/>
  <c r="T1336" i="5" s="1"/>
  <c r="J1511" i="5"/>
  <c r="J1510" i="5"/>
  <c r="J1509" i="5"/>
  <c r="J1508" i="5"/>
  <c r="J1507" i="5"/>
  <c r="J1506" i="5"/>
  <c r="J1505" i="5"/>
  <c r="Q1418" i="5"/>
  <c r="Q1419" i="5"/>
  <c r="Q1420" i="5"/>
  <c r="Q1421" i="5"/>
  <c r="Q1422" i="5"/>
  <c r="S1422" i="5" s="1"/>
  <c r="T1422" i="5" s="1"/>
  <c r="Q1423" i="5"/>
  <c r="S1423" i="5" s="1"/>
  <c r="T1423" i="5" s="1"/>
  <c r="Q1424" i="5"/>
  <c r="S1424" i="5" s="1"/>
  <c r="T1424" i="5" s="1"/>
  <c r="Q1425" i="5"/>
  <c r="Q1426" i="5"/>
  <c r="S1426" i="5" s="1"/>
  <c r="T1426" i="5" s="1"/>
  <c r="Q1427" i="5"/>
  <c r="S1427" i="5" s="1"/>
  <c r="T1427" i="5" s="1"/>
  <c r="Q1428" i="5"/>
  <c r="S1428" i="5" s="1"/>
  <c r="T1428" i="5" s="1"/>
  <c r="Q1429" i="5"/>
  <c r="S1429" i="5" s="1"/>
  <c r="T1429" i="5" s="1"/>
  <c r="Q1430" i="5"/>
  <c r="S1430" i="5" s="1"/>
  <c r="T1430" i="5" s="1"/>
  <c r="Q1431" i="5"/>
  <c r="S1431" i="5" s="1"/>
  <c r="T1431" i="5" s="1"/>
  <c r="Q1432" i="5"/>
  <c r="S1432" i="5" s="1"/>
  <c r="T1432" i="5" s="1"/>
  <c r="Q1433" i="5"/>
  <c r="S1433" i="5" s="1"/>
  <c r="T1433" i="5" s="1"/>
  <c r="Q1434" i="5"/>
  <c r="Q1435" i="5"/>
  <c r="S1435" i="5" s="1"/>
  <c r="T1435" i="5" s="1"/>
  <c r="Q1417" i="5"/>
  <c r="J1486" i="5"/>
  <c r="J1487" i="5"/>
  <c r="J1488" i="5"/>
  <c r="J1489" i="5"/>
  <c r="J1490" i="5"/>
  <c r="J1491" i="5"/>
  <c r="J1492" i="5"/>
  <c r="J1493" i="5"/>
  <c r="J1494" i="5"/>
  <c r="J1495" i="5"/>
  <c r="J1496" i="5"/>
  <c r="J1501" i="5"/>
  <c r="J1502" i="5"/>
  <c r="J1503" i="5"/>
  <c r="J1504" i="5"/>
  <c r="J1485" i="5"/>
  <c r="J1480" i="5"/>
  <c r="J1479" i="5"/>
  <c r="Q1445" i="5"/>
  <c r="S1445" i="5" s="1"/>
  <c r="T1445" i="5" s="1"/>
  <c r="Q1444" i="5"/>
  <c r="J1466" i="5"/>
  <c r="J1467" i="5"/>
  <c r="J1465" i="5"/>
  <c r="Q1359" i="5"/>
  <c r="Q1360" i="5"/>
  <c r="Q1361" i="5"/>
  <c r="S1361" i="5" s="1"/>
  <c r="T1361" i="5" s="1"/>
  <c r="Q1362" i="5"/>
  <c r="S1362" i="5" s="1"/>
  <c r="T1362" i="5" s="1"/>
  <c r="Q1358" i="5"/>
  <c r="Q1153" i="5"/>
  <c r="S1153" i="5" s="1"/>
  <c r="T1153" i="5" s="1"/>
  <c r="Q1154" i="5"/>
  <c r="Q1155" i="5"/>
  <c r="S1155" i="5" s="1"/>
  <c r="T1155" i="5" s="1"/>
  <c r="Q1156" i="5"/>
  <c r="Q1157" i="5"/>
  <c r="S1157" i="5" s="1"/>
  <c r="T1157" i="5" s="1"/>
  <c r="Q1158" i="5"/>
  <c r="S1158" i="5" s="1"/>
  <c r="T1158" i="5" s="1"/>
  <c r="Q1159" i="5"/>
  <c r="Q1152" i="5"/>
  <c r="J1444" i="5"/>
  <c r="J1445" i="5"/>
  <c r="J1450" i="5"/>
  <c r="J1451" i="5"/>
  <c r="J1456" i="5"/>
  <c r="J1457" i="5"/>
  <c r="J1458" i="5"/>
  <c r="J1459" i="5"/>
  <c r="J1460" i="5"/>
  <c r="Q1322" i="5"/>
  <c r="S1322" i="5" s="1"/>
  <c r="T1322" i="5" s="1"/>
  <c r="Q1323" i="5"/>
  <c r="S1323" i="5" s="1"/>
  <c r="T1323" i="5" s="1"/>
  <c r="Q1324" i="5"/>
  <c r="S1324" i="5" s="1"/>
  <c r="T1324" i="5" s="1"/>
  <c r="Q1321" i="5"/>
  <c r="J1412" i="5"/>
  <c r="J1413" i="5" s="1"/>
  <c r="Q1347" i="5"/>
  <c r="S1347" i="5" s="1"/>
  <c r="T1347" i="5" s="1"/>
  <c r="Q1346" i="5"/>
  <c r="Q1404" i="5"/>
  <c r="Q1405" i="5"/>
  <c r="S1405" i="5" s="1"/>
  <c r="T1405" i="5" s="1"/>
  <c r="Q1406" i="5"/>
  <c r="S1406" i="5" s="1"/>
  <c r="T1406" i="5" s="1"/>
  <c r="Q1407" i="5"/>
  <c r="Q1403" i="5"/>
  <c r="Q1330" i="5"/>
  <c r="S1330" i="5" s="1"/>
  <c r="T1330" i="5" s="1"/>
  <c r="Q1331" i="5"/>
  <c r="S1331" i="5" s="1"/>
  <c r="T1331" i="5" s="1"/>
  <c r="Q1332" i="5"/>
  <c r="S1332" i="5" s="1"/>
  <c r="T1332" i="5" s="1"/>
  <c r="Q1333" i="5"/>
  <c r="Q1334" i="5"/>
  <c r="S1334" i="5" s="1"/>
  <c r="T1334" i="5" s="1"/>
  <c r="Q1335" i="5"/>
  <c r="S1335" i="5" s="1"/>
  <c r="T1335" i="5" s="1"/>
  <c r="Q1329" i="5"/>
  <c r="Q1264" i="5"/>
  <c r="S1264" i="5" s="1"/>
  <c r="T1264" i="5" s="1"/>
  <c r="Q1263" i="5"/>
  <c r="S1263" i="5" s="1"/>
  <c r="T1263" i="5" s="1"/>
  <c r="Q1287" i="5"/>
  <c r="S1287" i="5" s="1"/>
  <c r="T1287" i="5" s="1"/>
  <c r="Q1127" i="5"/>
  <c r="S1127" i="5" s="1"/>
  <c r="T1127" i="5" s="1"/>
  <c r="Q1128" i="5"/>
  <c r="S1128" i="5" s="1"/>
  <c r="T1128" i="5" s="1"/>
  <c r="Q1129" i="5"/>
  <c r="S1129" i="5" s="1"/>
  <c r="T1129" i="5" s="1"/>
  <c r="Q1130" i="5"/>
  <c r="S1130" i="5" s="1"/>
  <c r="T1130" i="5" s="1"/>
  <c r="Q1131" i="5"/>
  <c r="S1131" i="5" s="1"/>
  <c r="T1131" i="5" s="1"/>
  <c r="Q1132" i="5"/>
  <c r="S1132" i="5" s="1"/>
  <c r="T1132" i="5" s="1"/>
  <c r="Q1133" i="5"/>
  <c r="S1133" i="5" s="1"/>
  <c r="T1133" i="5" s="1"/>
  <c r="Q1134" i="5"/>
  <c r="S1134" i="5" s="1"/>
  <c r="T1134" i="5" s="1"/>
  <c r="Q1135" i="5"/>
  <c r="S1135" i="5" s="1"/>
  <c r="T1135" i="5" s="1"/>
  <c r="Q1136" i="5"/>
  <c r="S1136" i="5" s="1"/>
  <c r="T1136" i="5" s="1"/>
  <c r="Q1137" i="5"/>
  <c r="S1137" i="5" s="1"/>
  <c r="T1137" i="5" s="1"/>
  <c r="Q1138" i="5"/>
  <c r="S1138" i="5" s="1"/>
  <c r="T1138" i="5" s="1"/>
  <c r="Q1126" i="5"/>
  <c r="Q1068" i="5"/>
  <c r="S1068" i="5"/>
  <c r="Q1069" i="5"/>
  <c r="S1069" i="5"/>
  <c r="Q1070" i="5"/>
  <c r="S1070" i="5"/>
  <c r="S1067" i="5"/>
  <c r="Q1067" i="5"/>
  <c r="Q1310" i="5"/>
  <c r="Q1311" i="5"/>
  <c r="Q1312" i="5"/>
  <c r="Q1313" i="5"/>
  <c r="S1313" i="5" s="1"/>
  <c r="T1313" i="5" s="1"/>
  <c r="Q1314" i="5"/>
  <c r="S1314" i="5" s="1"/>
  <c r="T1314" i="5" s="1"/>
  <c r="Q1315" i="5"/>
  <c r="S1315" i="5" s="1"/>
  <c r="T1315" i="5" s="1"/>
  <c r="Q1316" i="5"/>
  <c r="Q1309" i="5"/>
  <c r="S1309" i="5" s="1"/>
  <c r="T1309" i="5" s="1"/>
  <c r="Q1341" i="5"/>
  <c r="J1417" i="5"/>
  <c r="J1418" i="5"/>
  <c r="J1419" i="5"/>
  <c r="J1420" i="5"/>
  <c r="J1421" i="5"/>
  <c r="J1422" i="5"/>
  <c r="J1423" i="5"/>
  <c r="J1424" i="5"/>
  <c r="J1425" i="5"/>
  <c r="J1426" i="5"/>
  <c r="J1427" i="5"/>
  <c r="J1428" i="5"/>
  <c r="J1429" i="5"/>
  <c r="J1430" i="5"/>
  <c r="J1431" i="5"/>
  <c r="J1432" i="5"/>
  <c r="J1433" i="5"/>
  <c r="J1434" i="5"/>
  <c r="J1435" i="5"/>
  <c r="J1440" i="5"/>
  <c r="J1441" i="5" s="1"/>
  <c r="J1404" i="5"/>
  <c r="J1405" i="5"/>
  <c r="J1406" i="5"/>
  <c r="J1407" i="5"/>
  <c r="J1403" i="5"/>
  <c r="J1390" i="5"/>
  <c r="J1391" i="5"/>
  <c r="J1392" i="5"/>
  <c r="J1393" i="5"/>
  <c r="J1394" i="5"/>
  <c r="J1395" i="5"/>
  <c r="J1396" i="5"/>
  <c r="J1397" i="5"/>
  <c r="J1398" i="5"/>
  <c r="J1399" i="5"/>
  <c r="J1389" i="5"/>
  <c r="J1384" i="5"/>
  <c r="J1383" i="5"/>
  <c r="Q1353" i="5"/>
  <c r="S1353" i="5" s="1"/>
  <c r="T1353" i="5" s="1"/>
  <c r="Q1352" i="5"/>
  <c r="J1373" i="5"/>
  <c r="J1374" i="5"/>
  <c r="J1375" i="5"/>
  <c r="J1376" i="5"/>
  <c r="J1377" i="5"/>
  <c r="J1378" i="5"/>
  <c r="Q1288" i="5"/>
  <c r="Q1286" i="5"/>
  <c r="Q773" i="5"/>
  <c r="S773" i="5" s="1"/>
  <c r="T773" i="5" s="1"/>
  <c r="Q772" i="5"/>
  <c r="J1359" i="5"/>
  <c r="J1360" i="5"/>
  <c r="J1361" i="5"/>
  <c r="J1362" i="5"/>
  <c r="J1363" i="5"/>
  <c r="J1364" i="5"/>
  <c r="J1365" i="5"/>
  <c r="J1366" i="5"/>
  <c r="J1367" i="5"/>
  <c r="J1358" i="5"/>
  <c r="Q1063" i="5"/>
  <c r="Q1062" i="5"/>
  <c r="J1353" i="5"/>
  <c r="J1352" i="5"/>
  <c r="J1347" i="5"/>
  <c r="J1346" i="5"/>
  <c r="Q1165" i="5"/>
  <c r="Q1164" i="5"/>
  <c r="Q1144" i="5"/>
  <c r="S1144" i="5" s="1"/>
  <c r="T1144" i="5" s="1"/>
  <c r="Q1145" i="5"/>
  <c r="S1145" i="5" s="1"/>
  <c r="T1145" i="5" s="1"/>
  <c r="Q1146" i="5"/>
  <c r="S1146" i="5" s="1"/>
  <c r="T1146" i="5" s="1"/>
  <c r="Q1147" i="5"/>
  <c r="S1147" i="5" s="1"/>
  <c r="T1147" i="5" s="1"/>
  <c r="Q1143" i="5"/>
  <c r="J1330" i="5"/>
  <c r="J1331" i="5"/>
  <c r="J1332" i="5"/>
  <c r="J1333" i="5"/>
  <c r="J1334" i="5"/>
  <c r="J1335" i="5"/>
  <c r="J1336" i="5"/>
  <c r="J1340" i="5"/>
  <c r="J1341" i="5"/>
  <c r="J1342" i="5" s="1"/>
  <c r="J1322" i="5"/>
  <c r="J1323" i="5"/>
  <c r="J1324" i="5"/>
  <c r="J1321" i="5"/>
  <c r="J1310" i="5"/>
  <c r="J1311" i="5"/>
  <c r="J1312" i="5"/>
  <c r="J1313" i="5"/>
  <c r="J1314" i="5"/>
  <c r="J1315" i="5"/>
  <c r="J1316" i="5"/>
  <c r="J1309"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170" i="5"/>
  <c r="J23" i="12"/>
  <c r="J21" i="12"/>
  <c r="Q1270" i="5"/>
  <c r="S1270" i="5" s="1"/>
  <c r="T1270" i="5" s="1"/>
  <c r="Q1271" i="5"/>
  <c r="S1271" i="5" s="1"/>
  <c r="T1271" i="5" s="1"/>
  <c r="Q1272" i="5"/>
  <c r="S1272" i="5" s="1"/>
  <c r="T1272" i="5" s="1"/>
  <c r="Q1273" i="5"/>
  <c r="S1273" i="5" s="1"/>
  <c r="T1273" i="5" s="1"/>
  <c r="Q1274" i="5"/>
  <c r="Q1275" i="5"/>
  <c r="S1275" i="5" s="1"/>
  <c r="T1275" i="5" s="1"/>
  <c r="Q1276" i="5"/>
  <c r="S1276" i="5" s="1"/>
  <c r="T1276" i="5" s="1"/>
  <c r="Q1277" i="5"/>
  <c r="S1277" i="5" s="1"/>
  <c r="T1277" i="5" s="1"/>
  <c r="Q1278" i="5"/>
  <c r="S1278" i="5" s="1"/>
  <c r="T1278" i="5" s="1"/>
  <c r="Q1279" i="5"/>
  <c r="S1279" i="5" s="1"/>
  <c r="T1279" i="5" s="1"/>
  <c r="Q1280" i="5"/>
  <c r="S1280" i="5" s="1"/>
  <c r="T1280" i="5" s="1"/>
  <c r="Q1281" i="5"/>
  <c r="S1281" i="5" s="1"/>
  <c r="T1281" i="5" s="1"/>
  <c r="Q1269" i="5"/>
  <c r="Q320" i="5"/>
  <c r="S601" i="5"/>
  <c r="T601" i="5" s="1"/>
  <c r="Q1245" i="5"/>
  <c r="S1245" i="5" s="1"/>
  <c r="T1245" i="5" s="1"/>
  <c r="Q1246" i="5"/>
  <c r="S1246" i="5" s="1"/>
  <c r="T1246" i="5" s="1"/>
  <c r="Q1247" i="5"/>
  <c r="S1247" i="5" s="1"/>
  <c r="T1247" i="5" s="1"/>
  <c r="Q1248" i="5"/>
  <c r="S1248" i="5" s="1"/>
  <c r="T1248" i="5" s="1"/>
  <c r="Q1249" i="5"/>
  <c r="S1249" i="5" s="1"/>
  <c r="T1249" i="5" s="1"/>
  <c r="Q1250" i="5"/>
  <c r="Q1251" i="5"/>
  <c r="S1251" i="5" s="1"/>
  <c r="T1251" i="5" s="1"/>
  <c r="Q1252" i="5"/>
  <c r="S1252" i="5" s="1"/>
  <c r="T1252" i="5" s="1"/>
  <c r="Q1253" i="5"/>
  <c r="S1253" i="5" s="1"/>
  <c r="T1253" i="5" s="1"/>
  <c r="Q1254" i="5"/>
  <c r="S1254" i="5" s="1"/>
  <c r="T1254" i="5" s="1"/>
  <c r="Q1255" i="5"/>
  <c r="S1255" i="5" s="1"/>
  <c r="T1255" i="5" s="1"/>
  <c r="Q1256" i="5"/>
  <c r="S1256" i="5" s="1"/>
  <c r="T1256" i="5" s="1"/>
  <c r="Q1257" i="5"/>
  <c r="S1257" i="5" s="1"/>
  <c r="T1257" i="5" s="1"/>
  <c r="Q1258" i="5"/>
  <c r="S1258" i="5" s="1"/>
  <c r="T1258" i="5" s="1"/>
  <c r="Q1244" i="5"/>
  <c r="J29" i="12"/>
  <c r="J30" i="12"/>
  <c r="J31" i="12"/>
  <c r="J32" i="12"/>
  <c r="J33" i="12"/>
  <c r="J34"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28" i="12"/>
  <c r="J1286" i="5"/>
  <c r="J1288" i="5"/>
  <c r="J1293" i="5"/>
  <c r="J1294" i="5"/>
  <c r="J1295" i="5"/>
  <c r="J1296" i="5"/>
  <c r="J1297" i="5"/>
  <c r="J1298" i="5"/>
  <c r="J1299" i="5"/>
  <c r="J1304" i="5"/>
  <c r="J1305" i="5" s="1"/>
  <c r="J1329" i="5"/>
  <c r="J1372" i="5"/>
  <c r="Q586" i="5"/>
  <c r="S586" i="5" s="1"/>
  <c r="T586" i="5" s="1"/>
  <c r="J1270" i="5"/>
  <c r="J1271" i="5"/>
  <c r="J1272" i="5"/>
  <c r="J1273" i="5"/>
  <c r="J1274" i="5"/>
  <c r="J1275" i="5"/>
  <c r="J1276" i="5"/>
  <c r="J1277" i="5"/>
  <c r="J1278" i="5"/>
  <c r="J1279" i="5"/>
  <c r="J1280" i="5"/>
  <c r="J1281" i="5"/>
  <c r="J1287" i="5"/>
  <c r="J1269" i="5"/>
  <c r="Q779" i="5"/>
  <c r="Q780" i="5"/>
  <c r="S780" i="5" s="1"/>
  <c r="T780" i="5" s="1"/>
  <c r="Q781" i="5"/>
  <c r="S781" i="5" s="1"/>
  <c r="T781" i="5" s="1"/>
  <c r="Q782" i="5"/>
  <c r="S782" i="5" s="1"/>
  <c r="T782" i="5" s="1"/>
  <c r="Q783" i="5"/>
  <c r="S783" i="5" s="1"/>
  <c r="T783" i="5" s="1"/>
  <c r="Q778" i="5"/>
  <c r="Q954" i="5"/>
  <c r="Q955" i="5"/>
  <c r="S955" i="5" s="1"/>
  <c r="T955" i="5" s="1"/>
  <c r="Q956" i="5"/>
  <c r="S956" i="5" s="1"/>
  <c r="T956" i="5" s="1"/>
  <c r="Q957" i="5"/>
  <c r="S957" i="5" s="1"/>
  <c r="T957" i="5" s="1"/>
  <c r="Q958" i="5"/>
  <c r="S958" i="5" s="1"/>
  <c r="T958" i="5" s="1"/>
  <c r="Q959" i="5"/>
  <c r="S959" i="5" s="1"/>
  <c r="T959" i="5" s="1"/>
  <c r="Q960" i="5"/>
  <c r="S960" i="5" s="1"/>
  <c r="T960" i="5" s="1"/>
  <c r="Q961" i="5"/>
  <c r="S961" i="5" s="1"/>
  <c r="T961" i="5" s="1"/>
  <c r="Q962" i="5"/>
  <c r="S962" i="5" s="1"/>
  <c r="T962" i="5" s="1"/>
  <c r="Q963" i="5"/>
  <c r="S963" i="5" s="1"/>
  <c r="T963" i="5" s="1"/>
  <c r="Q964" i="5"/>
  <c r="S964" i="5" s="1"/>
  <c r="T964" i="5" s="1"/>
  <c r="Q953" i="5"/>
  <c r="J1264" i="5"/>
  <c r="J1263" i="5"/>
  <c r="Q970" i="5"/>
  <c r="Q971" i="5"/>
  <c r="Q972" i="5"/>
  <c r="Q973" i="5"/>
  <c r="Q969" i="5"/>
  <c r="Q1075" i="5"/>
  <c r="S600" i="5"/>
  <c r="T600" i="5" s="1"/>
  <c r="Q906" i="5"/>
  <c r="J1258" i="5"/>
  <c r="J1257" i="5"/>
  <c r="J1256" i="5"/>
  <c r="J1255" i="5"/>
  <c r="J1245" i="5"/>
  <c r="J1246" i="5"/>
  <c r="J1247" i="5"/>
  <c r="J1248" i="5"/>
  <c r="J1249" i="5"/>
  <c r="J1250" i="5"/>
  <c r="J1251" i="5"/>
  <c r="J1252" i="5"/>
  <c r="J1253" i="5"/>
  <c r="J1254" i="5"/>
  <c r="J1244" i="5"/>
  <c r="Q1093" i="5"/>
  <c r="Q1094" i="5"/>
  <c r="S1094" i="5" s="1"/>
  <c r="T1094" i="5" s="1"/>
  <c r="Q1095" i="5"/>
  <c r="S1095" i="5" s="1"/>
  <c r="T1095" i="5" s="1"/>
  <c r="Q1096" i="5"/>
  <c r="S1096" i="5" s="1"/>
  <c r="T1096" i="5" s="1"/>
  <c r="Q1097" i="5"/>
  <c r="S1097" i="5" s="1"/>
  <c r="T1097" i="5" s="1"/>
  <c r="Q1098" i="5"/>
  <c r="S1098" i="5" s="1"/>
  <c r="T1098" i="5" s="1"/>
  <c r="Q1099" i="5"/>
  <c r="S1099" i="5" s="1"/>
  <c r="T1099" i="5" s="1"/>
  <c r="Q1100" i="5"/>
  <c r="S1100" i="5" s="1"/>
  <c r="T1100" i="5" s="1"/>
  <c r="Q1101" i="5"/>
  <c r="S1101" i="5" s="1"/>
  <c r="T1101" i="5" s="1"/>
  <c r="Q1102" i="5"/>
  <c r="S1102" i="5" s="1"/>
  <c r="T1102" i="5" s="1"/>
  <c r="Q1103" i="5"/>
  <c r="S1103" i="5" s="1"/>
  <c r="T1103" i="5" s="1"/>
  <c r="Q1104" i="5"/>
  <c r="S1104" i="5" s="1"/>
  <c r="T1104" i="5" s="1"/>
  <c r="Q1105" i="5"/>
  <c r="S1105" i="5" s="1"/>
  <c r="T1105" i="5" s="1"/>
  <c r="Q1106" i="5"/>
  <c r="S1106" i="5" s="1"/>
  <c r="T1106" i="5" s="1"/>
  <c r="Q1107" i="5"/>
  <c r="S1107" i="5" s="1"/>
  <c r="T1107" i="5" s="1"/>
  <c r="Q1108" i="5"/>
  <c r="S1108" i="5" s="1"/>
  <c r="T1108" i="5" s="1"/>
  <c r="Q1109" i="5"/>
  <c r="Q1110" i="5"/>
  <c r="S1110" i="5" s="1"/>
  <c r="T1110" i="5" s="1"/>
  <c r="Q1111" i="5"/>
  <c r="S1111" i="5" s="1"/>
  <c r="T1111" i="5" s="1"/>
  <c r="Q1112" i="5"/>
  <c r="S1112" i="5" s="1"/>
  <c r="T1112" i="5" s="1"/>
  <c r="Q1113" i="5"/>
  <c r="S1113" i="5" s="1"/>
  <c r="T1113" i="5" s="1"/>
  <c r="Q1114" i="5"/>
  <c r="Q1115" i="5"/>
  <c r="Q1116" i="5"/>
  <c r="S1116" i="5" s="1"/>
  <c r="T1116" i="5" s="1"/>
  <c r="Q1117" i="5"/>
  <c r="Q1118" i="5"/>
  <c r="Q1119" i="5"/>
  <c r="Q1120" i="5"/>
  <c r="Q1121" i="5"/>
  <c r="S1121" i="5" s="1"/>
  <c r="T1121" i="5" s="1"/>
  <c r="Q1092" i="5"/>
  <c r="Q1084" i="5"/>
  <c r="S1084" i="5" s="1"/>
  <c r="T1084" i="5" s="1"/>
  <c r="Q1085" i="5"/>
  <c r="S1085" i="5" s="1"/>
  <c r="T1085" i="5" s="1"/>
  <c r="Q1086" i="5"/>
  <c r="S1086" i="5" s="1"/>
  <c r="T1086" i="5" s="1"/>
  <c r="Q1087" i="5"/>
  <c r="S1087" i="5" s="1"/>
  <c r="Q1083" i="5"/>
  <c r="J1153" i="5"/>
  <c r="J1154" i="5"/>
  <c r="J1155" i="5"/>
  <c r="J1156" i="5"/>
  <c r="J1157" i="5"/>
  <c r="J1158" i="5"/>
  <c r="J1159" i="5"/>
  <c r="J1163" i="5"/>
  <c r="J1164" i="5"/>
  <c r="J1165" i="5"/>
  <c r="J1152" i="5"/>
  <c r="F16" i="16" l="1"/>
  <c r="T32" i="12"/>
  <c r="J35" i="12"/>
  <c r="J36" i="12" s="1"/>
  <c r="J37" i="12" s="1"/>
  <c r="T31" i="12"/>
  <c r="G16" i="16"/>
  <c r="J2173" i="5"/>
  <c r="J2174" i="5" s="1"/>
  <c r="J2167" i="5"/>
  <c r="J2133" i="5"/>
  <c r="J2134" i="5" s="1"/>
  <c r="J1864" i="5"/>
  <c r="J1865" i="5" s="1"/>
  <c r="J1866" i="5" s="1"/>
  <c r="J2127" i="5"/>
  <c r="J2102" i="5"/>
  <c r="T1972" i="5"/>
  <c r="J2094" i="5"/>
  <c r="J2095" i="5" s="1"/>
  <c r="J1481" i="5"/>
  <c r="J1482" i="5" s="1"/>
  <c r="J1483" i="5" s="1"/>
  <c r="J1565" i="5"/>
  <c r="J1566" i="5" s="1"/>
  <c r="J1567" i="5" s="1"/>
  <c r="J2036" i="5"/>
  <c r="J2037" i="5" s="1"/>
  <c r="J2038" i="5" s="1"/>
  <c r="T2072" i="5"/>
  <c r="J1785" i="5"/>
  <c r="J1786" i="5" s="1"/>
  <c r="J1787" i="5" s="1"/>
  <c r="J2067" i="5"/>
  <c r="J2068" i="5" s="1"/>
  <c r="J2069" i="5" s="1"/>
  <c r="S1970" i="5"/>
  <c r="T1970" i="5" s="1"/>
  <c r="S2071" i="5"/>
  <c r="T2071" i="5" s="1"/>
  <c r="J2088" i="5"/>
  <c r="J2089" i="5" s="1"/>
  <c r="J2090" i="5" s="1"/>
  <c r="T1863" i="5"/>
  <c r="T1865" i="5" s="1"/>
  <c r="J1740" i="5"/>
  <c r="J1741" i="5" s="1"/>
  <c r="J1742" i="5" s="1"/>
  <c r="S1971" i="5"/>
  <c r="T1971" i="5" s="1"/>
  <c r="S1978" i="5"/>
  <c r="T1978" i="5" s="1"/>
  <c r="S1982" i="5"/>
  <c r="T1982" i="5" s="1"/>
  <c r="S1983" i="5"/>
  <c r="T1983" i="5" s="1"/>
  <c r="S1991" i="5"/>
  <c r="T1991" i="5" s="1"/>
  <c r="S1992" i="5"/>
  <c r="T1992" i="5" s="1"/>
  <c r="J2073" i="5"/>
  <c r="J2074" i="5" s="1"/>
  <c r="J2056" i="5"/>
  <c r="J2057" i="5" s="1"/>
  <c r="J2058" i="5" s="1"/>
  <c r="J1605" i="5"/>
  <c r="J1606" i="5" s="1"/>
  <c r="J1607" i="5" s="1"/>
  <c r="J2049" i="5"/>
  <c r="J2050" i="5" s="1"/>
  <c r="J2051" i="5" s="1"/>
  <c r="J2042" i="5"/>
  <c r="J2043" i="5" s="1"/>
  <c r="J2044" i="5" s="1"/>
  <c r="S1928" i="5"/>
  <c r="T1928" i="5" s="1"/>
  <c r="J2081" i="5"/>
  <c r="J2082" i="5" s="1"/>
  <c r="J2083" i="5" s="1"/>
  <c r="S1758" i="5"/>
  <c r="T1758" i="5" s="1"/>
  <c r="T1768" i="5" s="1"/>
  <c r="S1919" i="5"/>
  <c r="T1919" i="5" s="1"/>
  <c r="S1807" i="5"/>
  <c r="T1807" i="5" s="1"/>
  <c r="T1812" i="5" s="1"/>
  <c r="S1792" i="5"/>
  <c r="T1792" i="5" s="1"/>
  <c r="S1789" i="5"/>
  <c r="T1789" i="5" s="1"/>
  <c r="S1744" i="5"/>
  <c r="T1744" i="5" s="1"/>
  <c r="S1893" i="5"/>
  <c r="T1893" i="5" s="1"/>
  <c r="T1900" i="5" s="1"/>
  <c r="S1800" i="5"/>
  <c r="T1800" i="5" s="1"/>
  <c r="T1805" i="5" s="1"/>
  <c r="S1887" i="5"/>
  <c r="T1887" i="5" s="1"/>
  <c r="S1888" i="5"/>
  <c r="T1888" i="5" s="1"/>
  <c r="J2003" i="5"/>
  <c r="J2004" i="5" s="1"/>
  <c r="J2005" i="5" s="1"/>
  <c r="J2012" i="5"/>
  <c r="J2013" i="5" s="1"/>
  <c r="J1993" i="5"/>
  <c r="J1994" i="5" s="1"/>
  <c r="J1995" i="5" s="1"/>
  <c r="S1868" i="5"/>
  <c r="T1868" i="5" s="1"/>
  <c r="T1872" i="5" s="1"/>
  <c r="S1902" i="5"/>
  <c r="T1902" i="5" s="1"/>
  <c r="S1906" i="5"/>
  <c r="T1906" i="5" s="1"/>
  <c r="S1907" i="5"/>
  <c r="T1907" i="5" s="1"/>
  <c r="S1908" i="5"/>
  <c r="T1908" i="5" s="1"/>
  <c r="S1909" i="5"/>
  <c r="T1909" i="5" s="1"/>
  <c r="S1910" i="5"/>
  <c r="T1910" i="5" s="1"/>
  <c r="S1911" i="5"/>
  <c r="T1911" i="5" s="1"/>
  <c r="S1912" i="5"/>
  <c r="T1912" i="5" s="1"/>
  <c r="S1913" i="5"/>
  <c r="T1913" i="5" s="1"/>
  <c r="S1914" i="5"/>
  <c r="T1914" i="5" s="1"/>
  <c r="J1966" i="5"/>
  <c r="J1967" i="5" s="1"/>
  <c r="J1968" i="5" s="1"/>
  <c r="J1954" i="5"/>
  <c r="J1955" i="5" s="1"/>
  <c r="J1956" i="5" s="1"/>
  <c r="J1834" i="5"/>
  <c r="J1835" i="5" s="1"/>
  <c r="J1836" i="5" s="1"/>
  <c r="J1929" i="5"/>
  <c r="J1930" i="5" s="1"/>
  <c r="J1931" i="5" s="1"/>
  <c r="J1915" i="5"/>
  <c r="J1916" i="5" s="1"/>
  <c r="J1917" i="5" s="1"/>
  <c r="J1898" i="5"/>
  <c r="J1899" i="5" s="1"/>
  <c r="J1900" i="5" s="1"/>
  <c r="J1597" i="5"/>
  <c r="J1598" i="5" s="1"/>
  <c r="J1599" i="5" s="1"/>
  <c r="J1882" i="5"/>
  <c r="J1889" i="5"/>
  <c r="J1890" i="5" s="1"/>
  <c r="J1891" i="5" s="1"/>
  <c r="J1870" i="5"/>
  <c r="J1871" i="5" s="1"/>
  <c r="J1872" i="5" s="1"/>
  <c r="J1858" i="5"/>
  <c r="J1859" i="5" s="1"/>
  <c r="J1860" i="5" s="1"/>
  <c r="S1711" i="5"/>
  <c r="T1711" i="5" s="1"/>
  <c r="S1814" i="5"/>
  <c r="T1814" i="5" s="1"/>
  <c r="T1819" i="5" s="1"/>
  <c r="S1770" i="5"/>
  <c r="T1770" i="5" s="1"/>
  <c r="T1774" i="5" s="1"/>
  <c r="S1749" i="5"/>
  <c r="T1749" i="5" s="1"/>
  <c r="T1756" i="5" s="1"/>
  <c r="S1710" i="5"/>
  <c r="T1710" i="5" s="1"/>
  <c r="J1846" i="5"/>
  <c r="J1847" i="5" s="1"/>
  <c r="J1876" i="5"/>
  <c r="J1877" i="5" s="1"/>
  <c r="J1526" i="5"/>
  <c r="J1527" i="5" s="1"/>
  <c r="J1528" i="5" s="1"/>
  <c r="J1840" i="5"/>
  <c r="J1841" i="5" s="1"/>
  <c r="J1842" i="5" s="1"/>
  <c r="J1810" i="5"/>
  <c r="J1811" i="5" s="1"/>
  <c r="J1812" i="5" s="1"/>
  <c r="J1823" i="5"/>
  <c r="J1824" i="5" s="1"/>
  <c r="J1825" i="5" s="1"/>
  <c r="J1803" i="5"/>
  <c r="J1804" i="5" s="1"/>
  <c r="J1805" i="5" s="1"/>
  <c r="S1777" i="5"/>
  <c r="T1777" i="5" s="1"/>
  <c r="S1776" i="5"/>
  <c r="T1776" i="5" s="1"/>
  <c r="J1817" i="5"/>
  <c r="J1818" i="5" s="1"/>
  <c r="J1819" i="5" s="1"/>
  <c r="J1796" i="5"/>
  <c r="J1797" i="5" s="1"/>
  <c r="J1798" i="5" s="1"/>
  <c r="S1727" i="5"/>
  <c r="T1727" i="5" s="1"/>
  <c r="J1766" i="5"/>
  <c r="J1767" i="5" s="1"/>
  <c r="J1768" i="5" s="1"/>
  <c r="J1772" i="5"/>
  <c r="J1773" i="5" s="1"/>
  <c r="J1774" i="5" s="1"/>
  <c r="J1778" i="5"/>
  <c r="J1779" i="5" s="1"/>
  <c r="J1780" i="5" s="1"/>
  <c r="S1726" i="5"/>
  <c r="T1726" i="5" s="1"/>
  <c r="S1721" i="5"/>
  <c r="T1721" i="5" s="1"/>
  <c r="T1724" i="5" s="1"/>
  <c r="J1348" i="5"/>
  <c r="J1349" i="5" s="1"/>
  <c r="J1350" i="5" s="1"/>
  <c r="J1754" i="5"/>
  <c r="S1695" i="5"/>
  <c r="T1695" i="5" s="1"/>
  <c r="T1698" i="5" s="1"/>
  <c r="S1737" i="5"/>
  <c r="T1737" i="5" s="1"/>
  <c r="S1738" i="5"/>
  <c r="T1738" i="5" s="1"/>
  <c r="S1739" i="5"/>
  <c r="T1739" i="5" s="1"/>
  <c r="S1733" i="5"/>
  <c r="T1733" i="5" s="1"/>
  <c r="S1561" i="5"/>
  <c r="T1561" i="5" s="1"/>
  <c r="T1567" i="5" s="1"/>
  <c r="S1530" i="5"/>
  <c r="T1530" i="5" s="1"/>
  <c r="S1604" i="5"/>
  <c r="T1604" i="5" s="1"/>
  <c r="S1601" i="5"/>
  <c r="T1601" i="5" s="1"/>
  <c r="J1746" i="5"/>
  <c r="J1747" i="5" s="1"/>
  <c r="S1534" i="5"/>
  <c r="T1534" i="5" s="1"/>
  <c r="S1536" i="5"/>
  <c r="T1536" i="5" s="1"/>
  <c r="S1538" i="5"/>
  <c r="T1538" i="5" s="1"/>
  <c r="S1539" i="5"/>
  <c r="T1539" i="5" s="1"/>
  <c r="S1551" i="5"/>
  <c r="T1551" i="5" s="1"/>
  <c r="J1729" i="5"/>
  <c r="J1730" i="5" s="1"/>
  <c r="J1731" i="5" s="1"/>
  <c r="J1723" i="5"/>
  <c r="J1724" i="5" s="1"/>
  <c r="S1621" i="5"/>
  <c r="T1621" i="5" s="1"/>
  <c r="S1687" i="5"/>
  <c r="T1687" i="5" s="1"/>
  <c r="S1686" i="5"/>
  <c r="T1686" i="5" s="1"/>
  <c r="S1634" i="5"/>
  <c r="T1634" i="5" s="1"/>
  <c r="S1639" i="5"/>
  <c r="T1639" i="5" s="1"/>
  <c r="J1712" i="5"/>
  <c r="J1713" i="5" s="1"/>
  <c r="J1714" i="5" s="1"/>
  <c r="J1337" i="5"/>
  <c r="J1338" i="5" s="1"/>
  <c r="J1339" i="5" s="1"/>
  <c r="S1680" i="5"/>
  <c r="T1680" i="5" s="1"/>
  <c r="T1684" i="5" s="1"/>
  <c r="J1718" i="5"/>
  <c r="J1719" i="5" s="1"/>
  <c r="S1700" i="5"/>
  <c r="T1700" i="5" s="1"/>
  <c r="T1708" i="5" s="1"/>
  <c r="S1496" i="5"/>
  <c r="J1706" i="5"/>
  <c r="J1707" i="5" s="1"/>
  <c r="J1708" i="5" s="1"/>
  <c r="S1616" i="5"/>
  <c r="T1616" i="5" s="1"/>
  <c r="J1691" i="5"/>
  <c r="J1692" i="5" s="1"/>
  <c r="J1693" i="5" s="1"/>
  <c r="J1697" i="5"/>
  <c r="J1698" i="5" s="1"/>
  <c r="S1610" i="5"/>
  <c r="T1610" i="5" s="1"/>
  <c r="J1676" i="5"/>
  <c r="J1682" i="5"/>
  <c r="J1683" i="5" s="1"/>
  <c r="J1684" i="5" s="1"/>
  <c r="S1517" i="5"/>
  <c r="T1517" i="5" s="1"/>
  <c r="S1516" i="5"/>
  <c r="T1516" i="5" s="1"/>
  <c r="S1293" i="5"/>
  <c r="T1293" i="5" s="1"/>
  <c r="T1302" i="5" s="1"/>
  <c r="S1654" i="5"/>
  <c r="T1654" i="5" s="1"/>
  <c r="S1674" i="5"/>
  <c r="T1674" i="5" s="1"/>
  <c r="T1678" i="5" s="1"/>
  <c r="S1472" i="5"/>
  <c r="T1472" i="5" s="1"/>
  <c r="T1477" i="5" s="1"/>
  <c r="S1456" i="5"/>
  <c r="T1456" i="5" s="1"/>
  <c r="T1463" i="5" s="1"/>
  <c r="S1626" i="5"/>
  <c r="T1626" i="5" s="1"/>
  <c r="T1632" i="5" s="1"/>
  <c r="S1367" i="5"/>
  <c r="T1367" i="5" s="1"/>
  <c r="S1363" i="5"/>
  <c r="T1363" i="5" s="1"/>
  <c r="S1465" i="5"/>
  <c r="T1465" i="5" s="1"/>
  <c r="S1609" i="5"/>
  <c r="T1609" i="5" s="1"/>
  <c r="S1644" i="5"/>
  <c r="T1644" i="5" s="1"/>
  <c r="T1652" i="5" s="1"/>
  <c r="S1669" i="5"/>
  <c r="T1669" i="5" s="1"/>
  <c r="J1677" i="5"/>
  <c r="J1678" i="5" s="1"/>
  <c r="J1671" i="5"/>
  <c r="J1672" i="5" s="1"/>
  <c r="S1365" i="5"/>
  <c r="T1365" i="5" s="1"/>
  <c r="S1467" i="5"/>
  <c r="T1467" i="5" s="1"/>
  <c r="J1650" i="5"/>
  <c r="J1651" i="5" s="1"/>
  <c r="J1652" i="5" s="1"/>
  <c r="J1612" i="5"/>
  <c r="J1613" i="5" s="1"/>
  <c r="J1614" i="5" s="1"/>
  <c r="J1665" i="5"/>
  <c r="J1666" i="5" s="1"/>
  <c r="J1667" i="5" s="1"/>
  <c r="S1660" i="5"/>
  <c r="T1660" i="5" s="1"/>
  <c r="S1659" i="5"/>
  <c r="T1659" i="5" s="1"/>
  <c r="S1450" i="5"/>
  <c r="T1450" i="5" s="1"/>
  <c r="T1454" i="5" s="1"/>
  <c r="J1656" i="5"/>
  <c r="J1657" i="5" s="1"/>
  <c r="J1590" i="5"/>
  <c r="J1591" i="5" s="1"/>
  <c r="J1592" i="5" s="1"/>
  <c r="J1640" i="5"/>
  <c r="J1630" i="5"/>
  <c r="J1631" i="5" s="1"/>
  <c r="J1632" i="5" s="1"/>
  <c r="J1623" i="5"/>
  <c r="J1624" i="5" s="1"/>
  <c r="J1618" i="5"/>
  <c r="J1619" i="5" s="1"/>
  <c r="S1587" i="5"/>
  <c r="T1587" i="5" s="1"/>
  <c r="S1588" i="5"/>
  <c r="T1588" i="5" s="1"/>
  <c r="S1586" i="5"/>
  <c r="T1586" i="5" s="1"/>
  <c r="S1523" i="5"/>
  <c r="T1523" i="5" s="1"/>
  <c r="S1524" i="5"/>
  <c r="T1524" i="5" s="1"/>
  <c r="S1525" i="5"/>
  <c r="T1525" i="5" s="1"/>
  <c r="S1522" i="5"/>
  <c r="T1522" i="5" s="1"/>
  <c r="S1570" i="5"/>
  <c r="T1570" i="5" s="1"/>
  <c r="S1571" i="5"/>
  <c r="T1571" i="5" s="1"/>
  <c r="S1577" i="5"/>
  <c r="T1577" i="5" s="1"/>
  <c r="S1578" i="5"/>
  <c r="T1578" i="5" s="1"/>
  <c r="S1579" i="5"/>
  <c r="T1579" i="5" s="1"/>
  <c r="S1581" i="5"/>
  <c r="T1581" i="5" s="1"/>
  <c r="S1569" i="5"/>
  <c r="T1569" i="5" s="1"/>
  <c r="S1573" i="5"/>
  <c r="T1573" i="5" s="1"/>
  <c r="J1582" i="5"/>
  <c r="J1583" i="5" s="1"/>
  <c r="J1584" i="5" s="1"/>
  <c r="J1385" i="5"/>
  <c r="J1386" i="5" s="1"/>
  <c r="J1387" i="5" s="1"/>
  <c r="J1379" i="5"/>
  <c r="J1380" i="5" s="1"/>
  <c r="J1381" i="5" s="1"/>
  <c r="S1394" i="5"/>
  <c r="T1394" i="5" s="1"/>
  <c r="S1395" i="5"/>
  <c r="T1395" i="5" s="1"/>
  <c r="S1389" i="5"/>
  <c r="T1389" i="5" s="1"/>
  <c r="S1479" i="5"/>
  <c r="T1479" i="5" s="1"/>
  <c r="T1483" i="5" s="1"/>
  <c r="J1558" i="5"/>
  <c r="J1559" i="5" s="1"/>
  <c r="J1552" i="5"/>
  <c r="J1553" i="5" s="1"/>
  <c r="J1554" i="5" s="1"/>
  <c r="J1325" i="5"/>
  <c r="J1326" i="5" s="1"/>
  <c r="J1327" i="5" s="1"/>
  <c r="S1502" i="5"/>
  <c r="T1502" i="5" s="1"/>
  <c r="S1304" i="5"/>
  <c r="T1304" i="5" s="1"/>
  <c r="S1501" i="5"/>
  <c r="T1501" i="5" s="1"/>
  <c r="S1372" i="5"/>
  <c r="T1372" i="5" s="1"/>
  <c r="T1381" i="5" s="1"/>
  <c r="S1412" i="5"/>
  <c r="T1412" i="5" s="1"/>
  <c r="J1475" i="5"/>
  <c r="J1476" i="5" s="1"/>
  <c r="J1477" i="5" s="1"/>
  <c r="J1518" i="5"/>
  <c r="J1519" i="5" s="1"/>
  <c r="J1520" i="5" s="1"/>
  <c r="T1070" i="5"/>
  <c r="J1512" i="5"/>
  <c r="J1513" i="5" s="1"/>
  <c r="J1514" i="5" s="1"/>
  <c r="J1468" i="5"/>
  <c r="J1469" i="5" s="1"/>
  <c r="J1470" i="5" s="1"/>
  <c r="J1497" i="5"/>
  <c r="J1498" i="5" s="1"/>
  <c r="J1499" i="5" s="1"/>
  <c r="J1368" i="5"/>
  <c r="J1369" i="5" s="1"/>
  <c r="J1370" i="5" s="1"/>
  <c r="S1417" i="5"/>
  <c r="T1417" i="5" s="1"/>
  <c r="S1418" i="5"/>
  <c r="T1418" i="5" s="1"/>
  <c r="S1419" i="5"/>
  <c r="T1419" i="5" s="1"/>
  <c r="S1420" i="5"/>
  <c r="T1420" i="5" s="1"/>
  <c r="S1421" i="5"/>
  <c r="T1421" i="5" s="1"/>
  <c r="S1425" i="5"/>
  <c r="T1425" i="5" s="1"/>
  <c r="S1434" i="5"/>
  <c r="T1434" i="5" s="1"/>
  <c r="S1444" i="5"/>
  <c r="T1444" i="5" s="1"/>
  <c r="T1448" i="5" s="1"/>
  <c r="J1265" i="5"/>
  <c r="J1266" i="5" s="1"/>
  <c r="J1267" i="5" s="1"/>
  <c r="J1446" i="5"/>
  <c r="J1447" i="5" s="1"/>
  <c r="J1448" i="5" s="1"/>
  <c r="T1067" i="5"/>
  <c r="J1461" i="5"/>
  <c r="J1462" i="5" s="1"/>
  <c r="J1463" i="5" s="1"/>
  <c r="S1359" i="5"/>
  <c r="T1359" i="5" s="1"/>
  <c r="S1360" i="5"/>
  <c r="T1360" i="5" s="1"/>
  <c r="J1452" i="5"/>
  <c r="J1453" i="5" s="1"/>
  <c r="J1454" i="5" s="1"/>
  <c r="S1358" i="5"/>
  <c r="T1358" i="5" s="1"/>
  <c r="S1152" i="5"/>
  <c r="T1152" i="5" s="1"/>
  <c r="S1154" i="5"/>
  <c r="T1154" i="5" s="1"/>
  <c r="S1156" i="5"/>
  <c r="T1156" i="5" s="1"/>
  <c r="S1159" i="5"/>
  <c r="T1159" i="5" s="1"/>
  <c r="J1442" i="5"/>
  <c r="J1443" i="5" s="1"/>
  <c r="J1436" i="5"/>
  <c r="J1437" i="5" s="1"/>
  <c r="J1438" i="5" s="1"/>
  <c r="T1069" i="5"/>
  <c r="S1321" i="5"/>
  <c r="T1321" i="5" s="1"/>
  <c r="T1327" i="5" s="1"/>
  <c r="J1414" i="5"/>
  <c r="J1415" i="5" s="1"/>
  <c r="S1346" i="5"/>
  <c r="T1346" i="5" s="1"/>
  <c r="T1349" i="5" s="1"/>
  <c r="S1404" i="5"/>
  <c r="T1404" i="5" s="1"/>
  <c r="S1403" i="5"/>
  <c r="T1403" i="5" s="1"/>
  <c r="S1407" i="5"/>
  <c r="T1407" i="5" s="1"/>
  <c r="S1333" i="5"/>
  <c r="T1333" i="5" s="1"/>
  <c r="T1265" i="5"/>
  <c r="T1068" i="5"/>
  <c r="S1329" i="5"/>
  <c r="T1329" i="5" s="1"/>
  <c r="S1126" i="5"/>
  <c r="T1126" i="5" s="1"/>
  <c r="T1141" i="5" s="1"/>
  <c r="S1310" i="5"/>
  <c r="T1310" i="5" s="1"/>
  <c r="S1311" i="5"/>
  <c r="T1311" i="5" s="1"/>
  <c r="S1312" i="5"/>
  <c r="T1312" i="5" s="1"/>
  <c r="S1316" i="5"/>
  <c r="T1316" i="5" s="1"/>
  <c r="S1341" i="5"/>
  <c r="T1341" i="5" s="1"/>
  <c r="J1408" i="5"/>
  <c r="J1409" i="5" s="1"/>
  <c r="J1410" i="5" s="1"/>
  <c r="J1317" i="5"/>
  <c r="J1318" i="5" s="1"/>
  <c r="J1319" i="5" s="1"/>
  <c r="J1400" i="5"/>
  <c r="J1401" i="5" s="1"/>
  <c r="J1402" i="5" s="1"/>
  <c r="S1352" i="5"/>
  <c r="T1352" i="5" s="1"/>
  <c r="S772" i="5"/>
  <c r="T772" i="5" s="1"/>
  <c r="T774" i="5" s="1"/>
  <c r="S1288" i="5"/>
  <c r="T1288" i="5" s="1"/>
  <c r="S1286" i="5"/>
  <c r="T1286" i="5" s="1"/>
  <c r="Q976" i="5"/>
  <c r="J1354" i="5"/>
  <c r="S1063" i="5"/>
  <c r="T1063" i="5" s="1"/>
  <c r="S1062" i="5"/>
  <c r="T1062" i="5" s="1"/>
  <c r="S1165" i="5"/>
  <c r="T1165" i="5" s="1"/>
  <c r="S1164" i="5"/>
  <c r="T1164" i="5" s="1"/>
  <c r="S1143" i="5"/>
  <c r="T1143" i="5" s="1"/>
  <c r="T1150" i="5" s="1"/>
  <c r="J1343" i="5"/>
  <c r="J1344" i="5" s="1"/>
  <c r="J1240" i="5"/>
  <c r="J1300" i="5"/>
  <c r="J1301" i="5" s="1"/>
  <c r="J1302" i="5" s="1"/>
  <c r="J1282" i="5"/>
  <c r="S1274" i="5"/>
  <c r="T1274" i="5" s="1"/>
  <c r="J1259" i="5"/>
  <c r="J1260" i="5" s="1"/>
  <c r="J1261" i="5" s="1"/>
  <c r="S320" i="5"/>
  <c r="T320" i="5" s="1"/>
  <c r="J1306" i="5"/>
  <c r="J1307" i="5" s="1"/>
  <c r="J24" i="12"/>
  <c r="J25" i="12" s="1"/>
  <c r="S1269" i="5"/>
  <c r="T1269" i="5" s="1"/>
  <c r="S1250" i="5"/>
  <c r="T1250" i="5" s="1"/>
  <c r="S1093" i="5"/>
  <c r="T1093" i="5" s="1"/>
  <c r="Q1124" i="5"/>
  <c r="J1289" i="5"/>
  <c r="J1290" i="5" s="1"/>
  <c r="J1291" i="5" s="1"/>
  <c r="S1244" i="5"/>
  <c r="T1244" i="5" s="1"/>
  <c r="S778" i="5"/>
  <c r="T778" i="5" s="1"/>
  <c r="S953" i="5"/>
  <c r="T953" i="5" s="1"/>
  <c r="S969" i="5"/>
  <c r="T969" i="5" s="1"/>
  <c r="S1075" i="5"/>
  <c r="T1075" i="5" s="1"/>
  <c r="S906" i="5"/>
  <c r="T906" i="5" s="1"/>
  <c r="S779" i="5"/>
  <c r="T779" i="5" s="1"/>
  <c r="S954" i="5"/>
  <c r="T954" i="5" s="1"/>
  <c r="S970" i="5"/>
  <c r="T970" i="5" s="1"/>
  <c r="S971" i="5"/>
  <c r="T971" i="5" s="1"/>
  <c r="S972" i="5"/>
  <c r="T972" i="5" s="1"/>
  <c r="S973" i="5"/>
  <c r="T973" i="5" s="1"/>
  <c r="T1087" i="5"/>
  <c r="J1166" i="5"/>
  <c r="J1167" i="5" s="1"/>
  <c r="J1168" i="5" s="1"/>
  <c r="J1160" i="5"/>
  <c r="J1161" i="5" s="1"/>
  <c r="J1162" i="5" s="1"/>
  <c r="S1114" i="5"/>
  <c r="T1114" i="5" s="1"/>
  <c r="S1115" i="5"/>
  <c r="T1115" i="5" s="1"/>
  <c r="S1092" i="5"/>
  <c r="T1092" i="5" s="1"/>
  <c r="S1083" i="5"/>
  <c r="T1083" i="5" s="1"/>
  <c r="S1109" i="5"/>
  <c r="T1109" i="5" s="1"/>
  <c r="S1117" i="5"/>
  <c r="T1117" i="5" s="1"/>
  <c r="S1118" i="5"/>
  <c r="T1118" i="5" s="1"/>
  <c r="S1119" i="5"/>
  <c r="T1119" i="5" s="1"/>
  <c r="S1120" i="5"/>
  <c r="T1120" i="5" s="1"/>
  <c r="T37" i="12" l="1"/>
  <c r="T2075" i="5"/>
  <c r="J2168" i="5"/>
  <c r="J2169" i="5" s="1"/>
  <c r="J2075" i="5"/>
  <c r="T1995" i="5"/>
  <c r="J2014" i="5"/>
  <c r="J2103" i="5"/>
  <c r="J2104" i="5" s="1"/>
  <c r="J2128" i="5"/>
  <c r="J2129" i="5" s="1"/>
  <c r="T1090" i="5"/>
  <c r="T1073" i="5"/>
  <c r="T1931" i="5"/>
  <c r="T1798" i="5"/>
  <c r="T1891" i="5"/>
  <c r="T1917" i="5"/>
  <c r="J1883" i="5"/>
  <c r="J1884" i="5" s="1"/>
  <c r="T1168" i="5"/>
  <c r="T1714" i="5"/>
  <c r="T1780" i="5"/>
  <c r="T1731" i="5"/>
  <c r="J1755" i="5"/>
  <c r="J1756" i="5" s="1"/>
  <c r="T1607" i="5"/>
  <c r="T1742" i="5"/>
  <c r="T1554" i="5"/>
  <c r="T1642" i="5"/>
  <c r="T1614" i="5"/>
  <c r="T1693" i="5"/>
  <c r="S1495" i="5"/>
  <c r="T1496" i="5"/>
  <c r="T1520" i="5"/>
  <c r="T1470" i="5"/>
  <c r="T1667" i="5"/>
  <c r="J1641" i="5"/>
  <c r="J1642" i="5" s="1"/>
  <c r="T1528" i="5"/>
  <c r="T1592" i="5"/>
  <c r="T1584" i="5"/>
  <c r="T1402" i="5"/>
  <c r="T1514" i="5"/>
  <c r="T7" i="14"/>
  <c r="T1337" i="5"/>
  <c r="T1410" i="5"/>
  <c r="T1438" i="5"/>
  <c r="T1370" i="5"/>
  <c r="T1160" i="5"/>
  <c r="T1319" i="5"/>
  <c r="T1291" i="5"/>
  <c r="J1355" i="5"/>
  <c r="J1356" i="5" s="1"/>
  <c r="J1241" i="5"/>
  <c r="J1242" i="5" s="1"/>
  <c r="J1283" i="5"/>
  <c r="J1284" i="5" s="1"/>
  <c r="T1282" i="5"/>
  <c r="T1261" i="5"/>
  <c r="T787" i="5"/>
  <c r="T967" i="5"/>
  <c r="T1124" i="5"/>
  <c r="J1144" i="5"/>
  <c r="J1145" i="5"/>
  <c r="J1146" i="5"/>
  <c r="J1147" i="5"/>
  <c r="J1143" i="5"/>
  <c r="S1494" i="5" l="1"/>
  <c r="T1495" i="5"/>
  <c r="J1148" i="5"/>
  <c r="J1149" i="5" s="1"/>
  <c r="J1150" i="5" s="1"/>
  <c r="T1494" i="5" l="1"/>
  <c r="S1493" i="5"/>
  <c r="J1127" i="5"/>
  <c r="J1128" i="5"/>
  <c r="J1129" i="5"/>
  <c r="J1130" i="5"/>
  <c r="J1131" i="5"/>
  <c r="J1132" i="5"/>
  <c r="J1133" i="5"/>
  <c r="J1134" i="5"/>
  <c r="J1135" i="5"/>
  <c r="J1136" i="5"/>
  <c r="J1137" i="5"/>
  <c r="J1138" i="5"/>
  <c r="J1126" i="5"/>
  <c r="S1492" i="5" l="1"/>
  <c r="T1493" i="5"/>
  <c r="J1139" i="5"/>
  <c r="T1492" i="5" l="1"/>
  <c r="S1491" i="5"/>
  <c r="J1140" i="5"/>
  <c r="J1141" i="5" s="1"/>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084" i="5"/>
  <c r="J1085" i="5"/>
  <c r="J1086" i="5"/>
  <c r="J1087" i="5"/>
  <c r="J1092" i="5"/>
  <c r="J1083" i="5"/>
  <c r="Q753" i="5"/>
  <c r="T1491" i="5" l="1"/>
  <c r="S1490" i="5"/>
  <c r="J1088" i="5"/>
  <c r="J1089" i="5" s="1"/>
  <c r="J1090" i="5" s="1"/>
  <c r="J1122" i="5"/>
  <c r="J1123" i="5" s="1"/>
  <c r="J1124" i="5" s="1"/>
  <c r="S753" i="5"/>
  <c r="T753" i="5" s="1"/>
  <c r="Q855" i="5"/>
  <c r="S855" i="5" s="1"/>
  <c r="T855" i="5" s="1"/>
  <c r="Q854" i="5"/>
  <c r="S854" i="5" s="1"/>
  <c r="T854" i="5" s="1"/>
  <c r="J1079" i="5"/>
  <c r="J1080" i="5" s="1"/>
  <c r="S834" i="5"/>
  <c r="T834" i="5" s="1"/>
  <c r="Q894" i="5"/>
  <c r="S894" i="5" s="1"/>
  <c r="Q895" i="5"/>
  <c r="S895" i="5" s="1"/>
  <c r="Q896" i="5"/>
  <c r="S896" i="5" s="1"/>
  <c r="Q897" i="5"/>
  <c r="Q898" i="5"/>
  <c r="S898" i="5" s="1"/>
  <c r="T898" i="5" s="1"/>
  <c r="Q899" i="5"/>
  <c r="S899" i="5" s="1"/>
  <c r="Q900" i="5"/>
  <c r="Q901" i="5"/>
  <c r="S901" i="5" s="1"/>
  <c r="Q893" i="5"/>
  <c r="Q790" i="5"/>
  <c r="S790" i="5" s="1"/>
  <c r="Q791" i="5"/>
  <c r="S791" i="5" s="1"/>
  <c r="Q792" i="5"/>
  <c r="S792" i="5" s="1"/>
  <c r="Q793" i="5"/>
  <c r="S793" i="5" s="1"/>
  <c r="T793" i="5" s="1"/>
  <c r="Q789" i="5"/>
  <c r="Q945" i="5"/>
  <c r="S945" i="5" s="1"/>
  <c r="T945" i="5" s="1"/>
  <c r="Q946" i="5"/>
  <c r="S946" i="5" s="1"/>
  <c r="Q947" i="5"/>
  <c r="S947" i="5" s="1"/>
  <c r="Q948" i="5"/>
  <c r="S948" i="5" s="1"/>
  <c r="Q944" i="5"/>
  <c r="S944" i="5" s="1"/>
  <c r="T944" i="5" s="1"/>
  <c r="Q917" i="5"/>
  <c r="S917" i="5" s="1"/>
  <c r="T917" i="5" s="1"/>
  <c r="Q918" i="5"/>
  <c r="S918" i="5" s="1"/>
  <c r="Q919" i="5"/>
  <c r="S919" i="5" s="1"/>
  <c r="Q920" i="5"/>
  <c r="S920" i="5" s="1"/>
  <c r="Q921" i="5"/>
  <c r="Q922" i="5"/>
  <c r="S922" i="5" s="1"/>
  <c r="Q923" i="5"/>
  <c r="S923" i="5" s="1"/>
  <c r="Q924" i="5"/>
  <c r="S924" i="5" s="1"/>
  <c r="T924" i="5" s="1"/>
  <c r="Q925" i="5"/>
  <c r="S925" i="5" s="1"/>
  <c r="Q926" i="5"/>
  <c r="S926" i="5" s="1"/>
  <c r="Q927" i="5"/>
  <c r="Q928" i="5"/>
  <c r="S928" i="5" s="1"/>
  <c r="Q929" i="5"/>
  <c r="S929" i="5" s="1"/>
  <c r="T929" i="5" s="1"/>
  <c r="S1489" i="5" l="1"/>
  <c r="T1489" i="5" s="1"/>
  <c r="T1490" i="5"/>
  <c r="T858" i="5"/>
  <c r="S921" i="5"/>
  <c r="T921" i="5" s="1"/>
  <c r="T901" i="5"/>
  <c r="T928" i="5"/>
  <c r="S897" i="5"/>
  <c r="T897" i="5" s="1"/>
  <c r="J1081" i="5"/>
  <c r="J1082" i="5" s="1"/>
  <c r="T925" i="5"/>
  <c r="T920" i="5"/>
  <c r="T947" i="5"/>
  <c r="T792" i="5"/>
  <c r="S893" i="5"/>
  <c r="T893" i="5" s="1"/>
  <c r="T923" i="5"/>
  <c r="T919" i="5"/>
  <c r="T948" i="5"/>
  <c r="S789" i="5"/>
  <c r="T789" i="5" s="1"/>
  <c r="S927" i="5"/>
  <c r="T927" i="5" s="1"/>
  <c r="S900" i="5"/>
  <c r="T900" i="5" s="1"/>
  <c r="T896" i="5"/>
  <c r="T894" i="5"/>
  <c r="T899" i="5"/>
  <c r="T895" i="5"/>
  <c r="T790" i="5"/>
  <c r="T791" i="5"/>
  <c r="T946" i="5"/>
  <c r="T918" i="5"/>
  <c r="T926" i="5"/>
  <c r="T922" i="5"/>
  <c r="S1488" i="5" l="1"/>
  <c r="S1487" i="5" s="1"/>
  <c r="T795" i="5"/>
  <c r="T904" i="5"/>
  <c r="T951" i="5"/>
  <c r="J1075" i="5"/>
  <c r="J1076" i="5" s="1"/>
  <c r="Q984" i="5"/>
  <c r="S984" i="5" s="1"/>
  <c r="T984" i="5" s="1"/>
  <c r="Q985" i="5"/>
  <c r="S985" i="5" s="1"/>
  <c r="Q986" i="5"/>
  <c r="S986" i="5" s="1"/>
  <c r="Q987" i="5"/>
  <c r="S987" i="5" s="1"/>
  <c r="Q988" i="5"/>
  <c r="S988" i="5" s="1"/>
  <c r="T988" i="5" s="1"/>
  <c r="Q989" i="5"/>
  <c r="S989" i="5" s="1"/>
  <c r="Q990" i="5"/>
  <c r="S990" i="5" s="1"/>
  <c r="T1488" i="5" l="1"/>
  <c r="T1487" i="5"/>
  <c r="S1486" i="5"/>
  <c r="T987" i="5"/>
  <c r="J1077" i="5"/>
  <c r="J1078" i="5" s="1"/>
  <c r="T986" i="5"/>
  <c r="T990" i="5"/>
  <c r="T989" i="5"/>
  <c r="T985" i="5"/>
  <c r="Q979" i="5"/>
  <c r="S979" i="5" s="1"/>
  <c r="T979" i="5" s="1"/>
  <c r="Q980" i="5"/>
  <c r="S980" i="5" s="1"/>
  <c r="Q981" i="5"/>
  <c r="S981" i="5" s="1"/>
  <c r="Q982" i="5"/>
  <c r="S982" i="5" s="1"/>
  <c r="Q983" i="5"/>
  <c r="S983" i="5" s="1"/>
  <c r="T983" i="5" s="1"/>
  <c r="Q978" i="5"/>
  <c r="Q935" i="5"/>
  <c r="R935" i="5" s="1"/>
  <c r="Q936" i="5"/>
  <c r="R936" i="5" s="1"/>
  <c r="Q937" i="5"/>
  <c r="R937" i="5" s="1"/>
  <c r="Q938" i="5"/>
  <c r="R938" i="5" s="1"/>
  <c r="Q939" i="5"/>
  <c r="R939" i="5" s="1"/>
  <c r="Q934" i="5"/>
  <c r="S1485" i="5" l="1"/>
  <c r="T1485" i="5" s="1"/>
  <c r="T1486" i="5"/>
  <c r="R934" i="5"/>
  <c r="S934" i="5" s="1"/>
  <c r="T934" i="5" s="1"/>
  <c r="T982" i="5"/>
  <c r="S938" i="5"/>
  <c r="T938" i="5" s="1"/>
  <c r="S936" i="5"/>
  <c r="T936" i="5" s="1"/>
  <c r="S935" i="5"/>
  <c r="T935" i="5" s="1"/>
  <c r="S978" i="5"/>
  <c r="T978" i="5" s="1"/>
  <c r="S939" i="5"/>
  <c r="T939" i="5" s="1"/>
  <c r="S937" i="5"/>
  <c r="T937" i="5" s="1"/>
  <c r="T981" i="5"/>
  <c r="T980" i="5"/>
  <c r="Q16" i="12"/>
  <c r="Q15" i="12"/>
  <c r="S15" i="12" s="1"/>
  <c r="T15" i="12" s="1"/>
  <c r="Q14" i="12"/>
  <c r="S14" i="12" s="1"/>
  <c r="T14" i="12" s="1"/>
  <c r="J14" i="12"/>
  <c r="Q13" i="12"/>
  <c r="S13" i="12" s="1"/>
  <c r="T13" i="12" s="1"/>
  <c r="J13" i="12"/>
  <c r="Q12" i="12"/>
  <c r="S12" i="12" s="1"/>
  <c r="T12" i="12" s="1"/>
  <c r="J12" i="12"/>
  <c r="J4" i="12"/>
  <c r="J5" i="12"/>
  <c r="J3" i="12"/>
  <c r="Q7" i="12"/>
  <c r="S7" i="12" s="1"/>
  <c r="T7" i="12" s="1"/>
  <c r="Q6" i="12"/>
  <c r="S6" i="12" s="1"/>
  <c r="T6" i="12" s="1"/>
  <c r="Q5" i="12"/>
  <c r="S5" i="12" s="1"/>
  <c r="T5" i="12" s="1"/>
  <c r="Q4" i="12"/>
  <c r="S4" i="12" s="1"/>
  <c r="T4" i="12" s="1"/>
  <c r="Q3" i="12"/>
  <c r="S3" i="12" s="1"/>
  <c r="T3" i="12" s="1"/>
  <c r="Q912" i="5"/>
  <c r="S912" i="5" s="1"/>
  <c r="T912" i="5" s="1"/>
  <c r="Q913" i="5"/>
  <c r="S913" i="5" s="1"/>
  <c r="Q914" i="5"/>
  <c r="Q915" i="5"/>
  <c r="S915" i="5" s="1"/>
  <c r="T915" i="5" s="1"/>
  <c r="Q916" i="5"/>
  <c r="S916" i="5" s="1"/>
  <c r="T916" i="5" s="1"/>
  <c r="Q911" i="5"/>
  <c r="Q1054" i="5"/>
  <c r="S1054" i="5" s="1"/>
  <c r="T1054" i="5" s="1"/>
  <c r="Q1055" i="5"/>
  <c r="S1055" i="5" s="1"/>
  <c r="Q1056" i="5"/>
  <c r="S1056" i="5" s="1"/>
  <c r="Q1057" i="5"/>
  <c r="S1057" i="5" s="1"/>
  <c r="T1057" i="5" s="1"/>
  <c r="Q1058" i="5"/>
  <c r="S1058" i="5" s="1"/>
  <c r="T1058" i="5" s="1"/>
  <c r="Q1059" i="5"/>
  <c r="S1059" i="5" s="1"/>
  <c r="Q1060" i="5"/>
  <c r="S1060" i="5" s="1"/>
  <c r="Q1061" i="5"/>
  <c r="S1061" i="5" s="1"/>
  <c r="Q1053" i="5"/>
  <c r="S1053" i="5" s="1"/>
  <c r="J17" i="12" l="1"/>
  <c r="J18" i="12" s="1"/>
  <c r="J19" i="12" s="1"/>
  <c r="T1499" i="5"/>
  <c r="T942" i="5"/>
  <c r="T993" i="5"/>
  <c r="T1053" i="5"/>
  <c r="T1056" i="5"/>
  <c r="S911" i="5"/>
  <c r="T911" i="5" s="1"/>
  <c r="T1061" i="5"/>
  <c r="T1060" i="5"/>
  <c r="S914" i="5"/>
  <c r="T914" i="5" s="1"/>
  <c r="S16" i="12"/>
  <c r="T16" i="12" s="1"/>
  <c r="T19" i="12" s="1"/>
  <c r="J8" i="12"/>
  <c r="J9" i="12" s="1"/>
  <c r="J10" i="12" s="1"/>
  <c r="T10" i="12"/>
  <c r="T913" i="5"/>
  <c r="T1059" i="5"/>
  <c r="T1055" i="5"/>
  <c r="T1064" i="5" l="1"/>
  <c r="T932" i="5"/>
  <c r="J1068" i="5"/>
  <c r="J1069" i="5"/>
  <c r="J1070" i="5"/>
  <c r="J1067" i="5"/>
  <c r="Q742" i="5"/>
  <c r="S742" i="5" s="1"/>
  <c r="Q743" i="5"/>
  <c r="S743" i="5" s="1"/>
  <c r="Q744" i="5"/>
  <c r="Q745" i="5"/>
  <c r="S745" i="5" s="1"/>
  <c r="Q746" i="5"/>
  <c r="S746" i="5" s="1"/>
  <c r="Q741" i="5"/>
  <c r="S741" i="5" s="1"/>
  <c r="T741" i="5" s="1"/>
  <c r="J1071" i="5" l="1"/>
  <c r="J1072" i="5" s="1"/>
  <c r="J1073" i="5" s="1"/>
  <c r="T742" i="5"/>
  <c r="T746" i="5"/>
  <c r="S744" i="5"/>
  <c r="T744" i="5" s="1"/>
  <c r="T745" i="5"/>
  <c r="T743" i="5"/>
  <c r="Q996" i="5" l="1"/>
  <c r="S996" i="5" s="1"/>
  <c r="Q997" i="5"/>
  <c r="S997" i="5" s="1"/>
  <c r="Q998" i="5"/>
  <c r="S998" i="5" s="1"/>
  <c r="T998" i="5" s="1"/>
  <c r="Q999" i="5"/>
  <c r="S999" i="5" s="1"/>
  <c r="T999" i="5" s="1"/>
  <c r="Q1000" i="5"/>
  <c r="S1000" i="5" s="1"/>
  <c r="T1000" i="5" s="1"/>
  <c r="Q1001" i="5"/>
  <c r="S1001" i="5" s="1"/>
  <c r="Q1002" i="5"/>
  <c r="S1002" i="5" s="1"/>
  <c r="Q1003" i="5"/>
  <c r="S1003" i="5" s="1"/>
  <c r="Q1004" i="5"/>
  <c r="S1004" i="5" s="1"/>
  <c r="T1004" i="5" s="1"/>
  <c r="Q1005" i="5"/>
  <c r="S1005" i="5" s="1"/>
  <c r="Q1006" i="5"/>
  <c r="S1006" i="5" s="1"/>
  <c r="Q1007" i="5"/>
  <c r="S1007" i="5" s="1"/>
  <c r="Q1008" i="5"/>
  <c r="S1008" i="5" s="1"/>
  <c r="Q1009" i="5"/>
  <c r="S1009" i="5" s="1"/>
  <c r="Q1010" i="5"/>
  <c r="S1010" i="5" s="1"/>
  <c r="T1010" i="5" s="1"/>
  <c r="Q1011" i="5"/>
  <c r="S1011" i="5" s="1"/>
  <c r="T1011" i="5" s="1"/>
  <c r="Q1012" i="5"/>
  <c r="S1012" i="5" s="1"/>
  <c r="Q1013" i="5"/>
  <c r="S1013" i="5" s="1"/>
  <c r="Q1014" i="5"/>
  <c r="S1014" i="5" s="1"/>
  <c r="T1014" i="5" s="1"/>
  <c r="Q1015" i="5"/>
  <c r="S1015" i="5" s="1"/>
  <c r="T1015" i="5" s="1"/>
  <c r="Q1016" i="5"/>
  <c r="S1016" i="5" s="1"/>
  <c r="Q1017" i="5"/>
  <c r="S1017" i="5" s="1"/>
  <c r="Q1018" i="5"/>
  <c r="S1018" i="5" s="1"/>
  <c r="T1018" i="5" s="1"/>
  <c r="Q1019" i="5"/>
  <c r="S1019" i="5" s="1"/>
  <c r="T1019" i="5" s="1"/>
  <c r="Q1020" i="5"/>
  <c r="S1020" i="5" s="1"/>
  <c r="Q1021" i="5"/>
  <c r="S1021" i="5" s="1"/>
  <c r="Q1022" i="5"/>
  <c r="S1022" i="5" s="1"/>
  <c r="T1022" i="5" s="1"/>
  <c r="Q1023" i="5"/>
  <c r="S1023" i="5" s="1"/>
  <c r="T1023" i="5" s="1"/>
  <c r="Q1024" i="5"/>
  <c r="S1024" i="5" s="1"/>
  <c r="Q1025" i="5"/>
  <c r="S1025" i="5" s="1"/>
  <c r="Q1026" i="5"/>
  <c r="S1026" i="5" s="1"/>
  <c r="T1026" i="5" s="1"/>
  <c r="Q1027" i="5"/>
  <c r="S1027" i="5" s="1"/>
  <c r="T1027" i="5" s="1"/>
  <c r="Q1028" i="5"/>
  <c r="S1028" i="5" s="1"/>
  <c r="Q1029" i="5"/>
  <c r="S1029" i="5" s="1"/>
  <c r="Q1030" i="5"/>
  <c r="S1030" i="5" s="1"/>
  <c r="T1030" i="5" s="1"/>
  <c r="Q1031" i="5"/>
  <c r="S1031" i="5" s="1"/>
  <c r="T1031" i="5" s="1"/>
  <c r="Q1032" i="5"/>
  <c r="S1032" i="5" s="1"/>
  <c r="Q1033" i="5"/>
  <c r="S1033" i="5" s="1"/>
  <c r="Q1034" i="5"/>
  <c r="S1034" i="5" s="1"/>
  <c r="T1034" i="5" s="1"/>
  <c r="Q1035" i="5"/>
  <c r="S1035" i="5" s="1"/>
  <c r="T1035" i="5" s="1"/>
  <c r="Q1036" i="5"/>
  <c r="S1036" i="5" s="1"/>
  <c r="Q1037" i="5"/>
  <c r="S1037" i="5" s="1"/>
  <c r="Q1038" i="5"/>
  <c r="S1038" i="5" s="1"/>
  <c r="T1038" i="5" s="1"/>
  <c r="Q1039" i="5"/>
  <c r="S1039" i="5" s="1"/>
  <c r="T1039" i="5" s="1"/>
  <c r="Q1040" i="5"/>
  <c r="S1040" i="5" s="1"/>
  <c r="Q1041" i="5"/>
  <c r="S1041" i="5" s="1"/>
  <c r="Q1042" i="5"/>
  <c r="S1042" i="5" s="1"/>
  <c r="T1042" i="5" s="1"/>
  <c r="Q1043" i="5"/>
  <c r="S1043" i="5" s="1"/>
  <c r="T1043" i="5" s="1"/>
  <c r="Q1044" i="5"/>
  <c r="S1044" i="5" s="1"/>
  <c r="Q1045" i="5"/>
  <c r="S1045" i="5" s="1"/>
  <c r="Q1046" i="5"/>
  <c r="S1046" i="5" s="1"/>
  <c r="T1046" i="5" s="1"/>
  <c r="Q1047" i="5"/>
  <c r="S1047" i="5" s="1"/>
  <c r="T1047" i="5" s="1"/>
  <c r="Q1048" i="5"/>
  <c r="S1048" i="5" s="1"/>
  <c r="Q995" i="5"/>
  <c r="S995" i="5" s="1"/>
  <c r="T995" i="5" s="1"/>
  <c r="Q869" i="5"/>
  <c r="S869" i="5" s="1"/>
  <c r="Q868" i="5"/>
  <c r="S868" i="5" s="1"/>
  <c r="T868" i="5" s="1"/>
  <c r="Q841" i="5"/>
  <c r="S841" i="5" s="1"/>
  <c r="Q842" i="5"/>
  <c r="S842" i="5" s="1"/>
  <c r="Q843" i="5"/>
  <c r="S843" i="5" s="1"/>
  <c r="Q844" i="5"/>
  <c r="S844" i="5" s="1"/>
  <c r="Q845" i="5"/>
  <c r="S845" i="5" s="1"/>
  <c r="Q846" i="5"/>
  <c r="S846" i="5" s="1"/>
  <c r="T846" i="5" s="1"/>
  <c r="Q847" i="5"/>
  <c r="S847" i="5" s="1"/>
  <c r="Q848" i="5"/>
  <c r="S848" i="5" s="1"/>
  <c r="Q849" i="5"/>
  <c r="Q840" i="5"/>
  <c r="S840" i="5" s="1"/>
  <c r="T869" i="5" l="1"/>
  <c r="T1007" i="5"/>
  <c r="T1003" i="5"/>
  <c r="T1002" i="5"/>
  <c r="T843" i="5"/>
  <c r="T1006" i="5"/>
  <c r="T845" i="5"/>
  <c r="T840" i="5"/>
  <c r="T847" i="5"/>
  <c r="T842" i="5"/>
  <c r="S849" i="5"/>
  <c r="T849" i="5" s="1"/>
  <c r="T1048" i="5"/>
  <c r="T1044" i="5"/>
  <c r="T1040" i="5"/>
  <c r="T1036" i="5"/>
  <c r="T1032" i="5"/>
  <c r="T1028" i="5"/>
  <c r="T1024" i="5"/>
  <c r="T1020" i="5"/>
  <c r="T1016" i="5"/>
  <c r="T1012" i="5"/>
  <c r="T1008" i="5"/>
  <c r="T996" i="5"/>
  <c r="T1045" i="5"/>
  <c r="T1041" i="5"/>
  <c r="T1037" i="5"/>
  <c r="T1033" i="5"/>
  <c r="T1029" i="5"/>
  <c r="T1025" i="5"/>
  <c r="T1021" i="5"/>
  <c r="T1017" i="5"/>
  <c r="T1013" i="5"/>
  <c r="T1009" i="5"/>
  <c r="T1005" i="5"/>
  <c r="T1001" i="5"/>
  <c r="T997" i="5"/>
  <c r="T848" i="5"/>
  <c r="T844" i="5"/>
  <c r="T841" i="5"/>
  <c r="T852" i="5" l="1"/>
  <c r="T1051" i="5"/>
  <c r="J1054" i="5"/>
  <c r="J1055" i="5"/>
  <c r="J1056" i="5"/>
  <c r="J1057" i="5"/>
  <c r="J1058" i="5"/>
  <c r="J1059" i="5"/>
  <c r="J1060" i="5"/>
  <c r="J1061" i="5"/>
  <c r="J1062" i="5"/>
  <c r="J1063" i="5"/>
  <c r="J1053" i="5"/>
  <c r="J1064" i="5" l="1"/>
  <c r="J1065" i="5" s="1"/>
  <c r="J1066" i="5" s="1"/>
  <c r="J1048" i="5" l="1"/>
  <c r="J1047" i="5"/>
  <c r="J1046" i="5"/>
  <c r="J1045" i="5"/>
  <c r="J1044" i="5"/>
  <c r="J1043" i="5"/>
  <c r="J1042" i="5"/>
  <c r="J1041" i="5"/>
  <c r="J1040" i="5"/>
  <c r="J1039" i="5"/>
  <c r="J1038" i="5"/>
  <c r="J1037" i="5"/>
  <c r="J1036" i="5"/>
  <c r="J1035" i="5"/>
  <c r="J1034" i="5"/>
  <c r="J1033" i="5"/>
  <c r="J1032" i="5"/>
  <c r="J1031" i="5"/>
  <c r="J1030" i="5"/>
  <c r="J1029" i="5"/>
  <c r="J1028" i="5"/>
  <c r="J1027" i="5"/>
  <c r="J1026" i="5"/>
  <c r="J1025" i="5"/>
  <c r="J1024" i="5"/>
  <c r="J1023" i="5"/>
  <c r="J1022" i="5"/>
  <c r="J1021" i="5"/>
  <c r="J1020" i="5"/>
  <c r="J1019" i="5"/>
  <c r="J1018" i="5"/>
  <c r="J1017" i="5"/>
  <c r="J1016" i="5"/>
  <c r="J1015" i="5"/>
  <c r="J1014" i="5"/>
  <c r="J1013" i="5"/>
  <c r="J1012" i="5"/>
  <c r="J1011" i="5"/>
  <c r="J1010" i="5"/>
  <c r="J1009" i="5"/>
  <c r="J1008" i="5"/>
  <c r="J1007" i="5"/>
  <c r="J1006" i="5"/>
  <c r="J1005" i="5"/>
  <c r="J1004" i="5"/>
  <c r="J1003" i="5"/>
  <c r="J1002" i="5"/>
  <c r="J1001" i="5"/>
  <c r="J979" i="5"/>
  <c r="J980" i="5"/>
  <c r="J981" i="5"/>
  <c r="J982" i="5"/>
  <c r="J983" i="5"/>
  <c r="J984" i="5"/>
  <c r="J985" i="5"/>
  <c r="J986" i="5"/>
  <c r="J987" i="5"/>
  <c r="J988" i="5"/>
  <c r="J989" i="5"/>
  <c r="J990" i="5"/>
  <c r="J995" i="5"/>
  <c r="J996" i="5"/>
  <c r="J997" i="5"/>
  <c r="J998" i="5"/>
  <c r="J999" i="5"/>
  <c r="J1000" i="5"/>
  <c r="J1049" i="5" l="1"/>
  <c r="J1050" i="5" s="1"/>
  <c r="J1051" i="5" s="1"/>
  <c r="J954" i="5" l="1"/>
  <c r="J955" i="5"/>
  <c r="J956" i="5"/>
  <c r="J957" i="5"/>
  <c r="J958" i="5"/>
  <c r="J959" i="5"/>
  <c r="J960" i="5"/>
  <c r="J961" i="5"/>
  <c r="J962" i="5"/>
  <c r="J963" i="5"/>
  <c r="J964" i="5"/>
  <c r="J969" i="5"/>
  <c r="J970" i="5"/>
  <c r="J971" i="5"/>
  <c r="J972" i="5"/>
  <c r="J973" i="5"/>
  <c r="J978" i="5"/>
  <c r="J991" i="5" s="1"/>
  <c r="J953" i="5"/>
  <c r="J992" i="5" l="1"/>
  <c r="J993" i="5" s="1"/>
  <c r="J965" i="5"/>
  <c r="J966" i="5" s="1"/>
  <c r="J967" i="5" s="1"/>
  <c r="J974" i="5"/>
  <c r="J975" i="5" s="1"/>
  <c r="J976" i="5" s="1"/>
  <c r="Q835" i="5"/>
  <c r="J935" i="5"/>
  <c r="J936" i="5"/>
  <c r="J937" i="5"/>
  <c r="J938" i="5"/>
  <c r="J939" i="5"/>
  <c r="J944" i="5"/>
  <c r="J945" i="5"/>
  <c r="J946" i="5"/>
  <c r="J947" i="5"/>
  <c r="J948" i="5"/>
  <c r="J934" i="5"/>
  <c r="J929" i="5"/>
  <c r="J928" i="5"/>
  <c r="J927" i="5"/>
  <c r="J912" i="5"/>
  <c r="J913" i="5"/>
  <c r="J914" i="5"/>
  <c r="J915" i="5"/>
  <c r="J916" i="5"/>
  <c r="J917" i="5"/>
  <c r="J918" i="5"/>
  <c r="J919" i="5"/>
  <c r="J920" i="5"/>
  <c r="J921" i="5"/>
  <c r="J922" i="5"/>
  <c r="J923" i="5"/>
  <c r="J924" i="5"/>
  <c r="J925" i="5"/>
  <c r="J926" i="5"/>
  <c r="J911" i="5"/>
  <c r="J940" i="5" l="1"/>
  <c r="J941" i="5" s="1"/>
  <c r="J942" i="5" s="1"/>
  <c r="J949" i="5"/>
  <c r="J950" i="5" s="1"/>
  <c r="J951" i="5" s="1"/>
  <c r="J930" i="5"/>
  <c r="S835" i="5"/>
  <c r="T835" i="5" s="1"/>
  <c r="T838" i="5" s="1"/>
  <c r="J906" i="5"/>
  <c r="J907" i="5" s="1"/>
  <c r="Q880" i="5"/>
  <c r="S880" i="5" s="1"/>
  <c r="T880" i="5" s="1"/>
  <c r="Q881" i="5"/>
  <c r="S881" i="5" s="1"/>
  <c r="Q882" i="5"/>
  <c r="S882" i="5" s="1"/>
  <c r="Q883" i="5"/>
  <c r="S883" i="5" s="1"/>
  <c r="T883" i="5" s="1"/>
  <c r="Q884" i="5"/>
  <c r="S884" i="5" s="1"/>
  <c r="T884" i="5" s="1"/>
  <c r="Q885" i="5"/>
  <c r="S885" i="5" s="1"/>
  <c r="Q886" i="5"/>
  <c r="S886" i="5" s="1"/>
  <c r="Q887" i="5"/>
  <c r="S887" i="5" s="1"/>
  <c r="Q888" i="5"/>
  <c r="S888" i="5" s="1"/>
  <c r="T888" i="5" s="1"/>
  <c r="Q879" i="5"/>
  <c r="S879" i="5" s="1"/>
  <c r="T879" i="5" s="1"/>
  <c r="Q861" i="5"/>
  <c r="S861" i="5" s="1"/>
  <c r="Q862" i="5"/>
  <c r="S862" i="5" s="1"/>
  <c r="Q863" i="5"/>
  <c r="S863" i="5" s="1"/>
  <c r="Q864" i="5"/>
  <c r="S864" i="5" s="1"/>
  <c r="Q865" i="5"/>
  <c r="S865" i="5" s="1"/>
  <c r="T865" i="5" s="1"/>
  <c r="Q866" i="5"/>
  <c r="S866" i="5" s="1"/>
  <c r="Q867" i="5"/>
  <c r="Q860" i="5"/>
  <c r="J931" i="5" l="1"/>
  <c r="J932" i="5" s="1"/>
  <c r="T864" i="5"/>
  <c r="J908" i="5"/>
  <c r="J909" i="5" s="1"/>
  <c r="S860" i="5"/>
  <c r="T860" i="5" s="1"/>
  <c r="T882" i="5"/>
  <c r="T887" i="5"/>
  <c r="T886" i="5"/>
  <c r="S867" i="5"/>
  <c r="T867" i="5" s="1"/>
  <c r="T863" i="5"/>
  <c r="T885" i="5"/>
  <c r="T881" i="5"/>
  <c r="T861" i="5"/>
  <c r="T866" i="5"/>
  <c r="T862" i="5"/>
  <c r="T891" i="5" l="1"/>
  <c r="T872" i="5"/>
  <c r="J894" i="5"/>
  <c r="J895" i="5"/>
  <c r="J896" i="5"/>
  <c r="J897" i="5"/>
  <c r="J898" i="5"/>
  <c r="J899" i="5"/>
  <c r="J900" i="5"/>
  <c r="J901" i="5"/>
  <c r="J893" i="5"/>
  <c r="T84" i="5"/>
  <c r="Q84" i="5"/>
  <c r="Q178" i="5"/>
  <c r="S178" i="5" s="1"/>
  <c r="Q179" i="5"/>
  <c r="S179" i="5" s="1"/>
  <c r="Q180" i="5"/>
  <c r="S180" i="5" s="1"/>
  <c r="T180" i="5" s="1"/>
  <c r="Q181" i="5"/>
  <c r="S181" i="5" s="1"/>
  <c r="T181" i="5" s="1"/>
  <c r="Q182" i="5"/>
  <c r="S182" i="5" s="1"/>
  <c r="Q183" i="5"/>
  <c r="S183" i="5" s="1"/>
  <c r="Q184" i="5"/>
  <c r="S184" i="5" s="1"/>
  <c r="T184" i="5" s="1"/>
  <c r="Q185" i="5"/>
  <c r="S185" i="5" s="1"/>
  <c r="T185" i="5" s="1"/>
  <c r="Q186" i="5"/>
  <c r="S186" i="5" s="1"/>
  <c r="Q187" i="5"/>
  <c r="S187" i="5" s="1"/>
  <c r="Q188" i="5"/>
  <c r="S188" i="5" s="1"/>
  <c r="T188" i="5" s="1"/>
  <c r="Q189" i="5"/>
  <c r="S189" i="5" s="1"/>
  <c r="T189" i="5" s="1"/>
  <c r="Q190" i="5"/>
  <c r="S190" i="5" s="1"/>
  <c r="Q191" i="5"/>
  <c r="S191" i="5" s="1"/>
  <c r="Q192" i="5"/>
  <c r="S192" i="5" s="1"/>
  <c r="T192" i="5" s="1"/>
  <c r="Q193" i="5"/>
  <c r="S193" i="5" s="1"/>
  <c r="T193" i="5" s="1"/>
  <c r="Q444" i="5"/>
  <c r="T444" i="5" s="1"/>
  <c r="Q445" i="5"/>
  <c r="T445" i="5" s="1"/>
  <c r="Q446" i="5"/>
  <c r="T446" i="5" s="1"/>
  <c r="Q447" i="5"/>
  <c r="T447" i="5" s="1"/>
  <c r="Q448" i="5"/>
  <c r="T448" i="5" s="1"/>
  <c r="Q449" i="5"/>
  <c r="T449" i="5" s="1"/>
  <c r="Q450" i="5"/>
  <c r="T450" i="5" s="1"/>
  <c r="Q451" i="5"/>
  <c r="T451" i="5" s="1"/>
  <c r="Q570" i="5"/>
  <c r="Q571" i="5"/>
  <c r="S571" i="5" s="1"/>
  <c r="Q572" i="5"/>
  <c r="S572" i="5" s="1"/>
  <c r="Q573" i="5"/>
  <c r="S573" i="5" s="1"/>
  <c r="Q574" i="5"/>
  <c r="S574" i="5" s="1"/>
  <c r="T574" i="5" s="1"/>
  <c r="Q575" i="5"/>
  <c r="S575" i="5" s="1"/>
  <c r="Q576" i="5"/>
  <c r="S576" i="5" s="1"/>
  <c r="Q577" i="5"/>
  <c r="S577" i="5" s="1"/>
  <c r="Q592" i="5"/>
  <c r="S592" i="5" s="1"/>
  <c r="T592" i="5" s="1"/>
  <c r="Q593" i="5"/>
  <c r="S593" i="5" s="1"/>
  <c r="Q594" i="5"/>
  <c r="S594" i="5" s="1"/>
  <c r="Q595" i="5"/>
  <c r="S595" i="5" s="1"/>
  <c r="Q596" i="5"/>
  <c r="S596" i="5" s="1"/>
  <c r="T596" i="5" s="1"/>
  <c r="Q591" i="5"/>
  <c r="Q607" i="5"/>
  <c r="S607" i="5" s="1"/>
  <c r="Q608" i="5"/>
  <c r="S608" i="5" s="1"/>
  <c r="Q609" i="5"/>
  <c r="S609" i="5" s="1"/>
  <c r="T609" i="5" s="1"/>
  <c r="Q610" i="5"/>
  <c r="S610" i="5" s="1"/>
  <c r="T610" i="5" s="1"/>
  <c r="Q611" i="5"/>
  <c r="S611" i="5" s="1"/>
  <c r="Q612" i="5"/>
  <c r="S612" i="5" s="1"/>
  <c r="Q613" i="5"/>
  <c r="S613" i="5" s="1"/>
  <c r="T613" i="5" s="1"/>
  <c r="Q614" i="5"/>
  <c r="S614" i="5" s="1"/>
  <c r="T614" i="5" s="1"/>
  <c r="Q615" i="5"/>
  <c r="S615" i="5" s="1"/>
  <c r="Q606" i="5"/>
  <c r="Q630" i="5"/>
  <c r="S630" i="5" s="1"/>
  <c r="Q631" i="5"/>
  <c r="S631" i="5" s="1"/>
  <c r="Q632" i="5"/>
  <c r="S632" i="5" s="1"/>
  <c r="T632" i="5" s="1"/>
  <c r="Q633" i="5"/>
  <c r="S633" i="5" s="1"/>
  <c r="T633" i="5" s="1"/>
  <c r="Q634" i="5"/>
  <c r="S634" i="5" s="1"/>
  <c r="Q635" i="5"/>
  <c r="S635" i="5" s="1"/>
  <c r="Q636" i="5"/>
  <c r="S636" i="5" s="1"/>
  <c r="Q637" i="5"/>
  <c r="Q629" i="5"/>
  <c r="Q471" i="5"/>
  <c r="S471" i="5" s="1"/>
  <c r="Q472" i="5"/>
  <c r="S472" i="5" s="1"/>
  <c r="Q473" i="5"/>
  <c r="S473" i="5" s="1"/>
  <c r="T473" i="5" s="1"/>
  <c r="Q474" i="5"/>
  <c r="S474" i="5" s="1"/>
  <c r="T474" i="5" s="1"/>
  <c r="Q475" i="5"/>
  <c r="S475" i="5" s="1"/>
  <c r="Q476" i="5"/>
  <c r="S476" i="5" s="1"/>
  <c r="Q477" i="5"/>
  <c r="S477" i="5" s="1"/>
  <c r="T477" i="5" s="1"/>
  <c r="Q478" i="5"/>
  <c r="S478" i="5" s="1"/>
  <c r="T478" i="5" s="1"/>
  <c r="Q479" i="5"/>
  <c r="Q480" i="5"/>
  <c r="S480" i="5" s="1"/>
  <c r="Q481" i="5"/>
  <c r="S481" i="5" s="1"/>
  <c r="T481" i="5" s="1"/>
  <c r="Q470" i="5"/>
  <c r="S470" i="5" s="1"/>
  <c r="T470" i="5" s="1"/>
  <c r="Q874" i="5"/>
  <c r="Q621" i="5"/>
  <c r="S621" i="5" s="1"/>
  <c r="Q622" i="5"/>
  <c r="S622" i="5" s="1"/>
  <c r="Q623" i="5"/>
  <c r="Q620" i="5"/>
  <c r="S620" i="5" s="1"/>
  <c r="T620" i="5" s="1"/>
  <c r="Q724" i="5"/>
  <c r="S724" i="5" s="1"/>
  <c r="T724" i="5" s="1"/>
  <c r="S637" i="5" l="1"/>
  <c r="T637" i="5" s="1"/>
  <c r="S570" i="5"/>
  <c r="T570" i="5" s="1"/>
  <c r="T572" i="5"/>
  <c r="T636" i="5"/>
  <c r="T595" i="5"/>
  <c r="T573" i="5"/>
  <c r="S874" i="5"/>
  <c r="T874" i="5" s="1"/>
  <c r="S606" i="5"/>
  <c r="T606" i="5" s="1"/>
  <c r="S629" i="5"/>
  <c r="T629" i="5" s="1"/>
  <c r="S591" i="5"/>
  <c r="T591" i="5" s="1"/>
  <c r="T577" i="5"/>
  <c r="T576" i="5"/>
  <c r="T186" i="5"/>
  <c r="T475" i="5"/>
  <c r="T635" i="5"/>
  <c r="T594" i="5"/>
  <c r="T190" i="5"/>
  <c r="T182" i="5"/>
  <c r="J902" i="5"/>
  <c r="S479" i="5"/>
  <c r="T479" i="5" s="1"/>
  <c r="T178" i="5"/>
  <c r="T191" i="5"/>
  <c r="T187" i="5"/>
  <c r="T183" i="5"/>
  <c r="T179" i="5"/>
  <c r="T575" i="5"/>
  <c r="T571" i="5"/>
  <c r="T593" i="5"/>
  <c r="T615" i="5"/>
  <c r="T611" i="5"/>
  <c r="T607" i="5"/>
  <c r="T612" i="5"/>
  <c r="T608" i="5"/>
  <c r="T634" i="5"/>
  <c r="T630" i="5"/>
  <c r="T631" i="5"/>
  <c r="T471" i="5"/>
  <c r="T472" i="5"/>
  <c r="T480" i="5"/>
  <c r="T476" i="5"/>
  <c r="T621" i="5"/>
  <c r="T622" i="5"/>
  <c r="S623" i="5"/>
  <c r="T623" i="5" s="1"/>
  <c r="T598" i="5" l="1"/>
  <c r="T641" i="5"/>
  <c r="T482" i="5"/>
  <c r="J903" i="5"/>
  <c r="J904" i="5" s="1"/>
  <c r="J880" i="5"/>
  <c r="J881" i="5"/>
  <c r="J882" i="5"/>
  <c r="J883" i="5"/>
  <c r="J884" i="5"/>
  <c r="J885" i="5"/>
  <c r="J886" i="5"/>
  <c r="J887" i="5"/>
  <c r="J888" i="5"/>
  <c r="J879" i="5"/>
  <c r="J874" i="5"/>
  <c r="J875" i="5" s="1"/>
  <c r="J877" i="5" s="1"/>
  <c r="Q800" i="5"/>
  <c r="S800" i="5" s="1"/>
  <c r="T800" i="5" s="1"/>
  <c r="Q801" i="5"/>
  <c r="S801" i="5" s="1"/>
  <c r="Q802" i="5"/>
  <c r="S802" i="5" s="1"/>
  <c r="Q803" i="5"/>
  <c r="S803" i="5" s="1"/>
  <c r="Q804" i="5"/>
  <c r="S804" i="5" s="1"/>
  <c r="T804" i="5" s="1"/>
  <c r="Q805" i="5"/>
  <c r="S805" i="5" s="1"/>
  <c r="Q806" i="5"/>
  <c r="S806" i="5" s="1"/>
  <c r="Q807" i="5"/>
  <c r="Q808" i="5"/>
  <c r="S808" i="5" s="1"/>
  <c r="T808" i="5" s="1"/>
  <c r="Q809" i="5"/>
  <c r="S809" i="5" s="1"/>
  <c r="Q810" i="5"/>
  <c r="S810" i="5" s="1"/>
  <c r="Q811" i="5"/>
  <c r="Q812" i="5"/>
  <c r="S812" i="5" s="1"/>
  <c r="Q813" i="5"/>
  <c r="S813" i="5" s="1"/>
  <c r="Q814" i="5"/>
  <c r="S814" i="5" s="1"/>
  <c r="Q815" i="5"/>
  <c r="S815" i="5" s="1"/>
  <c r="T815" i="5" s="1"/>
  <c r="Q799" i="5"/>
  <c r="Q821" i="5"/>
  <c r="S821" i="5" s="1"/>
  <c r="T821" i="5" s="1"/>
  <c r="Q822" i="5"/>
  <c r="S822" i="5" s="1"/>
  <c r="Q823" i="5"/>
  <c r="S823" i="5" s="1"/>
  <c r="Q824" i="5"/>
  <c r="S824" i="5" s="1"/>
  <c r="Q825" i="5"/>
  <c r="S825" i="5" s="1"/>
  <c r="T825" i="5" s="1"/>
  <c r="Q826" i="5"/>
  <c r="S826" i="5" s="1"/>
  <c r="Q827" i="5"/>
  <c r="S827" i="5" s="1"/>
  <c r="Q828" i="5"/>
  <c r="Q820" i="5"/>
  <c r="S820" i="5" s="1"/>
  <c r="T820" i="5" s="1"/>
  <c r="J861" i="5"/>
  <c r="J862" i="5"/>
  <c r="J863" i="5"/>
  <c r="J864" i="5"/>
  <c r="J865" i="5"/>
  <c r="J866" i="5"/>
  <c r="J867" i="5"/>
  <c r="J868" i="5"/>
  <c r="J869" i="5"/>
  <c r="J860" i="5"/>
  <c r="J855" i="5"/>
  <c r="J854" i="5"/>
  <c r="J889" i="5" l="1"/>
  <c r="J891" i="5" s="1"/>
  <c r="J856" i="5"/>
  <c r="J857" i="5" s="1"/>
  <c r="J858" i="5" s="1"/>
  <c r="S828" i="5"/>
  <c r="T828" i="5" s="1"/>
  <c r="S807" i="5"/>
  <c r="T807" i="5" s="1"/>
  <c r="T827" i="5"/>
  <c r="S799" i="5"/>
  <c r="T799" i="5" s="1"/>
  <c r="T812" i="5"/>
  <c r="J870" i="5"/>
  <c r="J872" i="5" s="1"/>
  <c r="T824" i="5"/>
  <c r="T823" i="5"/>
  <c r="T810" i="5"/>
  <c r="T803" i="5"/>
  <c r="T802" i="5"/>
  <c r="T814" i="5"/>
  <c r="T806" i="5"/>
  <c r="S811" i="5"/>
  <c r="T811" i="5" s="1"/>
  <c r="T813" i="5"/>
  <c r="T809" i="5"/>
  <c r="T805" i="5"/>
  <c r="T801" i="5"/>
  <c r="T826" i="5"/>
  <c r="T822" i="5"/>
  <c r="T816" i="5" l="1"/>
  <c r="T830" i="5"/>
  <c r="J849" i="5"/>
  <c r="J848" i="5"/>
  <c r="J847" i="5"/>
  <c r="J821" i="5"/>
  <c r="J822" i="5"/>
  <c r="J823" i="5"/>
  <c r="J824" i="5"/>
  <c r="J825" i="5"/>
  <c r="J826" i="5"/>
  <c r="J827" i="5"/>
  <c r="J828" i="5"/>
  <c r="J829" i="5"/>
  <c r="J833" i="5"/>
  <c r="J834" i="5"/>
  <c r="J835" i="5"/>
  <c r="J840" i="5"/>
  <c r="J841" i="5"/>
  <c r="J842" i="5"/>
  <c r="J843" i="5"/>
  <c r="J844" i="5"/>
  <c r="J845" i="5"/>
  <c r="J846" i="5"/>
  <c r="J820" i="5"/>
  <c r="J815" i="5"/>
  <c r="J814" i="5"/>
  <c r="J813" i="5"/>
  <c r="J812" i="5"/>
  <c r="J811" i="5"/>
  <c r="J810" i="5"/>
  <c r="J809" i="5"/>
  <c r="J808" i="5"/>
  <c r="J807" i="5"/>
  <c r="J806" i="5"/>
  <c r="J805" i="5"/>
  <c r="Q677" i="5"/>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27" i="10"/>
  <c r="J28" i="10" s="1"/>
  <c r="J21" i="10"/>
  <c r="J20" i="10"/>
  <c r="J19" i="10"/>
  <c r="J13" i="10"/>
  <c r="J12" i="10"/>
  <c r="J11" i="10"/>
  <c r="J10" i="10"/>
  <c r="J9" i="10"/>
  <c r="J8" i="10"/>
  <c r="J7" i="10"/>
  <c r="J6" i="10"/>
  <c r="J5" i="10"/>
  <c r="J4" i="10"/>
  <c r="J3" i="10"/>
  <c r="J2" i="10"/>
  <c r="Q760" i="5"/>
  <c r="S760" i="5" s="1"/>
  <c r="T760" i="5" s="1"/>
  <c r="Q761" i="5"/>
  <c r="S761" i="5" s="1"/>
  <c r="T761" i="5" s="1"/>
  <c r="Q762" i="5"/>
  <c r="S762" i="5" s="1"/>
  <c r="T762" i="5" s="1"/>
  <c r="Q763" i="5"/>
  <c r="S763" i="5" s="1"/>
  <c r="Q764" i="5"/>
  <c r="S764" i="5" s="1"/>
  <c r="T764" i="5" s="1"/>
  <c r="Q765" i="5"/>
  <c r="S765" i="5" s="1"/>
  <c r="Q766" i="5"/>
  <c r="S766" i="5" s="1"/>
  <c r="T766" i="5" s="1"/>
  <c r="Q759" i="5"/>
  <c r="J14" i="10" l="1"/>
  <c r="J15" i="10" s="1"/>
  <c r="J16" i="10" s="1"/>
  <c r="J22" i="10"/>
  <c r="J23" i="10" s="1"/>
  <c r="J24" i="10" s="1"/>
  <c r="J63" i="10"/>
  <c r="J64" i="10" s="1"/>
  <c r="J65" i="10" s="1"/>
  <c r="J836" i="5"/>
  <c r="J837" i="5" s="1"/>
  <c r="J838" i="5" s="1"/>
  <c r="J830" i="5"/>
  <c r="J831" i="5" s="1"/>
  <c r="J832" i="5" s="1"/>
  <c r="J850" i="5"/>
  <c r="J851" i="5" s="1"/>
  <c r="J852" i="5" s="1"/>
  <c r="S677" i="5"/>
  <c r="T677" i="5" s="1"/>
  <c r="J29" i="10"/>
  <c r="J30" i="10" s="1"/>
  <c r="T765" i="5"/>
  <c r="S759" i="5"/>
  <c r="T759" i="5" s="1"/>
  <c r="T763" i="5"/>
  <c r="Q748" i="5"/>
  <c r="Q747" i="5"/>
  <c r="Q391" i="5"/>
  <c r="S391" i="5" s="1"/>
  <c r="T391" i="5" s="1"/>
  <c r="Q390" i="5"/>
  <c r="J779" i="5"/>
  <c r="J780" i="5"/>
  <c r="J781" i="5"/>
  <c r="J782" i="5"/>
  <c r="J783" i="5"/>
  <c r="J789" i="5"/>
  <c r="J790" i="5"/>
  <c r="J791" i="5"/>
  <c r="J792" i="5"/>
  <c r="J793" i="5"/>
  <c r="J799" i="5"/>
  <c r="J800" i="5"/>
  <c r="J801" i="5"/>
  <c r="J802" i="5"/>
  <c r="J803" i="5"/>
  <c r="J804" i="5"/>
  <c r="J778" i="5"/>
  <c r="J773" i="5"/>
  <c r="J772" i="5"/>
  <c r="J760" i="5"/>
  <c r="J761" i="5"/>
  <c r="J762" i="5"/>
  <c r="J763" i="5"/>
  <c r="J764" i="5"/>
  <c r="J765" i="5"/>
  <c r="J766" i="5"/>
  <c r="J759" i="5"/>
  <c r="T770" i="5" l="1"/>
  <c r="J816" i="5"/>
  <c r="J795" i="5"/>
  <c r="J796" i="5" s="1"/>
  <c r="J797" i="5" s="1"/>
  <c r="J785" i="5"/>
  <c r="J786" i="5" s="1"/>
  <c r="J787" i="5" s="1"/>
  <c r="J774" i="5"/>
  <c r="J775" i="5" s="1"/>
  <c r="J776" i="5" s="1"/>
  <c r="S390" i="5"/>
  <c r="T390" i="5" s="1"/>
  <c r="S747" i="5"/>
  <c r="T747" i="5" s="1"/>
  <c r="J768" i="5"/>
  <c r="J770" i="5" s="1"/>
  <c r="S748" i="5"/>
  <c r="T748" i="5" s="1"/>
  <c r="Q111" i="5"/>
  <c r="S111" i="5" s="1"/>
  <c r="T111" i="5" s="1"/>
  <c r="Q112" i="5"/>
  <c r="S112" i="5" s="1"/>
  <c r="Q113" i="5"/>
  <c r="S113" i="5" s="1"/>
  <c r="Q114" i="5"/>
  <c r="S114" i="5" s="1"/>
  <c r="Q115" i="5"/>
  <c r="S115" i="5" s="1"/>
  <c r="T115" i="5" s="1"/>
  <c r="Q116" i="5"/>
  <c r="S116" i="5" s="1"/>
  <c r="Q117" i="5"/>
  <c r="S117" i="5" s="1"/>
  <c r="Q118" i="5"/>
  <c r="S118" i="5" s="1"/>
  <c r="Q119" i="5"/>
  <c r="S119" i="5" s="1"/>
  <c r="T119" i="5" s="1"/>
  <c r="Q120" i="5"/>
  <c r="S120" i="5" s="1"/>
  <c r="Q121" i="5"/>
  <c r="S121" i="5" s="1"/>
  <c r="Q122" i="5"/>
  <c r="Q123" i="5"/>
  <c r="S123" i="5" s="1"/>
  <c r="T123" i="5" s="1"/>
  <c r="Q124" i="5"/>
  <c r="S124" i="5" s="1"/>
  <c r="Q125" i="5"/>
  <c r="Q126" i="5"/>
  <c r="S126" i="5" s="1"/>
  <c r="Q127" i="5"/>
  <c r="S127" i="5" s="1"/>
  <c r="Q128" i="5"/>
  <c r="S128" i="5" s="1"/>
  <c r="Q110" i="5"/>
  <c r="Q730" i="5"/>
  <c r="S730" i="5" s="1"/>
  <c r="T730" i="5" s="1"/>
  <c r="Q731" i="5"/>
  <c r="S731" i="5" s="1"/>
  <c r="Q732" i="5"/>
  <c r="Q733" i="5"/>
  <c r="S733" i="5" s="1"/>
  <c r="Q734" i="5"/>
  <c r="S734" i="5" s="1"/>
  <c r="Q735" i="5"/>
  <c r="S735" i="5" s="1"/>
  <c r="Q736" i="5"/>
  <c r="S736" i="5" s="1"/>
  <c r="Q737" i="5"/>
  <c r="S737" i="5" s="1"/>
  <c r="T737" i="5" s="1"/>
  <c r="Q729" i="5"/>
  <c r="T751" i="5" l="1"/>
  <c r="J817" i="5"/>
  <c r="J818" i="5" s="1"/>
  <c r="S110" i="5"/>
  <c r="T110" i="5" s="1"/>
  <c r="Q129" i="5"/>
  <c r="T733" i="5"/>
  <c r="S729" i="5"/>
  <c r="T729" i="5" s="1"/>
  <c r="T734" i="5"/>
  <c r="T736" i="5"/>
  <c r="S732" i="5"/>
  <c r="T732" i="5" s="1"/>
  <c r="T127" i="5"/>
  <c r="T126" i="5"/>
  <c r="S122" i="5"/>
  <c r="T122" i="5" s="1"/>
  <c r="T114" i="5"/>
  <c r="T113" i="5"/>
  <c r="T118" i="5"/>
  <c r="T117" i="5"/>
  <c r="S125" i="5"/>
  <c r="T125" i="5" s="1"/>
  <c r="T121" i="5"/>
  <c r="T128" i="5"/>
  <c r="T124" i="5"/>
  <c r="T120" i="5"/>
  <c r="T116" i="5"/>
  <c r="T112" i="5"/>
  <c r="T735" i="5"/>
  <c r="T731" i="5"/>
  <c r="T129" i="5" l="1"/>
  <c r="Q543" i="5"/>
  <c r="S543" i="5" s="1"/>
  <c r="T543" i="5" s="1"/>
  <c r="Q544" i="5"/>
  <c r="S544" i="5" s="1"/>
  <c r="Q545" i="5"/>
  <c r="S545" i="5" s="1"/>
  <c r="Q546" i="5"/>
  <c r="S546" i="5" s="1"/>
  <c r="T546" i="5" s="1"/>
  <c r="Q547" i="5"/>
  <c r="S547" i="5" s="1"/>
  <c r="Q548" i="5"/>
  <c r="S548" i="5" s="1"/>
  <c r="Q549" i="5"/>
  <c r="Q550" i="5"/>
  <c r="S550" i="5" s="1"/>
  <c r="Q551" i="5"/>
  <c r="S551" i="5" s="1"/>
  <c r="T551" i="5" s="1"/>
  <c r="Q542" i="5"/>
  <c r="S542" i="5" s="1"/>
  <c r="T542" i="5" s="1"/>
  <c r="Q644" i="5"/>
  <c r="S644" i="5" s="1"/>
  <c r="T644" i="5" s="1"/>
  <c r="Q645" i="5"/>
  <c r="S645" i="5" s="1"/>
  <c r="Q646" i="5"/>
  <c r="S646" i="5" s="1"/>
  <c r="Q647" i="5"/>
  <c r="S647" i="5" s="1"/>
  <c r="T647" i="5" s="1"/>
  <c r="Q648" i="5"/>
  <c r="S648" i="5" s="1"/>
  <c r="Q649" i="5"/>
  <c r="S649" i="5" s="1"/>
  <c r="Q650" i="5"/>
  <c r="Q643" i="5"/>
  <c r="Q663" i="5"/>
  <c r="S663" i="5" s="1"/>
  <c r="Q664" i="5"/>
  <c r="S664" i="5" s="1"/>
  <c r="Q665" i="5"/>
  <c r="S665" i="5" s="1"/>
  <c r="T665" i="5" s="1"/>
  <c r="Q666" i="5"/>
  <c r="Q667" i="5"/>
  <c r="S667" i="5" s="1"/>
  <c r="Q668" i="5"/>
  <c r="S668" i="5" s="1"/>
  <c r="Q669" i="5"/>
  <c r="S669" i="5" s="1"/>
  <c r="Q670" i="5"/>
  <c r="S670" i="5" s="1"/>
  <c r="Q671" i="5"/>
  <c r="S671" i="5" s="1"/>
  <c r="Q672" i="5"/>
  <c r="S672" i="5" s="1"/>
  <c r="Q662" i="5"/>
  <c r="S662" i="5" s="1"/>
  <c r="Q718" i="5"/>
  <c r="S718" i="5" s="1"/>
  <c r="Q719" i="5"/>
  <c r="S719" i="5" s="1"/>
  <c r="Q720" i="5"/>
  <c r="S720" i="5" s="1"/>
  <c r="Q721" i="5"/>
  <c r="S721" i="5" s="1"/>
  <c r="Q722" i="5"/>
  <c r="S722" i="5" s="1"/>
  <c r="T722" i="5" s="1"/>
  <c r="Q723" i="5"/>
  <c r="S723" i="5" s="1"/>
  <c r="Q717" i="5"/>
  <c r="T550" i="5" l="1"/>
  <c r="T721" i="5"/>
  <c r="T545" i="5"/>
  <c r="T547" i="5"/>
  <c r="S549" i="5"/>
  <c r="T549" i="5" s="1"/>
  <c r="T548" i="5"/>
  <c r="T544" i="5"/>
  <c r="T646" i="5"/>
  <c r="S717" i="5"/>
  <c r="T717" i="5" s="1"/>
  <c r="T662" i="5"/>
  <c r="S643" i="5"/>
  <c r="T643" i="5" s="1"/>
  <c r="T648" i="5"/>
  <c r="T720" i="5"/>
  <c r="S666" i="5"/>
  <c r="T666" i="5" s="1"/>
  <c r="S650" i="5"/>
  <c r="T650" i="5" s="1"/>
  <c r="T649" i="5"/>
  <c r="T645" i="5"/>
  <c r="T670" i="5"/>
  <c r="T669" i="5"/>
  <c r="T671" i="5"/>
  <c r="T667" i="5"/>
  <c r="T663" i="5"/>
  <c r="T672" i="5"/>
  <c r="T668" i="5"/>
  <c r="T664" i="5"/>
  <c r="T718" i="5"/>
  <c r="T719" i="5"/>
  <c r="T723" i="5"/>
  <c r="T554" i="5" l="1"/>
  <c r="T675" i="5"/>
  <c r="T727" i="5"/>
  <c r="J742" i="5"/>
  <c r="J743" i="5"/>
  <c r="J744" i="5"/>
  <c r="J745" i="5"/>
  <c r="J746" i="5"/>
  <c r="J747" i="5"/>
  <c r="J748" i="5"/>
  <c r="J753" i="5"/>
  <c r="J755" i="5" s="1"/>
  <c r="J757" i="5" s="1"/>
  <c r="J741" i="5"/>
  <c r="J718" i="5"/>
  <c r="J719" i="5"/>
  <c r="J720" i="5"/>
  <c r="J721" i="5"/>
  <c r="J722" i="5"/>
  <c r="J723" i="5"/>
  <c r="J724" i="5"/>
  <c r="J728" i="5"/>
  <c r="J729" i="5"/>
  <c r="J730" i="5"/>
  <c r="J731" i="5"/>
  <c r="J732" i="5"/>
  <c r="J733" i="5"/>
  <c r="J734" i="5"/>
  <c r="J735" i="5"/>
  <c r="J736" i="5"/>
  <c r="J737" i="5"/>
  <c r="J717" i="5"/>
  <c r="Q327" i="5"/>
  <c r="S327" i="5" s="1"/>
  <c r="T327" i="5" s="1"/>
  <c r="Q328" i="5"/>
  <c r="S328" i="5" s="1"/>
  <c r="Q329" i="5"/>
  <c r="S329" i="5" s="1"/>
  <c r="Q330" i="5"/>
  <c r="S330" i="5" s="1"/>
  <c r="Q326" i="5"/>
  <c r="S326" i="5" s="1"/>
  <c r="Q508" i="5"/>
  <c r="Q509" i="5"/>
  <c r="S509" i="5" s="1"/>
  <c r="Q510" i="5"/>
  <c r="Q511" i="5"/>
  <c r="S511" i="5" s="1"/>
  <c r="Q512" i="5"/>
  <c r="Q513" i="5"/>
  <c r="S513" i="5" s="1"/>
  <c r="Q582" i="5"/>
  <c r="S582" i="5" s="1"/>
  <c r="T582" i="5" s="1"/>
  <c r="Q583" i="5"/>
  <c r="S583" i="5" s="1"/>
  <c r="Q584" i="5"/>
  <c r="S584" i="5" s="1"/>
  <c r="Q585" i="5"/>
  <c r="S585" i="5" s="1"/>
  <c r="Q581" i="5"/>
  <c r="J749" i="5" l="1"/>
  <c r="J751" i="5" s="1"/>
  <c r="J738" i="5"/>
  <c r="J739" i="5" s="1"/>
  <c r="J740" i="5" s="1"/>
  <c r="T511" i="5"/>
  <c r="J725" i="5"/>
  <c r="J727" i="5" s="1"/>
  <c r="S512" i="5"/>
  <c r="T512" i="5" s="1"/>
  <c r="S508" i="5"/>
  <c r="T508" i="5" s="1"/>
  <c r="S510" i="5"/>
  <c r="T510" i="5" s="1"/>
  <c r="T326" i="5"/>
  <c r="T330" i="5"/>
  <c r="T329" i="5"/>
  <c r="S581" i="5"/>
  <c r="T581" i="5" s="1"/>
  <c r="T584" i="5"/>
  <c r="T585" i="5"/>
  <c r="T328" i="5"/>
  <c r="T513" i="5"/>
  <c r="T509" i="5"/>
  <c r="T583" i="5"/>
  <c r="Q297" i="5" l="1"/>
  <c r="S297" i="5" s="1"/>
  <c r="T297" i="5" s="1"/>
  <c r="Q302" i="5"/>
  <c r="S302" i="5" s="1"/>
  <c r="Q303" i="5"/>
  <c r="S303" i="5" s="1"/>
  <c r="Q308" i="5"/>
  <c r="S308" i="5" s="1"/>
  <c r="Q309" i="5"/>
  <c r="S309" i="5" s="1"/>
  <c r="T309" i="5" s="1"/>
  <c r="Q296" i="5"/>
  <c r="S296" i="5" s="1"/>
  <c r="T296" i="5" s="1"/>
  <c r="T308" i="5" l="1"/>
  <c r="T303" i="5"/>
  <c r="T302" i="5"/>
  <c r="Q145" i="5" l="1"/>
  <c r="S145" i="5" s="1"/>
  <c r="Q146" i="5"/>
  <c r="S146" i="5" s="1"/>
  <c r="Q147" i="5"/>
  <c r="Q144" i="5"/>
  <c r="S144" i="5" l="1"/>
  <c r="T144" i="5" s="1"/>
  <c r="S147" i="5"/>
  <c r="T147" i="5" s="1"/>
  <c r="T145" i="5"/>
  <c r="T146" i="5"/>
  <c r="J711" i="5" l="1"/>
  <c r="J710" i="5"/>
  <c r="J709" i="5"/>
  <c r="J708" i="5"/>
  <c r="J707" i="5"/>
  <c r="J706" i="5"/>
  <c r="J705" i="5"/>
  <c r="J704" i="5"/>
  <c r="J703" i="5"/>
  <c r="J702" i="5"/>
  <c r="J701" i="5"/>
  <c r="J683" i="5"/>
  <c r="J684" i="5"/>
  <c r="J685" i="5"/>
  <c r="J686" i="5"/>
  <c r="J687" i="5"/>
  <c r="J688" i="5"/>
  <c r="J689" i="5"/>
  <c r="J690" i="5"/>
  <c r="J691" i="5"/>
  <c r="J692" i="5"/>
  <c r="J693" i="5"/>
  <c r="J694" i="5"/>
  <c r="J695" i="5"/>
  <c r="J696" i="5"/>
  <c r="J697" i="5"/>
  <c r="J698" i="5"/>
  <c r="J699" i="5"/>
  <c r="J700" i="5"/>
  <c r="J682" i="5"/>
  <c r="J677" i="5"/>
  <c r="J678" i="5" s="1"/>
  <c r="Q102" i="5"/>
  <c r="S102" i="5" s="1"/>
  <c r="T102" i="5" s="1"/>
  <c r="Q103" i="5"/>
  <c r="S103" i="5" s="1"/>
  <c r="T103" i="5" s="1"/>
  <c r="Q78" i="5"/>
  <c r="S78" i="5" s="1"/>
  <c r="T78" i="5" s="1"/>
  <c r="Q79" i="5"/>
  <c r="S79" i="5" s="1"/>
  <c r="T79" i="5" s="1"/>
  <c r="Q77" i="5"/>
  <c r="Q52" i="5"/>
  <c r="S52" i="5" s="1"/>
  <c r="Q53" i="5"/>
  <c r="S53" i="5" s="1"/>
  <c r="Q54" i="5"/>
  <c r="S54" i="5" s="1"/>
  <c r="Q55" i="5"/>
  <c r="S55" i="5" s="1"/>
  <c r="Q56" i="5"/>
  <c r="S56" i="5" s="1"/>
  <c r="Q57" i="5"/>
  <c r="S57" i="5" s="1"/>
  <c r="Q58" i="5"/>
  <c r="S58" i="5" s="1"/>
  <c r="Q59" i="5"/>
  <c r="S59" i="5" s="1"/>
  <c r="Q60" i="5"/>
  <c r="S60" i="5" s="1"/>
  <c r="Q61" i="5"/>
  <c r="S61" i="5" s="1"/>
  <c r="Q62" i="5"/>
  <c r="Q63" i="5"/>
  <c r="S63" i="5" s="1"/>
  <c r="Q64" i="5"/>
  <c r="S64" i="5" s="1"/>
  <c r="T64" i="5" s="1"/>
  <c r="Q65" i="5"/>
  <c r="S65" i="5" s="1"/>
  <c r="Q66" i="5"/>
  <c r="S66" i="5" s="1"/>
  <c r="Q67" i="5"/>
  <c r="S67" i="5" s="1"/>
  <c r="Q68" i="5"/>
  <c r="S68" i="5" s="1"/>
  <c r="T68" i="5" s="1"/>
  <c r="Q69" i="5"/>
  <c r="S69" i="5" s="1"/>
  <c r="Q70" i="5"/>
  <c r="S70" i="5" s="1"/>
  <c r="Q71" i="5"/>
  <c r="S71" i="5" s="1"/>
  <c r="Q72" i="5"/>
  <c r="S72" i="5" s="1"/>
  <c r="Q51" i="5"/>
  <c r="Q46" i="5"/>
  <c r="T46" i="5" s="1"/>
  <c r="Q6" i="5"/>
  <c r="S6" i="5" s="1"/>
  <c r="T6" i="5" s="1"/>
  <c r="Q7" i="5"/>
  <c r="S7" i="5" s="1"/>
  <c r="Q8" i="5"/>
  <c r="Q9" i="5"/>
  <c r="S9" i="5" s="1"/>
  <c r="Q624" i="5"/>
  <c r="Q223" i="5"/>
  <c r="S223" i="5" s="1"/>
  <c r="T223" i="5" s="1"/>
  <c r="Q222" i="5"/>
  <c r="S222" i="5" s="1"/>
  <c r="Q221" i="5"/>
  <c r="S221" i="5" s="1"/>
  <c r="T221" i="5" s="1"/>
  <c r="Q220" i="5"/>
  <c r="S220" i="5" s="1"/>
  <c r="Q219" i="5"/>
  <c r="S219" i="5" s="1"/>
  <c r="Q246" i="5"/>
  <c r="S246" i="5" s="1"/>
  <c r="T246" i="5" s="1"/>
  <c r="Q247" i="5"/>
  <c r="Q248" i="5"/>
  <c r="S248" i="5" s="1"/>
  <c r="T248" i="5" s="1"/>
  <c r="Q249" i="5"/>
  <c r="Q250" i="5"/>
  <c r="S250" i="5" s="1"/>
  <c r="T250" i="5" s="1"/>
  <c r="Q251" i="5"/>
  <c r="S251" i="5" s="1"/>
  <c r="T251" i="5" s="1"/>
  <c r="Q252" i="5"/>
  <c r="S252" i="5" s="1"/>
  <c r="T252" i="5" s="1"/>
  <c r="Q253" i="5"/>
  <c r="Q245" i="5"/>
  <c r="S247" i="5"/>
  <c r="Q656" i="5"/>
  <c r="Q369" i="5"/>
  <c r="S369" i="5" s="1"/>
  <c r="T369" i="5" s="1"/>
  <c r="Q397" i="5"/>
  <c r="S397" i="5" s="1"/>
  <c r="T397" i="5" s="1"/>
  <c r="Q396" i="5"/>
  <c r="S396" i="5" s="1"/>
  <c r="T396" i="5" s="1"/>
  <c r="Q431" i="5"/>
  <c r="Q430" i="5"/>
  <c r="Q465" i="5"/>
  <c r="Q271" i="5"/>
  <c r="S271" i="5" s="1"/>
  <c r="T271" i="5" s="1"/>
  <c r="Q272" i="5"/>
  <c r="S272" i="5" s="1"/>
  <c r="Q273" i="5"/>
  <c r="S273" i="5" s="1"/>
  <c r="Q274" i="5"/>
  <c r="S274" i="5" s="1"/>
  <c r="Q275" i="5"/>
  <c r="Q276" i="5"/>
  <c r="S276" i="5" s="1"/>
  <c r="Q277" i="5"/>
  <c r="S277" i="5" s="1"/>
  <c r="Q278" i="5"/>
  <c r="S278" i="5" s="1"/>
  <c r="Q279" i="5"/>
  <c r="S279" i="5" s="1"/>
  <c r="Q280" i="5"/>
  <c r="S280" i="5" s="1"/>
  <c r="Q281" i="5"/>
  <c r="Q282" i="5"/>
  <c r="S282" i="5" s="1"/>
  <c r="Q283" i="5"/>
  <c r="S283" i="5" s="1"/>
  <c r="Q284" i="5"/>
  <c r="S284" i="5" s="1"/>
  <c r="Q285" i="5"/>
  <c r="S285" i="5" s="1"/>
  <c r="Q286" i="5"/>
  <c r="Q287" i="5"/>
  <c r="Q288" i="5"/>
  <c r="S288" i="5" s="1"/>
  <c r="Q289" i="5"/>
  <c r="S289" i="5" s="1"/>
  <c r="Q290" i="5"/>
  <c r="S290" i="5" s="1"/>
  <c r="Q291" i="5"/>
  <c r="S291" i="5" s="1"/>
  <c r="T291" i="5" s="1"/>
  <c r="Q270" i="5"/>
  <c r="S270" i="5" s="1"/>
  <c r="T270" i="5" s="1"/>
  <c r="S287" i="5" l="1"/>
  <c r="T287" i="5" s="1"/>
  <c r="T283" i="5"/>
  <c r="T282" i="5"/>
  <c r="T278" i="5"/>
  <c r="T59" i="5"/>
  <c r="J712" i="5"/>
  <c r="J713" i="5" s="1"/>
  <c r="J714" i="5" s="1"/>
  <c r="T9" i="5"/>
  <c r="T219" i="5"/>
  <c r="T72" i="5"/>
  <c r="T63" i="5"/>
  <c r="S286" i="5"/>
  <c r="T286" i="5" s="1"/>
  <c r="S275" i="5"/>
  <c r="T275" i="5" s="1"/>
  <c r="T67" i="5"/>
  <c r="T56" i="5"/>
  <c r="J679" i="5"/>
  <c r="J680" i="5" s="1"/>
  <c r="T277" i="5"/>
  <c r="T247" i="5"/>
  <c r="S51" i="5"/>
  <c r="T51" i="5" s="1"/>
  <c r="T58" i="5"/>
  <c r="T290" i="5"/>
  <c r="T289" i="5"/>
  <c r="T279" i="5"/>
  <c r="T274" i="5"/>
  <c r="T273" i="5"/>
  <c r="S465" i="5"/>
  <c r="T465" i="5" s="1"/>
  <c r="S656" i="5"/>
  <c r="T656" i="5" s="1"/>
  <c r="T222" i="5"/>
  <c r="T220" i="5"/>
  <c r="S624" i="5"/>
  <c r="T624" i="5" s="1"/>
  <c r="T627" i="5" s="1"/>
  <c r="T71" i="5"/>
  <c r="T70" i="5"/>
  <c r="T60" i="5"/>
  <c r="T55" i="5"/>
  <c r="T54" i="5"/>
  <c r="S77" i="5"/>
  <c r="T77" i="5" s="1"/>
  <c r="T285" i="5"/>
  <c r="S281" i="5"/>
  <c r="T281" i="5" s="1"/>
  <c r="S8" i="5"/>
  <c r="T8" i="5" s="1"/>
  <c r="T66" i="5"/>
  <c r="S62" i="5"/>
  <c r="T62" i="5" s="1"/>
  <c r="T52" i="5"/>
  <c r="T69" i="5"/>
  <c r="T65" i="5"/>
  <c r="T61" i="5"/>
  <c r="T57" i="5"/>
  <c r="T53" i="5"/>
  <c r="T7" i="5"/>
  <c r="S253" i="5"/>
  <c r="T253" i="5" s="1"/>
  <c r="S249" i="5"/>
  <c r="T249" i="5" s="1"/>
  <c r="S245" i="5"/>
  <c r="T245" i="5" s="1"/>
  <c r="T288" i="5"/>
  <c r="T284" i="5"/>
  <c r="T280" i="5"/>
  <c r="T276" i="5"/>
  <c r="T272" i="5"/>
  <c r="Q536" i="5"/>
  <c r="S536" i="5" s="1"/>
  <c r="Q537" i="5"/>
  <c r="S537" i="5" s="1"/>
  <c r="Q535" i="5"/>
  <c r="S535" i="5" l="1"/>
  <c r="T535" i="5" s="1"/>
  <c r="T536" i="5"/>
  <c r="T537" i="5"/>
  <c r="T540" i="5" l="1"/>
  <c r="Q336" i="5"/>
  <c r="S336" i="5" s="1"/>
  <c r="T336" i="5" s="1"/>
  <c r="Q337" i="5"/>
  <c r="Q338" i="5"/>
  <c r="Q339" i="5"/>
  <c r="S339" i="5" s="1"/>
  <c r="T339" i="5" s="1"/>
  <c r="Q335" i="5"/>
  <c r="S335" i="5" s="1"/>
  <c r="T335" i="5" s="1"/>
  <c r="Q258" i="5"/>
  <c r="S258" i="5" s="1"/>
  <c r="T258" i="5" s="1"/>
  <c r="Q257" i="5"/>
  <c r="S257" i="5" s="1"/>
  <c r="T257" i="5" s="1"/>
  <c r="J663" i="5"/>
  <c r="J664" i="5"/>
  <c r="J665" i="5"/>
  <c r="J666" i="5"/>
  <c r="J667" i="5"/>
  <c r="J668" i="5"/>
  <c r="J669" i="5"/>
  <c r="J670" i="5"/>
  <c r="J671" i="5"/>
  <c r="J672" i="5"/>
  <c r="J662" i="5"/>
  <c r="J673" i="5" l="1"/>
  <c r="J674" i="5" s="1"/>
  <c r="J675" i="5" s="1"/>
  <c r="S338" i="5"/>
  <c r="T338" i="5" s="1"/>
  <c r="S337" i="5"/>
  <c r="T337" i="5" s="1"/>
  <c r="Q314" i="5"/>
  <c r="S314" i="5" s="1"/>
  <c r="T314" i="5" s="1"/>
  <c r="Q569" i="5"/>
  <c r="S569" i="5" s="1"/>
  <c r="T569" i="5" s="1"/>
  <c r="Q568" i="5"/>
  <c r="S568" i="5" s="1"/>
  <c r="T568" i="5" s="1"/>
  <c r="T578" i="5" l="1"/>
  <c r="Q557" i="5"/>
  <c r="S557" i="5" s="1"/>
  <c r="T557" i="5" s="1"/>
  <c r="J656" i="5"/>
  <c r="J658" i="5" s="1"/>
  <c r="J659" i="5" l="1"/>
  <c r="J660" i="5" s="1"/>
  <c r="J644" i="5"/>
  <c r="J645" i="5"/>
  <c r="J646" i="5"/>
  <c r="J647" i="5"/>
  <c r="J648" i="5"/>
  <c r="J649" i="5"/>
  <c r="J650" i="5"/>
  <c r="J643" i="5"/>
  <c r="Q556" i="5"/>
  <c r="S556" i="5" s="1"/>
  <c r="T556" i="5" s="1"/>
  <c r="J630" i="5"/>
  <c r="J631" i="5"/>
  <c r="J632" i="5"/>
  <c r="J633" i="5"/>
  <c r="J634" i="5"/>
  <c r="J635" i="5"/>
  <c r="J636" i="5"/>
  <c r="J637" i="5"/>
  <c r="J638" i="5"/>
  <c r="J629" i="5"/>
  <c r="J652" i="5" l="1"/>
  <c r="J654" i="5" s="1"/>
  <c r="J639" i="5"/>
  <c r="J641" i="5" s="1"/>
  <c r="Q494" i="5"/>
  <c r="S494" i="5" s="1"/>
  <c r="Q495" i="5"/>
  <c r="S495" i="5" s="1"/>
  <c r="Q496" i="5"/>
  <c r="S496" i="5" s="1"/>
  <c r="T496" i="5" s="1"/>
  <c r="Q497" i="5"/>
  <c r="Q498" i="5"/>
  <c r="S498" i="5" s="1"/>
  <c r="Q499" i="5"/>
  <c r="S499" i="5" s="1"/>
  <c r="Q500" i="5"/>
  <c r="S500" i="5" s="1"/>
  <c r="T500" i="5" s="1"/>
  <c r="Q501" i="5"/>
  <c r="S501" i="5" s="1"/>
  <c r="Q502" i="5"/>
  <c r="S502" i="5" s="1"/>
  <c r="Q503" i="5"/>
  <c r="S503" i="5" s="1"/>
  <c r="Q504" i="5"/>
  <c r="S504" i="5" s="1"/>
  <c r="T504" i="5" s="1"/>
  <c r="Q505" i="5"/>
  <c r="Q506" i="5"/>
  <c r="S506" i="5" s="1"/>
  <c r="Q507" i="5"/>
  <c r="S507" i="5" s="1"/>
  <c r="Q493" i="5"/>
  <c r="S493" i="5" s="1"/>
  <c r="T493" i="5" s="1"/>
  <c r="J621" i="5"/>
  <c r="J622" i="5"/>
  <c r="J623" i="5"/>
  <c r="J624" i="5"/>
  <c r="J620" i="5"/>
  <c r="J607" i="5"/>
  <c r="J608" i="5"/>
  <c r="J609" i="5"/>
  <c r="J610" i="5"/>
  <c r="J611" i="5"/>
  <c r="J612" i="5"/>
  <c r="J613" i="5"/>
  <c r="J614" i="5"/>
  <c r="J615" i="5"/>
  <c r="J606" i="5"/>
  <c r="J601" i="5"/>
  <c r="J600" i="5"/>
  <c r="J596" i="5"/>
  <c r="J595" i="5"/>
  <c r="Q519" i="5"/>
  <c r="Q520" i="5"/>
  <c r="Q521" i="5"/>
  <c r="Q522" i="5"/>
  <c r="Q523" i="5"/>
  <c r="Q524" i="5"/>
  <c r="Q525" i="5"/>
  <c r="Q526" i="5"/>
  <c r="Q527" i="5"/>
  <c r="Q528" i="5"/>
  <c r="Q529" i="5"/>
  <c r="Q518" i="5"/>
  <c r="J582" i="5"/>
  <c r="J583" i="5"/>
  <c r="J584" i="5"/>
  <c r="J585" i="5"/>
  <c r="J586" i="5"/>
  <c r="J590" i="5"/>
  <c r="J591" i="5"/>
  <c r="J592" i="5"/>
  <c r="J593" i="5"/>
  <c r="J594" i="5"/>
  <c r="J581" i="5"/>
  <c r="J577" i="5"/>
  <c r="J576" i="5"/>
  <c r="T501" i="5" l="1"/>
  <c r="J625" i="5"/>
  <c r="J626" i="5" s="1"/>
  <c r="J627" i="5" s="1"/>
  <c r="S505" i="5"/>
  <c r="T505" i="5" s="1"/>
  <c r="S497" i="5"/>
  <c r="T497" i="5" s="1"/>
  <c r="T506" i="5"/>
  <c r="T502" i="5"/>
  <c r="T498" i="5"/>
  <c r="T494" i="5"/>
  <c r="J616" i="5"/>
  <c r="J617" i="5" s="1"/>
  <c r="J618" i="5" s="1"/>
  <c r="T507" i="5"/>
  <c r="T503" i="5"/>
  <c r="T499" i="5"/>
  <c r="T495" i="5"/>
  <c r="J602" i="5"/>
  <c r="J604" i="5" s="1"/>
  <c r="J587" i="5"/>
  <c r="J588" i="5" s="1"/>
  <c r="J589" i="5" s="1"/>
  <c r="J597" i="5"/>
  <c r="J599" i="5" s="1"/>
  <c r="S527" i="5"/>
  <c r="T527" i="5" s="1"/>
  <c r="S523" i="5"/>
  <c r="T523" i="5" s="1"/>
  <c r="S519" i="5"/>
  <c r="T519" i="5" s="1"/>
  <c r="S518" i="5"/>
  <c r="T518" i="5" s="1"/>
  <c r="S526" i="5"/>
  <c r="T526" i="5" s="1"/>
  <c r="S522" i="5"/>
  <c r="T522" i="5" s="1"/>
  <c r="S529" i="5"/>
  <c r="T529" i="5" s="1"/>
  <c r="S525" i="5"/>
  <c r="T525" i="5" s="1"/>
  <c r="S521" i="5"/>
  <c r="T521" i="5" s="1"/>
  <c r="S528" i="5"/>
  <c r="T528" i="5" s="1"/>
  <c r="S524" i="5"/>
  <c r="T524" i="5" s="1"/>
  <c r="S520" i="5"/>
  <c r="T520" i="5" s="1"/>
  <c r="J557" i="5"/>
  <c r="J561" i="5"/>
  <c r="J562" i="5"/>
  <c r="J563" i="5"/>
  <c r="J564" i="5"/>
  <c r="J568" i="5"/>
  <c r="J569" i="5"/>
  <c r="J570" i="5"/>
  <c r="J571" i="5"/>
  <c r="J572" i="5"/>
  <c r="J573" i="5"/>
  <c r="J574" i="5"/>
  <c r="J575" i="5"/>
  <c r="J556" i="5"/>
  <c r="J551" i="5"/>
  <c r="J550" i="5"/>
  <c r="J549" i="5"/>
  <c r="J548" i="5"/>
  <c r="J547" i="5"/>
  <c r="J546" i="5"/>
  <c r="Q437" i="5"/>
  <c r="T516" i="5" l="1"/>
  <c r="T531" i="5"/>
  <c r="J558" i="5"/>
  <c r="J559" i="5" s="1"/>
  <c r="J560" i="5" s="1"/>
  <c r="J565" i="5"/>
  <c r="J566" i="5" s="1"/>
  <c r="J567" i="5" s="1"/>
  <c r="J578" i="5"/>
  <c r="J580" i="5" s="1"/>
  <c r="Q264" i="5"/>
  <c r="Q263" i="5"/>
  <c r="Q487" i="5"/>
  <c r="S487" i="5" s="1"/>
  <c r="T487" i="5" s="1"/>
  <c r="Q488" i="5"/>
  <c r="S488" i="5" s="1"/>
  <c r="Q486" i="5"/>
  <c r="S486" i="5" s="1"/>
  <c r="T488" i="5" l="1"/>
  <c r="T486" i="5"/>
  <c r="S263" i="5"/>
  <c r="T263" i="5" s="1"/>
  <c r="S264" i="5"/>
  <c r="T264" i="5" s="1"/>
  <c r="J519" i="5"/>
  <c r="J520" i="5"/>
  <c r="J521" i="5"/>
  <c r="J522" i="5"/>
  <c r="J523" i="5"/>
  <c r="J524" i="5"/>
  <c r="J525" i="5"/>
  <c r="J526" i="5"/>
  <c r="J527" i="5"/>
  <c r="J528" i="5"/>
  <c r="J529" i="5"/>
  <c r="J532" i="5"/>
  <c r="J534" i="5"/>
  <c r="J535" i="5"/>
  <c r="J536" i="5"/>
  <c r="J537" i="5"/>
  <c r="J541" i="5"/>
  <c r="J542" i="5"/>
  <c r="J543" i="5"/>
  <c r="J544" i="5"/>
  <c r="J545" i="5"/>
  <c r="J518" i="5"/>
  <c r="J513" i="5"/>
  <c r="J512" i="5"/>
  <c r="J511" i="5"/>
  <c r="J510" i="5"/>
  <c r="J494" i="5"/>
  <c r="J495" i="5"/>
  <c r="J496" i="5"/>
  <c r="J497" i="5"/>
  <c r="J498" i="5"/>
  <c r="J499" i="5"/>
  <c r="J500" i="5"/>
  <c r="J501" i="5"/>
  <c r="J502" i="5"/>
  <c r="J503" i="5"/>
  <c r="J504" i="5"/>
  <c r="J505" i="5"/>
  <c r="J506" i="5"/>
  <c r="J507" i="5"/>
  <c r="J508" i="5"/>
  <c r="J509" i="5"/>
  <c r="J493" i="5"/>
  <c r="Q432" i="5"/>
  <c r="Q346" i="5"/>
  <c r="S346" i="5" s="1"/>
  <c r="T346" i="5" s="1"/>
  <c r="Q420" i="5"/>
  <c r="Q421" i="5"/>
  <c r="Q422" i="5"/>
  <c r="Q423" i="5"/>
  <c r="Q424" i="5"/>
  <c r="Q425" i="5"/>
  <c r="Q426" i="5"/>
  <c r="Q427" i="5"/>
  <c r="Q428" i="5"/>
  <c r="Q429" i="5"/>
  <c r="Q419" i="5"/>
  <c r="T265" i="5" l="1"/>
  <c r="J552" i="5"/>
  <c r="J553" i="5" s="1"/>
  <c r="J554" i="5" s="1"/>
  <c r="J531" i="5"/>
  <c r="J533" i="5" s="1"/>
  <c r="J538" i="5"/>
  <c r="J540" i="5" s="1"/>
  <c r="J514" i="5"/>
  <c r="J516" i="5" s="1"/>
  <c r="Q205" i="5"/>
  <c r="Q206" i="5"/>
  <c r="S206" i="5" s="1"/>
  <c r="Q207" i="5"/>
  <c r="S207" i="5" s="1"/>
  <c r="Q208" i="5"/>
  <c r="S208" i="5" s="1"/>
  <c r="Q209" i="5"/>
  <c r="Q204" i="5"/>
  <c r="S204" i="5" s="1"/>
  <c r="Q403" i="5"/>
  <c r="Q404" i="5"/>
  <c r="S404" i="5" s="1"/>
  <c r="T404" i="5" s="1"/>
  <c r="Q405" i="5"/>
  <c r="Q406" i="5"/>
  <c r="Q407" i="5"/>
  <c r="S407" i="5" s="1"/>
  <c r="Q408" i="5"/>
  <c r="S408" i="5" s="1"/>
  <c r="T408" i="5" s="1"/>
  <c r="Q409" i="5"/>
  <c r="Q410" i="5"/>
  <c r="Q411" i="5"/>
  <c r="S411" i="5" s="1"/>
  <c r="Q412" i="5"/>
  <c r="S412" i="5" s="1"/>
  <c r="T412" i="5" s="1"/>
  <c r="Q413" i="5"/>
  <c r="Q414" i="5"/>
  <c r="Q402" i="5"/>
  <c r="S402" i="5" s="1"/>
  <c r="Q353" i="5"/>
  <c r="Q354" i="5"/>
  <c r="Q355" i="5"/>
  <c r="Q356" i="5"/>
  <c r="Q357" i="5"/>
  <c r="Q358" i="5"/>
  <c r="Q359" i="5"/>
  <c r="Q360" i="5"/>
  <c r="Q361" i="5"/>
  <c r="Q362" i="5"/>
  <c r="Q363" i="5"/>
  <c r="Q352" i="5"/>
  <c r="Q345" i="5"/>
  <c r="S345" i="5" s="1"/>
  <c r="Q344" i="5"/>
  <c r="S344" i="5" s="1"/>
  <c r="Q457" i="5"/>
  <c r="T457" i="5" s="1"/>
  <c r="Q443" i="5"/>
  <c r="T443" i="5" s="1"/>
  <c r="T455" i="5" s="1"/>
  <c r="J487" i="5"/>
  <c r="J488" i="5"/>
  <c r="J486" i="5"/>
  <c r="J481" i="5"/>
  <c r="J480" i="5"/>
  <c r="J479" i="5"/>
  <c r="J478" i="5"/>
  <c r="J477" i="5"/>
  <c r="J476" i="5"/>
  <c r="J475" i="5"/>
  <c r="J474" i="5"/>
  <c r="J473" i="5"/>
  <c r="F255" i="7"/>
  <c r="F257" i="7" s="1"/>
  <c r="F259" i="7" s="1"/>
  <c r="F244" i="7"/>
  <c r="F243" i="7"/>
  <c r="F242" i="7"/>
  <c r="F241" i="7"/>
  <c r="F230" i="7"/>
  <c r="F229" i="7"/>
  <c r="F228" i="7"/>
  <c r="F227" i="7"/>
  <c r="F226" i="7"/>
  <c r="F225" i="7"/>
  <c r="F224" i="7"/>
  <c r="F223" i="7"/>
  <c r="F222" i="7"/>
  <c r="F211" i="7"/>
  <c r="F213" i="7" s="1"/>
  <c r="F215" i="7" s="1"/>
  <c r="F200" i="7"/>
  <c r="F199" i="7"/>
  <c r="F198" i="7"/>
  <c r="F197" i="7"/>
  <c r="F196" i="7"/>
  <c r="F195" i="7"/>
  <c r="F194" i="7"/>
  <c r="F193" i="7"/>
  <c r="F192" i="7"/>
  <c r="F191" i="7"/>
  <c r="F190" i="7"/>
  <c r="F189" i="7"/>
  <c r="F188" i="7"/>
  <c r="F187" i="7"/>
  <c r="F176" i="7"/>
  <c r="F175" i="7"/>
  <c r="F174" i="7"/>
  <c r="F173" i="7"/>
  <c r="F172" i="7"/>
  <c r="F171" i="7"/>
  <c r="F170" i="7"/>
  <c r="F169" i="7"/>
  <c r="F168" i="7"/>
  <c r="F167" i="7"/>
  <c r="F166" i="7"/>
  <c r="F165" i="7"/>
  <c r="F164" i="7"/>
  <c r="F246" i="7" l="1"/>
  <c r="F248" i="7" s="1"/>
  <c r="F232" i="7"/>
  <c r="F234" i="7" s="1"/>
  <c r="F178" i="7"/>
  <c r="F179" i="7" s="1"/>
  <c r="F180" i="7" s="1"/>
  <c r="F202" i="7"/>
  <c r="F204" i="7" s="1"/>
  <c r="J489" i="5"/>
  <c r="J490" i="5" s="1"/>
  <c r="J491" i="5" s="1"/>
  <c r="T402" i="5"/>
  <c r="T411" i="5"/>
  <c r="T407" i="5"/>
  <c r="S403" i="5"/>
  <c r="T403" i="5" s="1"/>
  <c r="T344" i="5"/>
  <c r="T204" i="5"/>
  <c r="T206" i="5"/>
  <c r="S359" i="5"/>
  <c r="T359" i="5" s="1"/>
  <c r="S355" i="5"/>
  <c r="T355" i="5" s="1"/>
  <c r="T208" i="5"/>
  <c r="S362" i="5"/>
  <c r="T362" i="5" s="1"/>
  <c r="S358" i="5"/>
  <c r="T358" i="5" s="1"/>
  <c r="S354" i="5"/>
  <c r="T354" i="5" s="1"/>
  <c r="S414" i="5"/>
  <c r="T414" i="5" s="1"/>
  <c r="S410" i="5"/>
  <c r="T410" i="5" s="1"/>
  <c r="S406" i="5"/>
  <c r="T406" i="5" s="1"/>
  <c r="S209" i="5"/>
  <c r="T209" i="5" s="1"/>
  <c r="S205" i="5"/>
  <c r="T205" i="5" s="1"/>
  <c r="T207" i="5"/>
  <c r="S363" i="5"/>
  <c r="T363" i="5" s="1"/>
  <c r="S361" i="5"/>
  <c r="T361" i="5" s="1"/>
  <c r="S357" i="5"/>
  <c r="T357" i="5" s="1"/>
  <c r="S353" i="5"/>
  <c r="T353" i="5" s="1"/>
  <c r="S413" i="5"/>
  <c r="T413" i="5" s="1"/>
  <c r="S409" i="5"/>
  <c r="T409" i="5" s="1"/>
  <c r="S405" i="5"/>
  <c r="T405" i="5" s="1"/>
  <c r="S352" i="5"/>
  <c r="T352" i="5" s="1"/>
  <c r="S360" i="5"/>
  <c r="T360" i="5" s="1"/>
  <c r="S356" i="5"/>
  <c r="T356" i="5" s="1"/>
  <c r="T345" i="5"/>
  <c r="F154" i="7"/>
  <c r="F153" i="7"/>
  <c r="F142" i="7"/>
  <c r="F141" i="7"/>
  <c r="F130" i="7"/>
  <c r="F132" i="7" s="1"/>
  <c r="F134" i="7" s="1"/>
  <c r="F119" i="7"/>
  <c r="F118" i="7"/>
  <c r="F117" i="7"/>
  <c r="F116" i="7"/>
  <c r="F115" i="7"/>
  <c r="F114" i="7"/>
  <c r="F113" i="7"/>
  <c r="F112" i="7"/>
  <c r="F111" i="7"/>
  <c r="F110" i="7"/>
  <c r="F109" i="7"/>
  <c r="F108" i="7"/>
  <c r="F97" i="7"/>
  <c r="F96" i="7"/>
  <c r="F95" i="7"/>
  <c r="F94" i="7"/>
  <c r="F93" i="7"/>
  <c r="F92" i="7"/>
  <c r="F91" i="7"/>
  <c r="F90" i="7"/>
  <c r="F89" i="7"/>
  <c r="F88" i="7"/>
  <c r="F87" i="7"/>
  <c r="F86" i="7"/>
  <c r="F75" i="7"/>
  <c r="F74" i="7"/>
  <c r="F73" i="7"/>
  <c r="F66" i="7"/>
  <c r="F62" i="7"/>
  <c r="F51" i="7"/>
  <c r="F55" i="7" s="1"/>
  <c r="F40" i="7"/>
  <c r="F39" i="7"/>
  <c r="F28" i="7"/>
  <c r="F27" i="7"/>
  <c r="F16" i="7"/>
  <c r="F15" i="7"/>
  <c r="F7" i="7"/>
  <c r="F6" i="7"/>
  <c r="Q376" i="5"/>
  <c r="S376" i="5" s="1"/>
  <c r="Q377" i="5"/>
  <c r="S377" i="5" s="1"/>
  <c r="Q378" i="5"/>
  <c r="S378" i="5" s="1"/>
  <c r="Q379" i="5"/>
  <c r="Q380" i="5"/>
  <c r="S380" i="5" s="1"/>
  <c r="Q381" i="5"/>
  <c r="S381" i="5" s="1"/>
  <c r="Q382" i="5"/>
  <c r="S382" i="5" s="1"/>
  <c r="Q383" i="5"/>
  <c r="Q384" i="5"/>
  <c r="S384" i="5" s="1"/>
  <c r="Q375" i="5"/>
  <c r="S375" i="5" s="1"/>
  <c r="F8" i="7" l="1"/>
  <c r="F30" i="7"/>
  <c r="F31" i="7" s="1"/>
  <c r="F32" i="7" s="1"/>
  <c r="F18" i="7"/>
  <c r="F19" i="7" s="1"/>
  <c r="F20" i="7" s="1"/>
  <c r="F42" i="7"/>
  <c r="F43" i="7" s="1"/>
  <c r="F44" i="7" s="1"/>
  <c r="F156" i="7"/>
  <c r="F158" i="7" s="1"/>
  <c r="F144" i="7"/>
  <c r="F146" i="7" s="1"/>
  <c r="F99" i="7"/>
  <c r="F100" i="7" s="1"/>
  <c r="F101" i="7" s="1"/>
  <c r="F121" i="7"/>
  <c r="F122" i="7" s="1"/>
  <c r="F123" i="7" s="1"/>
  <c r="F77" i="7"/>
  <c r="F78" i="7" s="1"/>
  <c r="F79" i="7" s="1"/>
  <c r="T367" i="5"/>
  <c r="T417" i="5"/>
  <c r="T384" i="5"/>
  <c r="T380" i="5"/>
  <c r="T376" i="5"/>
  <c r="T378" i="5"/>
  <c r="S383" i="5"/>
  <c r="T383" i="5" s="1"/>
  <c r="S379" i="5"/>
  <c r="T379" i="5" s="1"/>
  <c r="T375" i="5"/>
  <c r="T381" i="5"/>
  <c r="T377" i="5"/>
  <c r="T382" i="5"/>
  <c r="T385" i="5" l="1"/>
  <c r="S385" i="5"/>
  <c r="J469" i="5"/>
  <c r="J470" i="5"/>
  <c r="J471" i="5"/>
  <c r="J472" i="5"/>
  <c r="J465" i="5"/>
  <c r="J466" i="5" s="1"/>
  <c r="J468" i="5" s="1"/>
  <c r="J460" i="5"/>
  <c r="J482" i="5" l="1"/>
  <c r="J444" i="5"/>
  <c r="J445" i="5"/>
  <c r="J446" i="5"/>
  <c r="J447" i="5"/>
  <c r="J448" i="5"/>
  <c r="J449" i="5"/>
  <c r="J450" i="5"/>
  <c r="J451" i="5"/>
  <c r="J456" i="5"/>
  <c r="J457" i="5"/>
  <c r="J458" i="5"/>
  <c r="J459" i="5"/>
  <c r="J443" i="5"/>
  <c r="J483" i="5" l="1"/>
  <c r="J484" i="5" s="1"/>
  <c r="J453" i="5"/>
  <c r="J454" i="5" s="1"/>
  <c r="J455" i="5" s="1"/>
  <c r="J461" i="5"/>
  <c r="J463" i="5" s="1"/>
  <c r="J437" i="5"/>
  <c r="J439" i="5" s="1"/>
  <c r="J441" i="5" s="1"/>
  <c r="J432" i="5"/>
  <c r="J431" i="5"/>
  <c r="J430" i="5"/>
  <c r="J429" i="5"/>
  <c r="J420" i="5"/>
  <c r="J421" i="5"/>
  <c r="J422" i="5"/>
  <c r="J423" i="5"/>
  <c r="J424" i="5"/>
  <c r="J425" i="5"/>
  <c r="J426" i="5"/>
  <c r="J427" i="5"/>
  <c r="J428" i="5"/>
  <c r="J419" i="5"/>
  <c r="J433" i="5" l="1"/>
  <c r="J435" i="5" s="1"/>
  <c r="J403" i="5" l="1"/>
  <c r="J404" i="5"/>
  <c r="J405" i="5"/>
  <c r="J406" i="5"/>
  <c r="J407" i="5"/>
  <c r="J408" i="5"/>
  <c r="J409" i="5"/>
  <c r="J410" i="5"/>
  <c r="J411" i="5"/>
  <c r="J412" i="5"/>
  <c r="J413" i="5"/>
  <c r="J414" i="5"/>
  <c r="J402" i="5"/>
  <c r="Q215" i="5"/>
  <c r="S215" i="5" s="1"/>
  <c r="T215" i="5" s="1"/>
  <c r="Q216" i="5"/>
  <c r="Q217" i="5"/>
  <c r="Q218" i="5"/>
  <c r="Q214" i="5"/>
  <c r="S216" i="5" l="1"/>
  <c r="T216" i="5" s="1"/>
  <c r="S217" i="5"/>
  <c r="T217" i="5" s="1"/>
  <c r="S218" i="5"/>
  <c r="T218" i="5" s="1"/>
  <c r="J415" i="5"/>
  <c r="J416" i="5" s="1"/>
  <c r="J417" i="5" s="1"/>
  <c r="S214" i="5"/>
  <c r="T214" i="5" s="1"/>
  <c r="J397" i="5"/>
  <c r="J396" i="5"/>
  <c r="J391" i="5"/>
  <c r="J390" i="5"/>
  <c r="J270" i="5"/>
  <c r="J271" i="5"/>
  <c r="J272" i="5"/>
  <c r="J273" i="5"/>
  <c r="J274" i="5"/>
  <c r="J275" i="5"/>
  <c r="J276" i="5"/>
  <c r="J277" i="5"/>
  <c r="J278" i="5"/>
  <c r="J279" i="5"/>
  <c r="J280" i="5"/>
  <c r="J281" i="5"/>
  <c r="J282" i="5"/>
  <c r="J283" i="5"/>
  <c r="J284" i="5"/>
  <c r="J285" i="5"/>
  <c r="J286" i="5"/>
  <c r="J287" i="5"/>
  <c r="J288" i="5"/>
  <c r="J289" i="5"/>
  <c r="J290" i="5"/>
  <c r="J291" i="5"/>
  <c r="T225" i="5" l="1"/>
  <c r="J398" i="5"/>
  <c r="J399" i="5" s="1"/>
  <c r="J400" i="5" s="1"/>
  <c r="J392" i="5"/>
  <c r="J393" i="5" s="1"/>
  <c r="J394" i="5" s="1"/>
  <c r="J376" i="5"/>
  <c r="J377" i="5"/>
  <c r="J378" i="5"/>
  <c r="J379" i="5"/>
  <c r="J380" i="5"/>
  <c r="J381" i="5"/>
  <c r="J382" i="5"/>
  <c r="J383" i="5"/>
  <c r="J384" i="5"/>
  <c r="J375" i="5"/>
  <c r="J369" i="5"/>
  <c r="J371" i="5" s="1"/>
  <c r="J372" i="5" s="1"/>
  <c r="J373" i="5" s="1"/>
  <c r="J386" i="5" l="1"/>
  <c r="J388" i="5" s="1"/>
  <c r="J361" i="5"/>
  <c r="J362" i="5"/>
  <c r="J363" i="5"/>
  <c r="J360" i="5"/>
  <c r="J345" i="5" l="1"/>
  <c r="J346" i="5"/>
  <c r="J347" i="5"/>
  <c r="J351" i="5"/>
  <c r="J352" i="5"/>
  <c r="J353" i="5"/>
  <c r="J354" i="5"/>
  <c r="J355" i="5"/>
  <c r="J356" i="5"/>
  <c r="J357" i="5"/>
  <c r="J358" i="5"/>
  <c r="J359" i="5"/>
  <c r="J344" i="5"/>
  <c r="J336" i="5"/>
  <c r="J337" i="5"/>
  <c r="J338" i="5"/>
  <c r="J339" i="5"/>
  <c r="J335" i="5"/>
  <c r="J332" i="5"/>
  <c r="J327" i="5"/>
  <c r="J328" i="5"/>
  <c r="J329" i="5"/>
  <c r="J330" i="5"/>
  <c r="J326" i="5"/>
  <c r="J320" i="5"/>
  <c r="J322" i="5" s="1"/>
  <c r="J324" i="5" s="1"/>
  <c r="J314" i="5"/>
  <c r="J316" i="5" s="1"/>
  <c r="J318" i="5" s="1"/>
  <c r="Q198" i="5"/>
  <c r="Q230" i="5"/>
  <c r="Q231" i="5"/>
  <c r="Q232" i="5"/>
  <c r="Q233" i="5"/>
  <c r="S233" i="5" s="1"/>
  <c r="T233" i="5" s="1"/>
  <c r="Q234" i="5"/>
  <c r="Q235" i="5"/>
  <c r="Q236" i="5"/>
  <c r="Q237" i="5"/>
  <c r="S237" i="5" s="1"/>
  <c r="T237" i="5" s="1"/>
  <c r="Q238" i="5"/>
  <c r="Q239" i="5"/>
  <c r="Q240" i="5"/>
  <c r="Q229" i="5"/>
  <c r="J309" i="5"/>
  <c r="J308" i="5"/>
  <c r="J303" i="5"/>
  <c r="J302" i="5"/>
  <c r="J340" i="5" l="1"/>
  <c r="J342" i="5" s="1"/>
  <c r="J348" i="5"/>
  <c r="J349" i="5" s="1"/>
  <c r="J350" i="5" s="1"/>
  <c r="J310" i="5"/>
  <c r="J311" i="5" s="1"/>
  <c r="J312" i="5" s="1"/>
  <c r="J331" i="5"/>
  <c r="J333" i="5" s="1"/>
  <c r="J365" i="5"/>
  <c r="Q241" i="5"/>
  <c r="S229" i="5"/>
  <c r="T229" i="5" s="1"/>
  <c r="S240" i="5"/>
  <c r="T240" i="5" s="1"/>
  <c r="S236" i="5"/>
  <c r="T236" i="5" s="1"/>
  <c r="S232" i="5"/>
  <c r="T232" i="5" s="1"/>
  <c r="S198" i="5"/>
  <c r="T198" i="5" s="1"/>
  <c r="S239" i="5"/>
  <c r="T239" i="5" s="1"/>
  <c r="S235" i="5"/>
  <c r="T235" i="5" s="1"/>
  <c r="S231" i="5"/>
  <c r="T231" i="5" s="1"/>
  <c r="J304" i="5"/>
  <c r="J305" i="5" s="1"/>
  <c r="J306" i="5" s="1"/>
  <c r="S238" i="5"/>
  <c r="T238" i="5" s="1"/>
  <c r="S234" i="5"/>
  <c r="T234" i="5" s="1"/>
  <c r="S230" i="5"/>
  <c r="T230" i="5" s="1"/>
  <c r="J366" i="5" l="1"/>
  <c r="J367" i="5" s="1"/>
  <c r="J297" i="5"/>
  <c r="J296" i="5"/>
  <c r="J269" i="5"/>
  <c r="J293" i="5" s="1"/>
  <c r="J294" i="5" l="1"/>
  <c r="J295" i="5" s="1"/>
  <c r="J298" i="5"/>
  <c r="J299" i="5" s="1"/>
  <c r="J300" i="5" s="1"/>
  <c r="J264" i="5"/>
  <c r="J263" i="5"/>
  <c r="J265" i="5" l="1"/>
  <c r="J267" i="5" s="1"/>
  <c r="J258" i="5"/>
  <c r="J257" i="5"/>
  <c r="J246" i="5"/>
  <c r="J247" i="5"/>
  <c r="J248" i="5"/>
  <c r="J249" i="5"/>
  <c r="J250" i="5"/>
  <c r="J251" i="5"/>
  <c r="J252" i="5"/>
  <c r="J253" i="5"/>
  <c r="J245" i="5"/>
  <c r="J259" i="5" l="1"/>
  <c r="J261" i="5" s="1"/>
  <c r="J254" i="5"/>
  <c r="J255" i="5" s="1"/>
  <c r="J256" i="5" s="1"/>
  <c r="J240" i="5"/>
  <c r="J239" i="5"/>
  <c r="J238" i="5"/>
  <c r="J237" i="5"/>
  <c r="J236" i="5"/>
  <c r="J235" i="5"/>
  <c r="J234" i="5"/>
  <c r="J215" i="5"/>
  <c r="J216" i="5"/>
  <c r="J217" i="5"/>
  <c r="J218" i="5"/>
  <c r="J219" i="5"/>
  <c r="J220" i="5"/>
  <c r="J221" i="5"/>
  <c r="J222" i="5"/>
  <c r="J223" i="5"/>
  <c r="J229" i="5"/>
  <c r="J230" i="5"/>
  <c r="J231" i="5"/>
  <c r="J232" i="5"/>
  <c r="J233" i="5"/>
  <c r="J214" i="5"/>
  <c r="Q154" i="5"/>
  <c r="S154" i="5" s="1"/>
  <c r="Q155" i="5"/>
  <c r="S155" i="5" s="1"/>
  <c r="Q153" i="5"/>
  <c r="Q161" i="5"/>
  <c r="T161" i="5" s="1"/>
  <c r="Q162" i="5"/>
  <c r="T162" i="5" s="1"/>
  <c r="Q163" i="5"/>
  <c r="T163" i="5" s="1"/>
  <c r="Q164" i="5"/>
  <c r="T164" i="5" s="1"/>
  <c r="Q165" i="5"/>
  <c r="T165" i="5" s="1"/>
  <c r="Q160" i="5"/>
  <c r="T160" i="5" s="1"/>
  <c r="Q96" i="5"/>
  <c r="T96" i="5"/>
  <c r="T85" i="5"/>
  <c r="Q85" i="5"/>
  <c r="T154" i="5" l="1"/>
  <c r="J241" i="5"/>
  <c r="J242" i="5" s="1"/>
  <c r="J243" i="5" s="1"/>
  <c r="J225" i="5"/>
  <c r="J227" i="5" s="1"/>
  <c r="S153" i="5"/>
  <c r="T153" i="5" s="1"/>
  <c r="T155" i="5"/>
  <c r="T87" i="5"/>
  <c r="T88" i="5"/>
  <c r="T89" i="5"/>
  <c r="T90" i="5"/>
  <c r="T91" i="5"/>
  <c r="T92" i="5"/>
  <c r="T93" i="5"/>
  <c r="T94" i="5"/>
  <c r="T95" i="5"/>
  <c r="T86" i="5"/>
  <c r="Q87" i="5"/>
  <c r="Q88" i="5"/>
  <c r="Q89" i="5"/>
  <c r="Q90" i="5"/>
  <c r="Q91" i="5"/>
  <c r="Q92" i="5"/>
  <c r="Q93" i="5"/>
  <c r="Q94" i="5"/>
  <c r="Q95" i="5"/>
  <c r="Q86" i="5"/>
  <c r="Q171" i="5"/>
  <c r="Q172" i="5"/>
  <c r="Q173" i="5"/>
  <c r="Q174" i="5"/>
  <c r="Q175" i="5"/>
  <c r="Q176" i="5"/>
  <c r="Q177" i="5"/>
  <c r="Q170" i="5"/>
  <c r="J209" i="5"/>
  <c r="J205" i="5"/>
  <c r="J206" i="5"/>
  <c r="J207" i="5"/>
  <c r="J208" i="5"/>
  <c r="J204" i="5"/>
  <c r="J198" i="5"/>
  <c r="J200" i="5" s="1"/>
  <c r="J201" i="5" s="1"/>
  <c r="J202" i="5" s="1"/>
  <c r="J171" i="5"/>
  <c r="J172" i="5"/>
  <c r="J173" i="5"/>
  <c r="J174" i="5"/>
  <c r="J175" i="5"/>
  <c r="J176" i="5"/>
  <c r="J177" i="5"/>
  <c r="J178" i="5"/>
  <c r="J179" i="5"/>
  <c r="J180" i="5"/>
  <c r="J181" i="5"/>
  <c r="J182" i="5"/>
  <c r="J183" i="5"/>
  <c r="J184" i="5"/>
  <c r="J185" i="5"/>
  <c r="J186" i="5"/>
  <c r="J187" i="5"/>
  <c r="J188" i="5"/>
  <c r="J189" i="5"/>
  <c r="J190" i="5"/>
  <c r="J191" i="5"/>
  <c r="J192" i="5"/>
  <c r="J193" i="5"/>
  <c r="J170" i="5"/>
  <c r="Q139" i="5"/>
  <c r="S139" i="5" s="1"/>
  <c r="T133" i="5"/>
  <c r="Q148" i="5"/>
  <c r="T99" i="5" l="1"/>
  <c r="J210" i="5"/>
  <c r="J211" i="5" s="1"/>
  <c r="J212" i="5" s="1"/>
  <c r="T156" i="5"/>
  <c r="S170" i="5"/>
  <c r="T170" i="5" s="1"/>
  <c r="S174" i="5"/>
  <c r="T174" i="5" s="1"/>
  <c r="S173" i="5"/>
  <c r="T173" i="5" s="1"/>
  <c r="S176" i="5"/>
  <c r="T176" i="5" s="1"/>
  <c r="S172" i="5"/>
  <c r="T172" i="5" s="1"/>
  <c r="S177" i="5"/>
  <c r="T177" i="5" s="1"/>
  <c r="S175" i="5"/>
  <c r="T175" i="5" s="1"/>
  <c r="S171" i="5"/>
  <c r="T171" i="5" s="1"/>
  <c r="J194" i="5"/>
  <c r="J195" i="5" s="1"/>
  <c r="J196" i="5" s="1"/>
  <c r="S148" i="5"/>
  <c r="T148" i="5" s="1"/>
  <c r="J161" i="5"/>
  <c r="J162" i="5"/>
  <c r="J163" i="5"/>
  <c r="J164" i="5"/>
  <c r="J165" i="5"/>
  <c r="J167" i="5"/>
  <c r="J160" i="5"/>
  <c r="J155" i="5"/>
  <c r="J154" i="5"/>
  <c r="J153" i="5"/>
  <c r="J148" i="5"/>
  <c r="J147" i="5"/>
  <c r="J146" i="5"/>
  <c r="J145" i="5"/>
  <c r="J144" i="5"/>
  <c r="Q101" i="5"/>
  <c r="S101" i="5" s="1"/>
  <c r="T101" i="5" s="1"/>
  <c r="T107" i="5" s="1"/>
  <c r="Q138" i="5"/>
  <c r="J156" i="5" l="1"/>
  <c r="J157" i="5" s="1"/>
  <c r="J158" i="5" s="1"/>
  <c r="J166" i="5"/>
  <c r="J168" i="5" s="1"/>
  <c r="J149" i="5"/>
  <c r="J150" i="5" s="1"/>
  <c r="J151" i="5" s="1"/>
  <c r="Q141" i="5"/>
  <c r="S138" i="5"/>
  <c r="J138" i="5"/>
  <c r="J141" i="5" l="1"/>
  <c r="J142" i="5" s="1"/>
  <c r="Q4" i="5" l="1"/>
  <c r="Q5" i="5"/>
  <c r="S5" i="5" s="1"/>
  <c r="Q3" i="5"/>
  <c r="S3" i="5" s="1"/>
  <c r="Q45" i="5"/>
  <c r="J133" i="5"/>
  <c r="J136" i="5" s="1"/>
  <c r="S45" i="5" l="1"/>
  <c r="T45" i="5" s="1"/>
  <c r="S4" i="5"/>
  <c r="T4" i="5" s="1"/>
  <c r="T3" i="5"/>
  <c r="T5" i="5"/>
  <c r="J111" i="5"/>
  <c r="J112" i="5"/>
  <c r="J113" i="5"/>
  <c r="J114" i="5"/>
  <c r="J115" i="5"/>
  <c r="J116" i="5"/>
  <c r="J117" i="5"/>
  <c r="J118" i="5"/>
  <c r="J119" i="5"/>
  <c r="J120" i="5"/>
  <c r="J121" i="5"/>
  <c r="J122" i="5"/>
  <c r="J123" i="5"/>
  <c r="J124" i="5"/>
  <c r="J125" i="5"/>
  <c r="J126" i="5"/>
  <c r="J127" i="5"/>
  <c r="J128" i="5"/>
  <c r="J110" i="5"/>
  <c r="J102" i="5"/>
  <c r="J103" i="5"/>
  <c r="J101" i="5"/>
  <c r="J98" i="5"/>
  <c r="Q35" i="5"/>
  <c r="R35" i="5" s="1"/>
  <c r="Q34" i="5"/>
  <c r="R34" i="5" s="1"/>
  <c r="Q33" i="5"/>
  <c r="R33" i="5" s="1"/>
  <c r="Q19" i="5"/>
  <c r="R19" i="5" s="1"/>
  <c r="T19" i="5" s="1"/>
  <c r="Q40" i="5"/>
  <c r="T40" i="5" s="1"/>
  <c r="Q21" i="5"/>
  <c r="Q22" i="5"/>
  <c r="R22" i="5" s="1"/>
  <c r="S22" i="5" s="1"/>
  <c r="T22" i="5" s="1"/>
  <c r="Q23" i="5"/>
  <c r="Q24" i="5"/>
  <c r="Q25" i="5"/>
  <c r="Q26" i="5"/>
  <c r="R26" i="5" s="1"/>
  <c r="S26" i="5" s="1"/>
  <c r="Q27" i="5"/>
  <c r="Q28" i="5"/>
  <c r="Q29" i="5"/>
  <c r="Q30" i="5"/>
  <c r="R30" i="5" s="1"/>
  <c r="S30" i="5" s="1"/>
  <c r="T30" i="5" s="1"/>
  <c r="Q31" i="5"/>
  <c r="Q32" i="5"/>
  <c r="Q20" i="5"/>
  <c r="Q14" i="5"/>
  <c r="R14" i="5" s="1"/>
  <c r="J17" i="5"/>
  <c r="J53" i="5"/>
  <c r="J54" i="5"/>
  <c r="J55" i="5"/>
  <c r="J56" i="5"/>
  <c r="J57" i="5"/>
  <c r="J58" i="5"/>
  <c r="J59" i="5"/>
  <c r="J60" i="5"/>
  <c r="J61" i="5"/>
  <c r="J62" i="5"/>
  <c r="J63" i="5"/>
  <c r="J64" i="5"/>
  <c r="J65" i="5"/>
  <c r="J66" i="5"/>
  <c r="J67" i="5"/>
  <c r="J68" i="5"/>
  <c r="J69" i="5"/>
  <c r="J70" i="5"/>
  <c r="J71" i="5"/>
  <c r="J72" i="5"/>
  <c r="J77" i="5"/>
  <c r="J78" i="5"/>
  <c r="J79" i="5"/>
  <c r="J84" i="5"/>
  <c r="J85" i="5"/>
  <c r="J86" i="5"/>
  <c r="J87" i="5"/>
  <c r="J88" i="5"/>
  <c r="J89" i="5"/>
  <c r="J90" i="5"/>
  <c r="J91" i="5"/>
  <c r="J92" i="5"/>
  <c r="J93" i="5"/>
  <c r="J94" i="5"/>
  <c r="J95" i="5"/>
  <c r="J96" i="5"/>
  <c r="J6" i="5"/>
  <c r="J7" i="5"/>
  <c r="J8" i="5"/>
  <c r="J9" i="5"/>
  <c r="J14" i="5"/>
  <c r="J29" i="5"/>
  <c r="J30" i="5"/>
  <c r="J31" i="5"/>
  <c r="J32" i="5"/>
  <c r="J33" i="5"/>
  <c r="J34" i="5"/>
  <c r="J35" i="5"/>
  <c r="J40" i="5"/>
  <c r="J41" i="5" s="1"/>
  <c r="J43" i="5" s="1"/>
  <c r="J45" i="5"/>
  <c r="J46" i="5"/>
  <c r="J51" i="5"/>
  <c r="J52" i="5"/>
  <c r="J4" i="5"/>
  <c r="J5" i="5"/>
  <c r="J19" i="5"/>
  <c r="J20" i="5"/>
  <c r="J21" i="5"/>
  <c r="J22" i="5"/>
  <c r="J23" i="5"/>
  <c r="J24" i="5"/>
  <c r="J25" i="5"/>
  <c r="J26" i="5"/>
  <c r="J27" i="5"/>
  <c r="J28" i="5"/>
  <c r="J3" i="5"/>
  <c r="T12" i="5" l="1"/>
  <c r="J105" i="5"/>
  <c r="J106" i="5" s="1"/>
  <c r="J129" i="5"/>
  <c r="J97" i="5"/>
  <c r="J99" i="5" s="1"/>
  <c r="T26" i="5"/>
  <c r="R20" i="5"/>
  <c r="S20" i="5" s="1"/>
  <c r="T20" i="5" s="1"/>
  <c r="R25" i="5"/>
  <c r="S25" i="5" s="1"/>
  <c r="T25" i="5" s="1"/>
  <c r="R32" i="5"/>
  <c r="S32" i="5" s="1"/>
  <c r="T32" i="5" s="1"/>
  <c r="R28" i="5"/>
  <c r="S28" i="5" s="1"/>
  <c r="T28" i="5" s="1"/>
  <c r="R24" i="5"/>
  <c r="S24" i="5" s="1"/>
  <c r="T24" i="5" s="1"/>
  <c r="R21" i="5"/>
  <c r="S21" i="5" s="1"/>
  <c r="T21" i="5" s="1"/>
  <c r="R29" i="5"/>
  <c r="S29" i="5" s="1"/>
  <c r="T29" i="5" s="1"/>
  <c r="R31" i="5"/>
  <c r="S31" i="5" s="1"/>
  <c r="T31" i="5" s="1"/>
  <c r="R27" i="5"/>
  <c r="S27" i="5" s="1"/>
  <c r="T27" i="5" s="1"/>
  <c r="R23" i="5"/>
  <c r="S23" i="5" s="1"/>
  <c r="T23" i="5" s="1"/>
  <c r="S34" i="5"/>
  <c r="T34" i="5" s="1"/>
  <c r="S35" i="5"/>
  <c r="T35" i="5" s="1"/>
  <c r="S33" i="5"/>
  <c r="T33" i="5" s="1"/>
  <c r="J36" i="5"/>
  <c r="J38" i="5" s="1"/>
  <c r="S14" i="5"/>
  <c r="T14" i="5" s="1"/>
  <c r="J47" i="5"/>
  <c r="J49" i="5" s="1"/>
  <c r="J80" i="5"/>
  <c r="J82" i="5" s="1"/>
  <c r="J73" i="5"/>
  <c r="J10" i="5"/>
  <c r="J12" i="5" s="1"/>
  <c r="J130" i="5" l="1"/>
  <c r="J131" i="5" s="1"/>
  <c r="J108" i="5"/>
  <c r="T37" i="5"/>
  <c r="J75" i="5"/>
  <c r="T1874" i="5" l="1"/>
  <c r="T1877" i="5" s="1"/>
</calcChain>
</file>

<file path=xl/sharedStrings.xml><?xml version="1.0" encoding="utf-8"?>
<sst xmlns="http://schemas.openxmlformats.org/spreadsheetml/2006/main" count="12725" uniqueCount="2724">
  <si>
    <t>Purchase Orders</t>
  </si>
  <si>
    <t>DC &amp; Bill To Ship To</t>
  </si>
  <si>
    <t>Tax Invoice</t>
  </si>
  <si>
    <t>S.No</t>
  </si>
  <si>
    <t>PO No.</t>
  </si>
  <si>
    <t>Po date</t>
  </si>
  <si>
    <t>Site Address</t>
  </si>
  <si>
    <t>PO Category</t>
  </si>
  <si>
    <t>Material Description</t>
  </si>
  <si>
    <t>Qty</t>
  </si>
  <si>
    <t>Unit</t>
  </si>
  <si>
    <t>Rate</t>
  </si>
  <si>
    <t>Amount</t>
  </si>
  <si>
    <t>Delivery Qty</t>
  </si>
  <si>
    <t>Delivery UOM</t>
  </si>
  <si>
    <t>Delivery Source</t>
  </si>
  <si>
    <t>Delivery Challan No</t>
  </si>
  <si>
    <t>Billing Qty</t>
  </si>
  <si>
    <t>Billing Rate</t>
  </si>
  <si>
    <t>Billing Amount</t>
  </si>
  <si>
    <t>GST</t>
  </si>
  <si>
    <t>GST Amount</t>
  </si>
  <si>
    <t>Total Billing Amount</t>
  </si>
  <si>
    <t>Bill No</t>
  </si>
  <si>
    <t>Bill Date</t>
  </si>
  <si>
    <t>Uploaded in Ariba</t>
  </si>
  <si>
    <t>( AN22 ) HCL TECHNOLOGIES LIMITED</t>
  </si>
  <si>
    <t>SUPPLY OF PHILIPS LED DOWNLIGHTER DN296B LED20S-18W</t>
  </si>
  <si>
    <t>Nos</t>
  </si>
  <si>
    <t>UP/000038/24-25</t>
  </si>
  <si>
    <t>29/07/2024</t>
  </si>
  <si>
    <t>SUPPLY OF DN296B LED20S RING</t>
  </si>
  <si>
    <t>SUPPLY OF PHILIPS 15W ULTRA GLOW SQUARE</t>
  </si>
  <si>
    <t>Installation of LED DOWNLIGHTER DN296B LED20S WITH RING</t>
  </si>
  <si>
    <t>UP/000057/24-25</t>
  </si>
  <si>
    <t>23/08/2024</t>
  </si>
  <si>
    <t>DISMANTLING OF LED DOWNLIGHTER DN296B LED20S</t>
  </si>
  <si>
    <t>Installation of PHILIPS 15W ULTRA GLOW SQUARE</t>
  </si>
  <si>
    <t>DISMANTLING OF PHILIPS BBS175 11W</t>
  </si>
  <si>
    <t>Total</t>
  </si>
  <si>
    <t>GST @ 18%</t>
  </si>
  <si>
    <t>Grand Total</t>
  </si>
  <si>
    <t>18/07/2024</t>
  </si>
  <si>
    <t>( AN04 ) HCL TECHNOLOGIES LIMITED</t>
  </si>
  <si>
    <t>Supply of 3 blade 500mm sweep Pedestal Fan - Havells FHSWSHSSLB20</t>
  </si>
  <si>
    <t>UP/000036/24-25</t>
  </si>
  <si>
    <t>19/07/2024</t>
  </si>
  <si>
    <t>Battery Ultralife 9-volt 1200mh</t>
  </si>
  <si>
    <t>UP/000039/24-25</t>
  </si>
  <si>
    <t>31/07/2024</t>
  </si>
  <si>
    <t>Battery Duracell AA</t>
  </si>
  <si>
    <t>UP/000037/24-25</t>
  </si>
  <si>
    <t>Battery water</t>
  </si>
  <si>
    <t>Ltr</t>
  </si>
  <si>
    <t>UP/000037/24-26</t>
  </si>
  <si>
    <t>Blankar - Siemens </t>
  </si>
  <si>
    <t>Cable Tie - Standard - 250 MM</t>
  </si>
  <si>
    <t>Pkt</t>
  </si>
  <si>
    <t>UP/000037/24-28</t>
  </si>
  <si>
    <t>Cable 2 core ,2.5 sqmm - Havells/polycab</t>
  </si>
  <si>
    <t>Mtr</t>
  </si>
  <si>
    <t>UP/000037/24-29</t>
  </si>
  <si>
    <t>Combined Box - Anchor 6 Amp</t>
  </si>
  <si>
    <t>UP/000037/24-30</t>
  </si>
  <si>
    <t>Combined Box - Anchor 16 Amp</t>
  </si>
  <si>
    <t>UP/000037/24-31</t>
  </si>
  <si>
    <t>Single core Wire 1.5 Sqmm Red, Green - Havells/polycab</t>
  </si>
  <si>
    <t>UP/000037/24-32</t>
  </si>
  <si>
    <t>Single core Wire 2.5 Sqmm Red, Green - Havells/polycab</t>
  </si>
  <si>
    <t>UP/000037/24-33</t>
  </si>
  <si>
    <t>Door Limit Switch - Standard</t>
  </si>
  <si>
    <t>UP/000037/24-34</t>
  </si>
  <si>
    <t>Top 6 amp - Anchor</t>
  </si>
  <si>
    <t>UP/000037/24-35</t>
  </si>
  <si>
    <t>Top 16Amp - Anchor</t>
  </si>
  <si>
    <t>UP/000037/24-36</t>
  </si>
  <si>
    <t>Tape - Steel grip R,Y,B,G,B</t>
  </si>
  <si>
    <t>UP/000037/24-37</t>
  </si>
  <si>
    <t>Switch - Honeywell - DH411WHI-16 amp</t>
  </si>
  <si>
    <t>Switch - Honeywell - DW501DWHI-6 amp</t>
  </si>
  <si>
    <t>Socket - Honeywell - DW424WHI-10amp</t>
  </si>
  <si>
    <t>PO Closed</t>
  </si>
  <si>
    <t xml:space="preserve">GST </t>
  </si>
  <si>
    <t>Battery - Ultralife 9 volt 1200mh</t>
  </si>
  <si>
    <t>22/07/2024</t>
  </si>
  <si>
    <t>Supply of sump pump, Model: DPK.15.80.55.5.0D, Make: Grundfos</t>
  </si>
  <si>
    <t>Installation of pumps requires pipe, flanges, nut bolt as require in pumps with welding, cutting, jointing new Flange</t>
  </si>
  <si>
    <t>Job</t>
  </si>
  <si>
    <t>23/8/2024</t>
  </si>
  <si>
    <t>24/07/2024</t>
  </si>
  <si>
    <t>Supply &amp; Laying of 50mm PVC Pipe with Required Fittings like Bend, Sockets Y-tee etc. Cost including of Clamps &amp; fasteners, C-channel, Threaded Rod etc for Laying &amp; fixing  PVC Line from 08th Floor to Basement. Cost of scaffolding is included</t>
  </si>
  <si>
    <t>Challan</t>
  </si>
  <si>
    <t>059/06.08.24</t>
  </si>
  <si>
    <t>Providing &amp; Laying of 32mm Dia Cpvc line from domestic line to lab room 8th floor area including of fittings &amp; labour work</t>
  </si>
  <si>
    <t>Rmt</t>
  </si>
  <si>
    <t>056/27.07.24</t>
  </si>
  <si>
    <t>Supply &amp; fixing of Ball valve 32 MM</t>
  </si>
  <si>
    <t>Supply &amp; fixing of CPVC Ball valve 32 MM</t>
  </si>
  <si>
    <t>Misc work for Dismantling of PCC floor &amp; cutting of Chequered Plate &amp; Refix with PCC floor</t>
  </si>
  <si>
    <t>Supply &amp; Fixing of 1000 Ltr Plastic Tank</t>
  </si>
  <si>
    <t>Shifting of 1000 Ltr Plastic tanks from ground floor to 14 floor terrace</t>
  </si>
  <si>
    <t>Providing and fixing tanks connector</t>
  </si>
  <si>
    <t>Making joint of CPVC pipe to 2 inch GI pipe as require material</t>
  </si>
  <si>
    <t>Crompton 1 HP mini water pump single phase with water pressure boosting 24-liter tank (Available in multicolour) with accessories NRV, 5-way connector, pressure switch, pressure gauge</t>
  </si>
  <si>
    <t>Supply and fixing 2.5X3C flexible cable</t>
  </si>
  <si>
    <t>Core-Cutting of 75mm Dia on 8th floor for laying pvc line</t>
  </si>
  <si>
    <t>Dismantling of pcc and tiles from drainage line</t>
  </si>
  <si>
    <t>Providing of pcc on drainage line</t>
  </si>
  <si>
    <t>Dismantling of pcc and tiles up to linter approx. sizes 3.5 X 3.5 feet</t>
  </si>
  <si>
    <t>Providing and laying pcc 3.5 X 3.5 X 1 feet height</t>
  </si>
  <si>
    <t>Providing and fixing of tiles as existing</t>
  </si>
  <si>
    <t>Sqft</t>
  </si>
  <si>
    <t>Making of water outlets point as require material</t>
  </si>
  <si>
    <t>Drainage point connect to washing machine as require material</t>
  </si>
  <si>
    <t>Gypsum ceiling cutting and repairing with paint as require material</t>
  </si>
  <si>
    <t>Supply and fixing 16A RCCB</t>
  </si>
  <si>
    <t>058/08.08.24</t>
  </si>
  <si>
    <t>Supply and fixing 32A RCCB</t>
  </si>
  <si>
    <t>Supply and fixing 170W,12V Polycrystalline Solar Panel</t>
  </si>
  <si>
    <t>Ship to Super power batteries</t>
  </si>
  <si>
    <t>113/09.08.2024</t>
  </si>
  <si>
    <t>Pole repairing with welding, grouting, making &amp; fixing of solar panel MS structure</t>
  </si>
  <si>
    <t>Testing &amp; commissioning of street lights- Lights acrylic frame replacement,fixture alignment, wiring connections from supply point</t>
  </si>
  <si>
    <t>Service</t>
  </si>
  <si>
    <t>Installation of materials at ground floor to 14 floor in bathroom shaft</t>
  </si>
  <si>
    <t>UP/000153/24-25</t>
  </si>
  <si>
    <t>20/2/2025</t>
  </si>
  <si>
    <t>Material</t>
  </si>
  <si>
    <t>Supply of Butterfly Valve (Wafer Type) PN-16 with SG Iron
Disc 65 MM Dia ( Zoloto)</t>
  </si>
  <si>
    <t>UP/000061/24-25</t>
  </si>
  <si>
    <t>28/8/2024</t>
  </si>
  <si>
    <t>Supply of CPVC Socket 2 inch - Supreme/Astral-</t>
  </si>
  <si>
    <t>UP/000070/24-25</t>
  </si>
  <si>
    <t>Supply of CPVC MTA brass 2 inch - Supreme/Astral</t>
  </si>
  <si>
    <t>Supply of CPVC Tee 2 inch - Supreme/Astral-</t>
  </si>
  <si>
    <t>Supply of CPVC Union 2 inch</t>
  </si>
  <si>
    <t>Supply of CPVC Elbow 2 inch</t>
  </si>
  <si>
    <t>Supply of CPVC Reducer 40/50 mm</t>
  </si>
  <si>
    <t>Supply of 40 mm CPVC Socket</t>
  </si>
  <si>
    <t>Supply of CPVC Elbow 40 mm </t>
  </si>
  <si>
    <t>Supply of Nut Bolt </t>
  </si>
  <si>
    <t>Kg</t>
  </si>
  <si>
    <t>UP/000072/24-25</t>
  </si>
  <si>
    <t>Supply of CPVC Solvent</t>
  </si>
  <si>
    <t>ZOLOTO Brass Forged Ball Valve (Silver_ 2 inch/50mm)</t>
  </si>
  <si>
    <t>PO201/24-25/00051</t>
  </si>
  <si>
    <t>SSN Pondi A-9 , SECTOR -3 , NOIDA</t>
  </si>
  <si>
    <t>Godrej Fire Resistant Filing Cabinet Four Drawer H x W x D(63 x 22 x 33 ) (Inch) Weight 510 kg</t>
  </si>
  <si>
    <t>HR/000082/24-37</t>
  </si>
  <si>
    <t>22/8/2024</t>
  </si>
  <si>
    <t>Lifting &amp; Shifting</t>
  </si>
  <si>
    <t>HR/000143/24-37</t>
  </si>
  <si>
    <t>26/11/2024</t>
  </si>
  <si>
    <t>Transit Insurance</t>
  </si>
  <si>
    <t>( AN08 ) HCL TECHNOLOGIES LIMITED - Sec-60</t>
  </si>
  <si>
    <t>Providing and laying Ceramic glazed wall tiles 300X300mm (Thickness to be specifed by the manufacturer) of Ist qulity confirming to IS : 15622 of approved make in colours such as existing , laid on 20mm thick cement mortar 1:4 (1 cement : 4 coares sand) including pointing the joints with white cement and matching pigment etc. complete</t>
  </si>
  <si>
    <t>Sqmtr</t>
  </si>
  <si>
    <t>0146/22.11.24</t>
  </si>
  <si>
    <t>UP/000129/24-25</t>
  </si>
  <si>
    <t>14/1/2024</t>
  </si>
  <si>
    <t>13/01/2025</t>
  </si>
  <si>
    <t>P.O Changed with Tax</t>
  </si>
  <si>
    <t xml:space="preserve">Dismanting Tile work in wall laid cement mortar including stacking material </t>
  </si>
  <si>
    <t>Skirting (Chhiri) cutting in wall for laying 15-20 mm CPVC Pipes and refilling with 12mm cement plaster of mix 1:6 (1 Cement 6 Fine sand)</t>
  </si>
  <si>
    <t>Demolishing cement concrete tiles manually / by mechanical means including 04 No. urinal drain line disposal of material</t>
  </si>
  <si>
    <t>Providing and fixing PVC Pipe including cutting and threading the pipe and making long screwsetc. Complete (new work) for 04 No.urinal drain line at nearest drain point</t>
  </si>
  <si>
    <t>Hydro MPC installation charge</t>
  </si>
  <si>
    <t>Pressure Tank installation with as require cpvc pipe and fitting</t>
  </si>
  <si>
    <t>Providing and fixing distribution board</t>
  </si>
  <si>
    <t>163/14.12.24</t>
  </si>
  <si>
    <t>Providing and laying cement concrete 1 : 2 : 4 (1 cement : 2 coarse sand : 4 stone aggregate 20mm nominal size) excluding the cost of centring and shuttering in oundations for hydrometic pump base</t>
  </si>
  <si>
    <t>Making of Hole on Wall in bathro om for water inlet connection and repairing</t>
  </si>
  <si>
    <t>Road cutting for laying of 50MM CPVC Treated water line and install C class MS pipe for protecting the CPVC Pipe, after that work filling the road with PCC (Required C class MS pipe will provide by the client)</t>
  </si>
  <si>
    <t>Existing fresh water pipe line connect with treated water line along with key lockable valve at terrace area 50MM</t>
  </si>
  <si>
    <t>Providing and installation of Kranti 50 mm Kflow Cast Iron Body Flow Water Meter as require material, flench, nut bolt etc</t>
  </si>
  <si>
    <t>174/27.12.24</t>
  </si>
  <si>
    <t xml:space="preserve">Providing and Chlorinated Polyvinyl Chloride (CPVC) pipes, having thermal stability for hot &amp; cold water supply including all CPVC plain &amp; brass threaded fittings This includes jointing of pipes &amp; fittings with one step CPVC solvent cement - 50 mm nominal dia Pipes </t>
  </si>
  <si>
    <t>126/24.10.24</t>
  </si>
  <si>
    <t>Providing and Chlorinated Polyvinyl Chloride (CPVC) pipes, having thermal stability for hot &amp; cold water supply including all CPVC plain &amp; brass threaded fittings This includes jointing of pipes &amp; fittings with one step CPVC solvent cement - 20 mm nominal dia Pipes</t>
  </si>
  <si>
    <t>147/23.11.24</t>
  </si>
  <si>
    <t>Hydro MPC F 2xCR10-05 Flow in m3h: 8, Head in Meter: 46, Power in kW: 2.2 RPM: 2900, Motor Class: IE3, Phase-3 CI Casing &amp; SS Impeller Scope of Supply: Grundfos Make 2 Nos pumps with Motor Set with GI
Manifold and Common Header Manifold, VFD_PLC Auto Control Panel,Pressure Gauge, Pressure Transmitter, NRV, Butterfly Valves, Flanges etc. Only</t>
  </si>
  <si>
    <t>Set</t>
  </si>
  <si>
    <t>164/14.12.24</t>
  </si>
  <si>
    <t>Pressure Tank 100 Ltr: GT-H-100 PN10 G1 V</t>
  </si>
  <si>
    <t>CABLES &amp; CABLE TERMINATIONS - Supply, Laying, installation, testing and commissionig of following sizes of PVC insulated PVC sheathed copper conductor armoured cable to be laying in existing cable trench or to be laid in existing pipes of with necessary clamps, spacers with cleating on wall ceiling etc. complete to the satisfaction of EIC. All types of cable excavation works should be in contractor's scope. with Complete termination &amp; Metal Glanding - 4 x 6 sq. mm Cu. Armoured Conductor cable (Main Panel to Input DB)</t>
  </si>
  <si>
    <t>165/15.12.24</t>
  </si>
  <si>
    <t>CABLES &amp; CABLE TERMINATIONS - Supply, Laying, installation, testing and commissionig of following sizes of PVC insulated PVC sheathed copper conductor armoured cable to be laying in existing cable trench or to be laid in existing pipes of with necessary clamps, spacers with cleating on wall ceiling etc. complete to the satisfaction of EIC. All types of cable excavation works should be in contractor's scope. with Complete termination &amp; Metal Glanding - 1 X 16 sq.mm flexible cu cable)</t>
  </si>
  <si>
    <t>GST 18%</t>
  </si>
  <si>
    <t>13/08/2024</t>
  </si>
  <si>
    <t>Battery - 200 Ultralife 9 volt 1200mh</t>
  </si>
  <si>
    <t>02.09.2024</t>
  </si>
  <si>
    <t>UP/000062/24-25</t>
  </si>
  <si>
    <t>20/9/2024</t>
  </si>
  <si>
    <t>14/08/2024</t>
  </si>
  <si>
    <t>UP/000047/24-25</t>
  </si>
  <si>
    <t>20/8/2024</t>
  </si>
  <si>
    <t>UP/000063/24-25</t>
  </si>
  <si>
    <t>( AN08 ) HCL TECHNOLOGIES LIMITED - Sector-60</t>
  </si>
  <si>
    <t>Gypsum board false ceiling Providing and fixing at position of false ceilling the gypsum board must be 12mm and fixing to GI freme and joint to be properly filled in with POP and paper tape High 15 to 18 feet from floor</t>
  </si>
  <si>
    <t>UP/000104/24-25</t>
  </si>
  <si>
    <t>Uploaded</t>
  </si>
  <si>
    <t>Grids ceiling repairing with as require metairial as existing make modal</t>
  </si>
  <si>
    <t xml:space="preserve">Providing and applying pop puti </t>
  </si>
  <si>
    <t>Bag</t>
  </si>
  <si>
    <t>Supply of Dune Max Microlook 600*600*20mm Ceiling Tile (10 Pcs) Armstrong</t>
  </si>
  <si>
    <t>Box</t>
  </si>
  <si>
    <t>UP/000054/24-25</t>
  </si>
  <si>
    <t>( AP03 ) HCL TECHNOLOGIES LIMITED</t>
  </si>
  <si>
    <t>Providing 9 V lithium battery (U9VL-J-P 1200mAh)</t>
  </si>
  <si>
    <t>UP/000064/24-25</t>
  </si>
  <si>
    <t>Jaguar tap battery box ZSN-CNR-090</t>
  </si>
  <si>
    <t xml:space="preserve">	
Freight Charges</t>
  </si>
  <si>
    <t>28/08/2024</t>
  </si>
  <si>
    <t>Health Faucet set - Jaquar</t>
  </si>
  <si>
    <t>UP/000066/24-25</t>
  </si>
  <si>
    <t>Angle Valve - Jaquar - CON-CHR-053KN</t>
  </si>
  <si>
    <t xml:space="preserve">	
Water Taps - Jaquar - FLR-CHR-5001B</t>
  </si>
  <si>
    <t>SS Plain Drain Jali 4X4 inch square</t>
  </si>
  <si>
    <t>Bottle trap - Jaquar - ALD-CHR-769</t>
  </si>
  <si>
    <t>Waste Jali - Jaquar - ALD-CHR-705</t>
  </si>
  <si>
    <t>Washbasin Tap (Model: ET11) Functioning on both electrical (AC 220V, 50 Hz) and battery power (4 X AA Duracell)</t>
  </si>
  <si>
    <t>UP/000071/24-25</t>
  </si>
  <si>
    <t xml:space="preserve">	
Washbasin Model: ZEN (under counter) - Make Hindware</t>
  </si>
  <si>
    <t>Supply of Angle Valve (Model: 5053) - Make Jaquar</t>
  </si>
  <si>
    <t xml:space="preserve">
Required all Sanitary pipes, fittings</t>
  </si>
  <si>
    <t>Lot</t>
  </si>
  <si>
    <t>Bottle Trap - Standard</t>
  </si>
  <si>
    <t xml:space="preserve">
Hindware Make Urinal Flat Back Small complete set</t>
  </si>
  <si>
    <t>Hindware Division Plate for Urinal complete set - Hindware</t>
  </si>
  <si>
    <t xml:space="preserve">
Urinal sensor Utech complete set - U-tec</t>
  </si>
  <si>
    <t xml:space="preserve">Supply &amp; Installation of 2.5 Sq Mm 3 Core Polycab/Havells wire, 25 MM Conduit for Electrical Provision of Sensor </t>
  </si>
  <si>
    <t>UP/000152/24-25</t>
  </si>
  <si>
    <t>Supply and fixing of new slab with black granite - Standard</t>
  </si>
  <si>
    <t xml:space="preserve">	
Dismantling of old urinal and Wash basin</t>
  </si>
  <si>
    <t>Alteration of wooden work size 10 feet X 2 feet and height 2.5 feet</t>
  </si>
  <si>
    <t>Debris shifting outside of campus</t>
  </si>
  <si>
    <t>Providing and fixing wall tiles - Kajaria/Somania/Equivalent</t>
  </si>
  <si>
    <t xml:space="preserve">Dismantling of existing tiles </t>
  </si>
  <si>
    <t xml:space="preserve">	
Installation of Wash basin, urinal sensor, urinal pot, and urinal partition</t>
  </si>
  <si>
    <t xml:space="preserve">Supply and fixing D lock complete set - Standard </t>
  </si>
  <si>
    <t>Supply and fixing laminate and door alignment complete set repairs</t>
  </si>
  <si>
    <t xml:space="preserve">	
Applying Plastic paint with minor repairing </t>
  </si>
  <si>
    <t xml:space="preserve">	
Supply and fixing 12W down light - Philips</t>
  </si>
  <si>
    <t>Supply and installation of wall mirror 6 mm looking glass with 12 mm plywood board (size 2 X 3 feet)</t>
  </si>
  <si>
    <t xml:space="preserve">Supply Installation of wooden Door Louver 1.5 X 3 feet </t>
  </si>
  <si>
    <t xml:space="preserve">	
Supply &amp; installation of Exhaust fan 300 mm Crompton</t>
  </si>
  <si>
    <t xml:space="preserve">Repairs to plaster of thickness 12 mm to 20 mm cement plaster of mix : 13.1.1 1:6 cement: 6 fine sand </t>
  </si>
  <si>
    <t>Service charges for Cutting of MS frame(8feetX7feet) into small sizes</t>
  </si>
  <si>
    <t>UP/000073/24-25</t>
  </si>
  <si>
    <t>16/09/2024</t>
  </si>
  <si>
    <t>( AN08 ) HCL TECHNOLOGIES LIMITED Sec-60</t>
  </si>
  <si>
    <t>Providing and fabrication of 50X 6 mm ms flats patti fixing of old ms frame in 2 inch</t>
  </si>
  <si>
    <t>Rft</t>
  </si>
  <si>
    <t>UP/000084/24-25</t>
  </si>
  <si>
    <t>22/10/2024</t>
  </si>
  <si>
    <t>Dismantling of 5000 Ltr water tank</t>
  </si>
  <si>
    <t>Supply of Sintex Pure Antimicrobial, 5000 Liters, White</t>
  </si>
  <si>
    <t>Supply of tank nipple</t>
  </si>
  <si>
    <t>Water Tank 5000 Ltr Shifting to 2nd floor terrace from ground floor</t>
  </si>
  <si>
    <t xml:space="preserve">	
Installation of water tank 5000 Ltr </t>
  </si>
  <si>
    <t>15/09/2024</t>
  </si>
  <si>
    <t>Supply of PVC PIPE 200 mm (10 KG) pressure</t>
  </si>
  <si>
    <t>UP/000077/24-25</t>
  </si>
  <si>
    <t>PVC Elbow 200mm ( 10 KG ) Heavy - Nos - Finolex / Astral
/ Supreme</t>
  </si>
  <si>
    <t>PVC Tee 200mm (10 kg) pressure - Nos - Finolex / Astral
/ Supreme</t>
  </si>
  <si>
    <t>PVC Socket 200mm (10 kg) pressure - Nos - Finolex / Astral
/ Supreme</t>
  </si>
  <si>
    <t>PVC Solvent 473ml</t>
  </si>
  <si>
    <t>Installation of pvc pipe 200 mm with c clamping and tie rod</t>
  </si>
  <si>
    <t>UP/000109/24-25</t>
  </si>
  <si>
    <t>Civil work dismantle of PCC, RCC and chequered plate (2 x 2 feet)</t>
  </si>
  <si>
    <t>Providing and laying PCC approx 2x2 feet</t>
  </si>
  <si>
    <t>Cutting, welding and fixing of chequered plate</t>
  </si>
  <si>
    <t>Making of brick boundary wall in three layers step with plaster (height 2 feet and length 3 feet (approx sizes)</t>
  </si>
  <si>
    <t>18/09/2024</t>
  </si>
  <si>
    <t xml:space="preserve">
Hand Spray Set - Jaquar</t>
  </si>
  <si>
    <t>UP/000074/24-25</t>
  </si>
  <si>
    <t>27/09/2024</t>
  </si>
  <si>
    <t xml:space="preserve">	
Water Tap Sensor- Jaquar Zsn-Chr-089</t>
  </si>
  <si>
    <t>UP/000074/24-26</t>
  </si>
  <si>
    <t>Water Tap Sensor- Jaquar Zsn-Chr-053</t>
  </si>
  <si>
    <t>UP/000074/24-27</t>
  </si>
  <si>
    <t>Bottle Trap Jaquar Ald-Chr-769L250X190</t>
  </si>
  <si>
    <t>UP/000074/24-28</t>
  </si>
  <si>
    <t>Urinal Sensor - Jaquar Zns-Chr-31</t>
  </si>
  <si>
    <t>UP/000074/24-29</t>
  </si>
  <si>
    <t>UP/000076/24-29</t>
  </si>
  <si>
    <t>CPVC Solvent - Supreme 100 Gram Par Each</t>
  </si>
  <si>
    <t>UP/000074/24-30</t>
  </si>
  <si>
    <t>Waste Pipe- PVC 32 mm</t>
  </si>
  <si>
    <t>UP/000074/24-31</t>
  </si>
  <si>
    <t>Solenoid Valve- Jaquar Chr-032</t>
  </si>
  <si>
    <t xml:space="preserve">
Silicone Dowsil 789 300Ml Per Each Clear &amp; White</t>
  </si>
  <si>
    <t>UP/000074/24-33</t>
  </si>
  <si>
    <t xml:space="preserve">Washbasin Jali Nos - Jaquar Ald-705
 </t>
  </si>
  <si>
    <t>UP/000074/24-34</t>
  </si>
  <si>
    <t>Aerator - Eco 365</t>
  </si>
  <si>
    <t>UP/000074/24-35</t>
  </si>
  <si>
    <t>Water Tap Check Nut - Jaquar Inner Thread</t>
  </si>
  <si>
    <t>UP/000074/24-36</t>
  </si>
  <si>
    <t>19/09/2024</t>
  </si>
  <si>
    <t>( AN08 ) HCL TECHNOLOGIES LIMITED</t>
  </si>
  <si>
    <t>Providing and fixing metro sheet with MS structures approx 150 Sqf</t>
  </si>
  <si>
    <t>Sqf</t>
  </si>
  <si>
    <t>UP/000108/24-36</t>
  </si>
  <si>
    <t xml:space="preserve">	
Providing and fixing Kota stone</t>
  </si>
  <si>
    <t>138/09.11.24</t>
  </si>
  <si>
    <t>Floor labeling as require</t>
  </si>
  <si>
    <t>Supply and fixing hanging with Threaded Rod pvc pipe 4 inches</t>
  </si>
  <si>
    <t>Feet</t>
  </si>
  <si>
    <t>Supply and fabrication of GI flexible pipe and connect with canvas in machine</t>
  </si>
  <si>
    <t>137/09/11/24</t>
  </si>
  <si>
    <t>Supply and fixing Crompton 1 hp mini water pump single phase with water pressure boosting 24-liter tank (Available in multicolor) with accessories NRV, 5-way connector, pressure switch, pressured gauge</t>
  </si>
  <si>
    <t xml:space="preserve">	
Providing and fixing 15-20 mm outlets water points</t>
  </si>
  <si>
    <t xml:space="preserve">	
CPVC fiting for pumps installation as require
 	</t>
  </si>
  <si>
    <t>Making of SS gate provisions in railing as require material</t>
  </si>
  <si>
    <t>26/09/2024</t>
  </si>
  <si>
    <t>Providing &amp; fixing of 8mm MS Rope</t>
  </si>
  <si>
    <t>UP/000107/24-25</t>
  </si>
  <si>
    <r>
      <t xml:space="preserve">Dismantling &amp; Installation of </t>
    </r>
    <r>
      <rPr>
        <b/>
        <sz val="9.5"/>
        <color theme="1"/>
        <rFont val="Calibri"/>
        <family val="2"/>
        <scheme val="minor"/>
      </rPr>
      <t>lighting arrestor</t>
    </r>
    <r>
      <rPr>
        <sz val="9.5"/>
        <color theme="1"/>
        <rFont val="Calibri"/>
        <family val="2"/>
        <scheme val="minor"/>
      </rPr>
      <t xml:space="preserve"> with req. material</t>
    </r>
  </si>
  <si>
    <t>24/09/2024</t>
  </si>
  <si>
    <t>( AP08 ) HCL Technologies Limited - pune</t>
  </si>
  <si>
    <t>9 V lithium battery</t>
  </si>
  <si>
    <t>UP/000088/24-25</t>
  </si>
  <si>
    <t>Freight Charges</t>
  </si>
  <si>
    <t>Computer point wiring in pvc conduit of IS specification of proper size with 3nos 1.5sq.mm single core PVC insulated standard copper wire 1.1KV grade with all material supply installation and commissioning complete from CDB/PDB (Raw). The wiring shall be carried out on surface above false ceiling by chiseling the existing surface, wall and plastering the same with cement etc.after fixing the pvc conduit with all accessories like saddles screws, bends T-joint etc. 2 coats of painting Matching to the surface including supply installing, testing, commissioning of modular plate type switch and socket (Legrands /MK/Scheider/Hager or equivalent) for computer terminal on sheet steel enclosure (cadmium plated),duly fitted with screw to the steel conduit and fixed to the wall partition furniture with all interconnection and proper earthing. All the opening shall be covered with blank plate</t>
  </si>
  <si>
    <t>UP/000100/24-25</t>
  </si>
  <si>
    <t>PO Changed</t>
  </si>
  <si>
    <t xml:space="preserve">	
3 nos 6A socket with single 16A switch</t>
  </si>
  <si>
    <t>Light point wiring with 4 no switches</t>
  </si>
  <si>
    <t>LED TV wiring With 3 nos 6A socket with single 16A switch</t>
  </si>
  <si>
    <t>AC modification with supply and fabrication as require flexible duct and defuser</t>
  </si>
  <si>
    <t>Gypsum partition: P&amp;F of 75 mm thick gypsum board partitions consisting single layer of tapered edge 12mm thick gypsum sheet one side and second side up to 8 feet 12mm thick mdf sheet and Natural Veneer Sheet rest aria with 12 mm gypsum sheet along with glass wool, 1200mm wide gypsum plaster board on both sides of GI stud with inside the partitions, having all verticals at a gap of 600mm, with screws fixed with dry wall screws of 25mm at 300 mm centres with joints scattered, 48mm metal studs to be (0.5 mm thk. having one knurled flange of 34 mm and with joints scattered and another knurled flange of 36mm fabricated from G.I. sheets) placed in 50mm floor and ceiling channels @ 600 mm centres, floor channel fixed to concrete soleplate, and ceiling channel fixed to ceiling.and make windows 8 X 8 feet made out by 6 mm toughened glass and 100X50 wooden Frame</t>
  </si>
  <si>
    <t>Carpet pesting</t>
  </si>
  <si>
    <t>Supply and fixing of cat 6 cable and I/O face plate Data point</t>
  </si>
  <si>
    <t>Melamine polish</t>
  </si>
  <si>
    <t>Providing and fixing of wooden 100x50 mm chokhat frame 2400 X 1000 mm</t>
  </si>
  <si>
    <t>Providing and fixing of 12mm thick Toughened Glass door 2400 X 1000 with new fitting OZONE make floor machine modle no. 8400 and patch fittings and 25 mm round 18" ss finished H handle along with fixing charges</t>
  </si>
  <si>
    <t>116/19.10.24    128, 129/25/10.24</t>
  </si>
  <si>
    <t>Dismantle of existing work station and shifting to as direction by side Engineer</t>
  </si>
  <si>
    <t>Fixing of work station in New cabin as required material like nut bolt, scrubs and wooden pieces</t>
  </si>
  <si>
    <t>Providing and fixing of frosted film on all glass door as per design to be approved with 10% of wastage of 3M make</t>
  </si>
  <si>
    <t>135/28.10.24</t>
  </si>
  <si>
    <t>Providing of 12mm forested glass top table leg and table frem made out by ss 304 square pipe 1.5X1.5 inch table size 3 X 4 feet</t>
  </si>
  <si>
    <t>Providing and fixing 6mm lacquered with 12 mm bord fixing with strd or silicon size 5x3 feet</t>
  </si>
  <si>
    <t>116/19.10.24</t>
  </si>
  <si>
    <t>Providing and fixing Honeywell HDMI Cable v2.0 with Ethernet, 3D/4K@60Hz Ultra HD Resolution, 1 Mtr, 18 GBPS Transmission Speed, High-Speed, Compatible with all HDMI Devices Laptop Desktop TV Set-top Box Gaming Console</t>
  </si>
  <si>
    <t>Providing and fixing Honeywell HDMI Cable v2.0 with Ethernet, 3D/4K@60Hz Ultra HD Resolution, 5 Mtr, 18 GBPS Transmission Speed, High Speed, Compatible with all HDMI Devices Laptop Desktop TV Set-top Box Gaming Console</t>
  </si>
  <si>
    <t>Providing and fixing MX HDMI Female to HDMI Female Panel Mounting Connector, 1080p 4K Full HD Resolution Support Adapter Connector Panel Mount for Conference Rooms &amp; Home etc 2789 (Pack of 2)</t>
  </si>
  <si>
    <t>Providing and fixing Wooden bidding / molding polished for Wooden Patition</t>
  </si>
  <si>
    <t>Providing and fixing Philips (RC380B 25-Watt) LED Recessed Full Glow Panel (2X2 Panel) (Cool Day Light)</t>
  </si>
  <si>
    <t>Providing and fixing Philips Ultra Slim LED Panel Light</t>
  </si>
  <si>
    <t>Providing and fixing Wooden framing with polished for glass windows 3x1inch</t>
  </si>
  <si>
    <t>( LL12 ) HCL TECHNOLOGIES LIMITED - Lucknow</t>
  </si>
  <si>
    <t>Sides with ACP sheet, Curtains front and back, Along with Wheels and detachable. Size: L40XW40XH78 INCHES Material : MDF Board and ACP Materials with PU screens and heavy-duty castor wheels warranty 1 year</t>
  </si>
  <si>
    <t>UP/000117/24-25</t>
  </si>
  <si>
    <t>18/12/2024</t>
  </si>
  <si>
    <t>Transportation charges</t>
  </si>
  <si>
    <t>( LM05 ) HCL TECHNOLOGIES LIMITED - Nagpur</t>
  </si>
  <si>
    <t>UP/000118/24-25</t>
  </si>
  <si>
    <t>( IG06 ) HCL TECHNOLOGIES LIMITED- Dundahera</t>
  </si>
  <si>
    <t>UP/000119/24-25</t>
  </si>
  <si>
    <t>30/09/2024</t>
  </si>
  <si>
    <t>Supply of GI(B class) Pipes(12.5feet length,20mm dia)</t>
  </si>
  <si>
    <t>UP/000112/24-25</t>
  </si>
  <si>
    <t>23/10/2024</t>
  </si>
  <si>
    <t>Windsock Dia 24 X Length 72 Double Layer Parachute Cloth
Fluorescent Orange &amp; Green</t>
  </si>
  <si>
    <t>Supply &amp; Laying of 50mm PVC Pipe with Required Fittings like Bend, Sockets Y-tee etc. Cost including of Clamps &amp; fasteners, C-channel, Threaded Rod etc for Laying &amp; fixing PVC Line from 14th Floor to Basement. Cost of scaffolding is included</t>
  </si>
  <si>
    <t>UP/000132/24-25</t>
  </si>
  <si>
    <t>17/1/2025</t>
  </si>
  <si>
    <t>Providing and fixing of reducer for connecting CPVC to PVC lines</t>
  </si>
  <si>
    <t>Misc work for Dismantling of PCC floor &amp; cutting of chequered plate &amp; refix with PCC floor</t>
  </si>
  <si>
    <t xml:space="preserve">Dismantling of Bund wall to connect Cpvc to PVC on each floor AHU rooms &amp; Repairing after connection with 9"thick brick wall with both side plaster &amp; finish with paint </t>
  </si>
  <si>
    <t>Providing and making Automation system by float switch 1</t>
  </si>
  <si>
    <t>( PN01 ) HCL Technologies Limited</t>
  </si>
  <si>
    <t>Service charges for repairing/rewinding of 7.5HP Motor</t>
  </si>
  <si>
    <t>132/25.10.2024</t>
  </si>
  <si>
    <t>UP/000105/24-25</t>
  </si>
  <si>
    <t>Labour charges for loading &amp; unloading of the motor</t>
  </si>
  <si>
    <t xml:space="preserve">	
Service charges for assembling the radiator fan assembly</t>
  </si>
  <si>
    <t>Service charges for dismantling the radiator fan assembly</t>
  </si>
  <si>
    <t>Transportation charges for carrying motor, tools, tackles etc.</t>
  </si>
  <si>
    <t>Supply of Tap Sensor eye - Jaquar ZSN-CHR-089</t>
  </si>
  <si>
    <t>UP/000081/24-25</t>
  </si>
  <si>
    <t>Supply of Urinal Sensor - Jaquar ZSN-CHR-031</t>
  </si>
  <si>
    <t xml:space="preserve">Supply of Health Faucet full set -  Jaquar ZSN-CHR
 	</t>
  </si>
  <si>
    <t>UP/000086/24-25</t>
  </si>
  <si>
    <t>28/10/2024</t>
  </si>
  <si>
    <t>Hand Spray Set- Jaquar Chr-573</t>
  </si>
  <si>
    <t>UP/000080/24-25</t>
  </si>
  <si>
    <t>Water Tap Sensor- Jaquar Zsn-Chr-089</t>
  </si>
  <si>
    <t>Water Tap Sensor - Jaquar Zsn-Chr-053</t>
  </si>
  <si>
    <t>Bottle Trap - Jaquar Ald-Chr-769L250X190</t>
  </si>
  <si>
    <t xml:space="preserve">
Urinal Sensor  - Jaquar Zns-Chr-31</t>
  </si>
  <si>
    <t xml:space="preserve">
CPVC Solvent - Supreme 100 Gram Par Each</t>
  </si>
  <si>
    <t>Waste Pipe - PVC 32 mm</t>
  </si>
  <si>
    <t xml:space="preserve">
Solenoid Valve - Jaquar Chr-032</t>
  </si>
  <si>
    <t>Silicone - Dowsil 789 300Ml Per Each Clear &amp; White</t>
  </si>
  <si>
    <t xml:space="preserve">
Washbasin Jali - Jaquar Ald-705</t>
  </si>
  <si>
    <t xml:space="preserve">
Aerator - Eco 365</t>
  </si>
  <si>
    <t>Water Tap Check Nut- Jaquar Inner Thread</t>
  </si>
  <si>
    <t xml:space="preserve"> </t>
  </si>
  <si>
    <t>Providing, Making and fixing of MS pigeon locker stand made in 50x50x6mm MS angle outer frame size 5'x1.5'x6" with grinding buffing finishing with 1 coat red oxide primer 2 coat enamel paint</t>
  </si>
  <si>
    <t>UP/000123/24-25</t>
  </si>
  <si>
    <t>Cement White, Make-JK</t>
  </si>
  <si>
    <t>UP/000078/24-25</t>
  </si>
  <si>
    <t>16/10/2024</t>
  </si>
  <si>
    <t xml:space="preserve">
L-Bihari hinges 0 Crank, Make-EBCO</t>
  </si>
  <si>
    <t>Door Handler Lever, Make-Dormakaba, Dorma Metal Door Handle Lock Set PHT 05</t>
  </si>
  <si>
    <t>Door Closer, Make-Geze, Geze TS 5000 Overhead Door Closer Closing Force of EN2-6</t>
  </si>
  <si>
    <t>Door Closer, Make-Dormakaba, Dorma Concealed Door Closer G 96 N Slide Arm EN 2-4, ITS 96</t>
  </si>
  <si>
    <t>Floor Machine, Make-Dormakaba, Dorma DCL-Floor Springs BTS 75V For Glass Door Application EN 1-4,</t>
  </si>
  <si>
    <t>Floor Machine, Make-Dormakaba, Dorma BTS 80 For Glass Door Application EN 4</t>
  </si>
  <si>
    <t>Square Lock, Make-Godrej, Godrej Popular Multi-Purpose Lock, 8000</t>
  </si>
  <si>
    <t>Pedestal Lock, Make-EBCO, Ebco Nickel Plated Pedestal Lock with Metal Keys E-MPL2-20-M</t>
  </si>
  <si>
    <t>Round Lock, Make-EBCO, Ebco Multi-Purpose Round Lock with Metal Keys, E-MPL1-22-M</t>
  </si>
  <si>
    <t>Supply of SS Trolley 4X3feet, Ht.-2.5ft with four PU castor wheels</t>
  </si>
  <si>
    <t>UP/000133/24-25</t>
  </si>
  <si>
    <t>20/01/2024</t>
  </si>
  <si>
    <t>13/02/2025</t>
  </si>
  <si>
    <t>Supply of 06inches PU castor wheels as per existing</t>
  </si>
  <si>
    <t>Supply and fabrication SS Square Pipe 40X40X1.2mm with polycarbonate sheet 6 mm as per existing design</t>
  </si>
  <si>
    <t>100 Ft., 1 Nos</t>
  </si>
  <si>
    <t>130/25/10/24</t>
  </si>
  <si>
    <t>UP/000103/24-25</t>
  </si>
  <si>
    <t>Dismantling of Broken Shade as require</t>
  </si>
  <si>
    <t>Hand Spray Set, Make -Jaguar, Model -Chr-573</t>
  </si>
  <si>
    <t>UP/000079/24-25</t>
  </si>
  <si>
    <t>Water Tap Sensor, Make - Jaguar, Model -Zsn-Chr-089</t>
  </si>
  <si>
    <t>Bottle Trap, Make - Jaguar, Model -Ald-Chr-769L250X190</t>
  </si>
  <si>
    <t>Urinal Sensor, Make - Jaguar, Model -Zns-Chr-31.</t>
  </si>
  <si>
    <t>Solenoid Valve, Make - Jaguar, Model -Chr-032</t>
  </si>
  <si>
    <t>Aerator, Make -Eco, Model -365</t>
  </si>
  <si>
    <t>Water Tap Check Nut, Make -Jaguar, Model -Inner Thread</t>
  </si>
  <si>
    <t>Water Tap Sensor, Make -U-tech, Model -Utech 29B Sensor Chord For Wall Mounted Tap</t>
  </si>
  <si>
    <t>Sensor, Make -Roca, Model -Urinal Sensor Eye A5A8202A0N</t>
  </si>
  <si>
    <t>Solenoid Valve, Make -Roca, Model -Solenoid Valve 6V DC 2EU03020N062</t>
  </si>
  <si>
    <t>Hexa Blade-12", Make -Standard, Model -2 side</t>
  </si>
  <si>
    <t>L-Bihar Hinges, Make -EBCO, Model -0.crank</t>
  </si>
  <si>
    <t>PPM Kit, Make -Aquasol, Model -AE 201</t>
  </si>
  <si>
    <t>15/10/2024</t>
  </si>
  <si>
    <t>Providing of 10Kg pressure 32mm OD UPVC pipe for Nozzles fixing on water body. For Door Darshan Waterbody - Supreme /Prince</t>
  </si>
  <si>
    <t>UP/000085/24-25</t>
  </si>
  <si>
    <t>Providing of 10Kg pressure 32mm UPVC Socket for Cantilever Waterbody - Supreme /Prince</t>
  </si>
  <si>
    <t>Providing of 10Kg pressure 32mm UPVC MTA for Door darshan (70)+ Cantilever (15) Waterbody - Supreme /Prince</t>
  </si>
  <si>
    <t xml:space="preserve">Providing of 10Kg pressure 32mm Ball Valve UPVC for Cantilever Waterbody - Supreme /Prince </t>
  </si>
  <si>
    <t>Providing of Brass Foam Jet Nozzle 3/4'' 40mm for Door darshan waterbody</t>
  </si>
  <si>
    <t xml:space="preserve">Providing of 10Kg pressure 40mm Ball Valve UPVC for EYE (70)+ Door darshan (70) Cascade Waterbody - Supreme /Prince </t>
  </si>
  <si>
    <t>Providing of 10Kg pressure 40mm UPVC MTA for Eye Waterbody - Supreme /Prince</t>
  </si>
  <si>
    <t>Providing of 10Kg pressure 40mm/32mm Bush UPVC for Door darshan Waterbody - Supreme /Prince</t>
  </si>
  <si>
    <t>Providing of Heavy-Duty solvent for all Waterbody - Supreme /Prince</t>
  </si>
  <si>
    <t>Providing of 10Kg pressure 40mm OD UPVC pipe for Nozzles fixing on water body for Cantilever Waterbody - Supreme /Prince</t>
  </si>
  <si>
    <t>Providing of Submersible Cable 1.5 sqmm 4 Core for replacing of lighting damage wire - Havells/Polycab/RR</t>
  </si>
  <si>
    <t>Installation of 32mm , 40 mm UPVC pipe &amp; Fittings for making nozzles connections including breaking and proper repair of existing pit as per site requirement with all necessary fittings, cutting , grinding etc. for Cascade Water body</t>
  </si>
  <si>
    <t>UP/000102/24-25</t>
  </si>
  <si>
    <t>Installation of Submersible Cable 1.5 sqmm 4 Core for replacing of lighting damage wire</t>
  </si>
  <si>
    <t>Providing of 10Kg pressure 40mm UPVC Socket for Waterbodies - Supreme /Prince</t>
  </si>
  <si>
    <t>( AG15 ) HCL TECHNOLOGIES LIMITED</t>
  </si>
  <si>
    <t>Supply &amp; Installation of Chimney with 5 mtr flexible duct and connecting with Building Return air Shaft,Make:Crompton/Hindware</t>
  </si>
  <si>
    <t>UP/000087/24-25</t>
  </si>
  <si>
    <t>Supply of 2.5 X 3C Cu. flexible cable - Polycab</t>
  </si>
  <si>
    <t>UP/000083/24-25</t>
  </si>
  <si>
    <t xml:space="preserve">Laying of 2.5 X 3 core flexible cable under ceiling, under wooden partition or under floor </t>
  </si>
  <si>
    <t>UP/000151/24-25</t>
  </si>
  <si>
    <t>20/02/2025</t>
  </si>
  <si>
    <t>Supply and laying pvc conduit pipe 20 mm under ceiling and under wooden paneling</t>
  </si>
  <si>
    <t>122/24.10.24</t>
  </si>
  <si>
    <t>Gypsum cutting and refixing</t>
  </si>
  <si>
    <t>Wooden paneling cutting and refixing</t>
  </si>
  <si>
    <t>Removing of laminate on wooden paneling</t>
  </si>
  <si>
    <t>Providing and pesting with adhesive of 1 mm laminate as existing Color and design as market availability</t>
  </si>
  <si>
    <t>Chasing of floors and repairing after laying conduit pipe</t>
  </si>
  <si>
    <t xml:space="preserve">Providing and fixing 6 Amp power point socket and switch 2+1 with cutting of wooden paneling on wall </t>
  </si>
  <si>
    <t>17/10/2024</t>
  </si>
  <si>
    <t>Supply of 3 core * 1.5 Sq mm Cu. Flexible cable</t>
  </si>
  <si>
    <t>UP/000082/24-25</t>
  </si>
  <si>
    <t>Supply and fixing 6A combined box</t>
  </si>
  <si>
    <t>Laying of 3 core * 1.5 Sq mm Cu. Flexible cable</t>
  </si>
  <si>
    <t>Supply and fixing 20 mm PVC conduit pipe with accessories</t>
  </si>
  <si>
    <t>121/24.10.24</t>
  </si>
  <si>
    <t>Supply &amp; Shifting and Installation of SINTEX RENO WHITE, 5000 litres, white with Cutting and welding of MS structure and chakkar plate &amp; Dismantling and refixing of motor and Gear box</t>
  </si>
  <si>
    <t>134/17.10.24</t>
  </si>
  <si>
    <t>UP/000101/24-25</t>
  </si>
  <si>
    <t>21/10/2024</t>
  </si>
  <si>
    <t>Providing and fixing Hose Box</t>
  </si>
  <si>
    <t>151/30.11.24</t>
  </si>
  <si>
    <t>UP/000145/24-25</t>
  </si>
  <si>
    <t>19/2/2024</t>
  </si>
  <si>
    <t>21/01/2025</t>
  </si>
  <si>
    <t>Providing and fixing Four Way Inlet Breaching Application</t>
  </si>
  <si>
    <t>Providing and fixing Butterfly valve 100mm</t>
  </si>
  <si>
    <t>173/27.12.24</t>
  </si>
  <si>
    <t xml:space="preserve">Providing and fixing NRV 100mm </t>
  </si>
  <si>
    <t>Providing and fixing Butterfly valve 80mm</t>
  </si>
  <si>
    <t>80mm</t>
  </si>
  <si>
    <t>Providing and fixing MS pipe C class  (100mm)</t>
  </si>
  <si>
    <t>100mm</t>
  </si>
  <si>
    <t>Providing and fixing MS pipe C class  (80mm)</t>
  </si>
  <si>
    <t>Providing and fixing MS Bands C class 80mm</t>
  </si>
  <si>
    <t>Providing and fixing MS Bands C class 100mm</t>
  </si>
  <si>
    <t>Old pipe dismantling 80 mm &amp; 100mm</t>
  </si>
  <si>
    <t>Providing and fixing scaffolding on rental basis</t>
  </si>
  <si>
    <t>Providing and fixing not bolt</t>
  </si>
  <si>
    <t>( AM07 ) HCL TECHNOLOGIES LIMITED - Mumbai</t>
  </si>
  <si>
    <t>ULTRALIFE- 9 V lithium battery (U9VL-J-P 1200mAh)</t>
  </si>
  <si>
    <t>UP/000089/24-25</t>
  </si>
  <si>
    <t>750ml Multipurpose expandable PU foam insulation sealant spray for window, door, AC gaps etc</t>
  </si>
  <si>
    <t xml:space="preserve">Supply of Led HIGHBAY BY515 LED150S - Philips </t>
  </si>
  <si>
    <t>UP/000096/24-25</t>
  </si>
  <si>
    <t>21/11/2024</t>
  </si>
  <si>
    <t>Supply of 25MM PVC PIPE - Standard - Roll</t>
  </si>
  <si>
    <t>Roll</t>
  </si>
  <si>
    <t xml:space="preserve">Supply of 25MM PVC Band - Standard </t>
  </si>
  <si>
    <t>Supply of 25mm Pvc Junction Box - Standard</t>
  </si>
  <si>
    <t>Supply of 40mm Pvc Pipe - Standard</t>
  </si>
  <si>
    <t>Supply of 40mm Pvc Band Pipe</t>
  </si>
  <si>
    <t>Supply of 40mm Pvc Junction Box</t>
  </si>
  <si>
    <t>Supply of 400mm Cable Tie</t>
  </si>
  <si>
    <t>Supply of 8mm Fastener</t>
  </si>
  <si>
    <t>Supply of 10mm Fastener</t>
  </si>
  <si>
    <t>Supply of Mcb 1 Pole 25A,- make:ABB</t>
  </si>
  <si>
    <t>Supply of Mcb 4 Pole 40A y, make: ABB</t>
  </si>
  <si>
    <t>Supply of DB 8-way SPN Single Door, make:ABB/L&amp;T</t>
  </si>
  <si>
    <t>Supply of Wire 3C x 2.5 sqmm, make: Havells /KEI</t>
  </si>
  <si>
    <t>Supply of Wire 4C x 6 sqmm, make: Havells /KEI</t>
  </si>
  <si>
    <t xml:space="preserve">Installation of 25mm Pvc Pipe </t>
  </si>
  <si>
    <t>UP/000122/24-25</t>
  </si>
  <si>
    <t>20/12/2024</t>
  </si>
  <si>
    <t xml:space="preserve">Installation of 40mm Pvc Pipe </t>
  </si>
  <si>
    <t>Installation of Wire 3Cx2.5 sqmm</t>
  </si>
  <si>
    <t>Installation of Wire 4Cx6 sqmm</t>
  </si>
  <si>
    <t>Accessories for Highbay &amp; pipes</t>
  </si>
  <si>
    <t>Installation of  Led HIGHBAY BY515 LED150S - Philips</t>
  </si>
  <si>
    <t>Hand Spray Set - Jaquar Chr-573</t>
  </si>
  <si>
    <t>UP/000091/24-25</t>
  </si>
  <si>
    <t>Water Tap Sensor - Jaquar - Zsn-Chr-089</t>
  </si>
  <si>
    <t>Solenoid Valve - Jaquar Chr-032</t>
  </si>
  <si>
    <t>Water Tap Sensor - U-tech UT-29B</t>
  </si>
  <si>
    <t>UP/000121/24-25</t>
  </si>
  <si>
    <t>PPM Kit - Aquasol AE 201</t>
  </si>
  <si>
    <t>Solenoid Valve - Jaquar ZSN-Chr-017</t>
  </si>
  <si>
    <t>Angle Valve - Jaquar MQT-526 two way</t>
  </si>
  <si>
    <t>Ball Cock - Geberit 245.426.00.1</t>
  </si>
  <si>
    <t>Syphon - Geberit 242.634.001</t>
  </si>
  <si>
    <t>Sink Cock - Jaquar FLR-CHR-5357N</t>
  </si>
  <si>
    <t>Dismantling of existing 35*4 core cable in underground</t>
  </si>
  <si>
    <t>UP/000099/24-25</t>
  </si>
  <si>
    <t>Cable laying</t>
  </si>
  <si>
    <t xml:space="preserve">Normal soil digging and re filled for cable laying dip 8 to 10 inch </t>
  </si>
  <si>
    <t>07/11/20204</t>
  </si>
  <si>
    <t>( AG12 ) HCL TECHNOLOGIES LIMITED - Sector-8, Gurgaon</t>
  </si>
  <si>
    <t>Charges for Installation, Testing commissioning of 15KVA DG set at Manesar campus</t>
  </si>
  <si>
    <t>Transportation charges for 15KVA DG Set &amp; Exhaust pipe from A8/9 Sector- 60 Noida to Manesar with unloading and shifting with hydra crane or heavy labor</t>
  </si>
  <si>
    <t>Supply and fixing of Changeover Switch 4 Pole 63 Amp 415 Volt (make-Havells/ABB/L&amp;T)</t>
  </si>
  <si>
    <t>UP/000128/24-25</t>
  </si>
  <si>
    <t xml:space="preserve">Supply and laying of 16MM 4core Cu flexible cable from EB panel to change over switch (make-polycab/havells) </t>
  </si>
  <si>
    <t>Supply and laying of 6sqmm single core flexible wire for earthing(make-polycab/havells) Green Color</t>
  </si>
  <si>
    <t>Installation &amp; Connection work for DB provided by HCL (for DG Power distribution )</t>
  </si>
  <si>
    <t xml:space="preserve">Supply and laying of 4MM 3core CU flexible wire for power supply distribution from DG DB to T-A, T-B, Training block &amp; café and outer lighting (make-polycab/havells) </t>
  </si>
  <si>
    <t>Supply and laying of 6MM 4core Cu flexible cable from DG to Raw water pump (make-polycab/havells) Mtrs 150</t>
  </si>
  <si>
    <t>Supply of 16/20 industrial socket IP-44,make: Neptune</t>
  </si>
  <si>
    <t>UP/000097/24-25</t>
  </si>
  <si>
    <t>23/11/2024</t>
  </si>
  <si>
    <t xml:space="preserve">Installation of 16/20 industrial socket </t>
  </si>
  <si>
    <t>UP/000098/24-25</t>
  </si>
  <si>
    <t>Supply of Product Name: 50 Hz Single Phase Duct Inline Fan, 220 V, Capacity(Air Volume): 3300 cfm SGBF-33 ( make vent model vsm 315)</t>
  </si>
  <si>
    <t>Installation of Duct Inline Fan with required material</t>
  </si>
  <si>
    <t xml:space="preserve">Providing and Making Jindal Colour Coated Metro Sheet with required material- angles, nut bolt and washer cover of inline fans </t>
  </si>
  <si>
    <t>Supply of 24W Octane Square 6500K (1X1) Led Panel (Metal Body) Ceiling - Philips</t>
  </si>
  <si>
    <t>UP/000111/24-25</t>
  </si>
  <si>
    <t xml:space="preserve">Supply of Copper 1.5mm x3C cu flexible cables, make:Havells/Polycab - Havells/Polycab </t>
  </si>
  <si>
    <t>Installation of Philips 24W Octane Square 6500K (1X1) lights with cutting of gypsum board</t>
  </si>
  <si>
    <t>UP/000150/24-25</t>
  </si>
  <si>
    <t xml:space="preserve">Laying of Copper Cable 1.5mm X3C cu flexible cables </t>
  </si>
  <si>
    <t xml:space="preserve">Supply and fixing 25 mm conduit pipe - Mtr - Standard </t>
  </si>
  <si>
    <t>Repairing of lights hole with gypsum sheet 4 feet X 6 inches- Havells</t>
  </si>
  <si>
    <t>0158/05.12.24</t>
  </si>
  <si>
    <t xml:space="preserve">Providing and applying Enamel paint with minor repairing 2 or more coat, make:Asian/Royal - Asian/Royal </t>
  </si>
  <si>
    <t>Bucket</t>
  </si>
  <si>
    <t>0162/13.12.24</t>
  </si>
  <si>
    <t>Providing and applying Plastic paint 2 or more coat with minor repairing, make:Asian/Royal - Asian/Royal</t>
  </si>
  <si>
    <t xml:space="preserve">Providing Fixing &amp; Dismantling of Gypsum Sheet in Ceiling Defective and damage area </t>
  </si>
  <si>
    <t>Dismantling of existing lights</t>
  </si>
  <si>
    <t>( AN43 ) HCL TECHNOLOGIES LIMITED Sec-144</t>
  </si>
  <si>
    <t>Supply of 250A MCCB 36KV (CVS250F 6.2 250A 3P) Make: Schneider</t>
  </si>
  <si>
    <t>Supply of Motor Mechanism (220 240V 50 60HZ 208 277V 60 HZ MT250) Make: Schneider</t>
  </si>
  <si>
    <t>Supply of UV Release (MX 220-240V50/60HZ 208-277V60HZ SHT) Make: Schneider</t>
  </si>
  <si>
    <t>Supply of Closing Coil (MN 220-240V50/60HZ 208-277V60HZ UVR) Make: Schneide</t>
  </si>
  <si>
    <t>Supply of Spreader Make: L&amp;T/ABB</t>
  </si>
  <si>
    <t>Installation Charges</t>
  </si>
  <si>
    <t>13/11/2024</t>
  </si>
  <si>
    <t>Service charges for Fabrication of 3 inches C class MS pipe cutting and fixing for 29 different locations</t>
  </si>
  <si>
    <t>UP/000148/24-25</t>
  </si>
  <si>
    <t>19/2/2025</t>
  </si>
  <si>
    <t>Cutting and dismantling of rusted MS pipe</t>
  </si>
  <si>
    <t>Service charges for Fabrication of 100 X 100 mm C class MS square pipe</t>
  </si>
  <si>
    <t>Dismantling and cutting of 100 X 100 mm rusted pipe</t>
  </si>
  <si>
    <t>Loading unloading of MS pipe ground floor to Chiller plant top floor and old unloading and shifting to scrap yard</t>
  </si>
  <si>
    <t>Supply and applying Enamel primer and paint on new MS structures</t>
  </si>
  <si>
    <t>169/18.12.24</t>
  </si>
  <si>
    <t>GST 0%</t>
  </si>
  <si>
    <t>Supply &amp; assembling of MS lighting arrestor with nut bolts</t>
  </si>
  <si>
    <t>Installation of lighting arrestor to MS pole with req - material(pole in HCL scope)</t>
  </si>
  <si>
    <t>14/11/2024</t>
  </si>
  <si>
    <t>176/03.01.25</t>
  </si>
  <si>
    <t>UP/000147/24-25</t>
  </si>
  <si>
    <t>PVC Elbow ( 10 KG ) Heavy</t>
  </si>
  <si>
    <t>PVC Tee (10 kg) pressure</t>
  </si>
  <si>
    <t>9+11</t>
  </si>
  <si>
    <t>176/177</t>
  </si>
  <si>
    <t>PO 30 nos</t>
  </si>
  <si>
    <t>PVC Socket 200mm - Finolex / Astral / Supreme</t>
  </si>
  <si>
    <t>PVC Solvent 473ml - Standard</t>
  </si>
  <si>
    <t>Providing and laying PCC approx 2x2 feet (2 x 2 feet)</t>
  </si>
  <si>
    <t>Supply of 2.5 mm 3 core cu flexible cable - Polycab</t>
  </si>
  <si>
    <t>157/04.12.24</t>
  </si>
  <si>
    <t>UP/000143/24-25</t>
  </si>
  <si>
    <t>Supply and fixing of 16A 1+1 switch socket complete power outlets point - Anchor/Legrand/Havells</t>
  </si>
  <si>
    <t>Cable laying under acp ceiling with require conduit pipe and pvc batten</t>
  </si>
  <si>
    <t>Mist fan installation with suitable angle fasteners</t>
  </si>
  <si>
    <t>Wall Mounted 28-inch Water Mist Fan with 10L Water Tank - Generic</t>
  </si>
  <si>
    <t>UP/000115/24-25</t>
  </si>
  <si>
    <t>Supply &amp; Installation of 100mm butterfly valve</t>
  </si>
  <si>
    <t>168/18.12.24</t>
  </si>
  <si>
    <t>UP/000146/24-25</t>
  </si>
  <si>
    <t>Supply &amp; Installation of 150mm butterfly valve</t>
  </si>
  <si>
    <t>Supply &amp; Installation of 200mm butterfly valve</t>
  </si>
  <si>
    <t>Supply &amp; Installation of 50mm butterfly valve</t>
  </si>
  <si>
    <t>Supply &amp; Installation of 80mm butterfly valve</t>
  </si>
  <si>
    <t>Supply &amp; Installation of 80mm Ball valve (UPVC)</t>
  </si>
  <si>
    <t>Supply &amp; Installation of 100mm NRV</t>
  </si>
  <si>
    <t>Supply &amp; Installation of 50mm NRV</t>
  </si>
  <si>
    <t>Supply &amp; Installation of 80mm NRV</t>
  </si>
  <si>
    <t>Nut bolt</t>
  </si>
  <si>
    <t>25/11/2024</t>
  </si>
  <si>
    <t>LED Flood Light-100-Watt, Model no.- BVP175, Make- Phillips</t>
  </si>
  <si>
    <t>UP/000127/24-25</t>
  </si>
  <si>
    <t>Led pole Light 36-Watt, Model- BRP409, Make- Phillips</t>
  </si>
  <si>
    <t>Pedestal Lock, Make- Ebco</t>
  </si>
  <si>
    <t>Extension Board 16 amp, Make - Anchor/Havells/Girish/Smax</t>
  </si>
  <si>
    <t>Extension Board 6 amp, Make- Anchor/Havells</t>
  </si>
  <si>
    <t>Storage unit lock - 22 MM, Make- Standard</t>
  </si>
  <si>
    <t>SS Drawer Handle-4", Make- Standard</t>
  </si>
  <si>
    <t>Solar light Philips 20 Watt, Make-Phillips, Product Name &amp; Model- BRP049 LED 21 CW MR S2 12V GEL DIM Sola</t>
  </si>
  <si>
    <t>Supply and Installation of 3M frosted film</t>
  </si>
  <si>
    <t>149/30.11.24</t>
  </si>
  <si>
    <t>UP/000106/24-25</t>
  </si>
  <si>
    <t xml:space="preserve">STARTER PANEL FOR JET FANS Make -Reputed </t>
  </si>
  <si>
    <t>UP/000158/24-25</t>
  </si>
  <si>
    <t>21/2/2025</t>
  </si>
  <si>
    <t>SUPPLY OF 100X50X50X1.6MM POWDER COATED PERFORATED CABLE TRAY</t>
  </si>
  <si>
    <t>UP/000131/24-25</t>
  </si>
  <si>
    <t>15/1/2025</t>
  </si>
  <si>
    <t>SUPPLY OF 3.5CX50SQ.MM ALUMINIUM ARMOURED CABLE, MAKE- POLYCAB</t>
  </si>
  <si>
    <t>UP/000126/24-25</t>
  </si>
  <si>
    <t>SUPPLY OF 8CX2.5 SQ.MM COPPER FLEXIBLE CABLE, MAKE- POLYCAB</t>
  </si>
  <si>
    <t>CHARGES FOR THE INSTALLATION OF 100X50MM CABLE TRAY WITH GI THRED ROD, FARSHENERS, NUT BOLT AND HARDWARES COMPLETE AS REQUIRED</t>
  </si>
  <si>
    <t>181/10.1.25</t>
  </si>
  <si>
    <t>LAYING OF 3.5CX50SQ.MM ALUMINIUM ARMOURED CABLE</t>
  </si>
  <si>
    <t>LAYING OF 8CX2.5 SQ.MM COPPER FLEXIBLE CABLE END TERMINATIONS WITH DOUBLE COMPRESSION BRASS GLANDS, ALUMINIUM THIMBLES, INSULATION TAPES, NUT BOLT AND HARDWARES ETC</t>
  </si>
  <si>
    <t>SUPPLY AND MAKING OF 3.5CX50SQ.MM AL. ARMOURED CABLE END TERMINATIONS WITH DOUBLE COMPRESSION BRASS GLANDS, ALUMINIUM THIMBLES, INSULATION TAPES, NUT BOLT AND HARDWARES ETC</t>
  </si>
  <si>
    <t>SUPPLY AND MAKING OF 8CX2.5SQ.MM COPPER FLEXIBLE CABLE END TERMINATIONS WITH DOUBLE COMPRESSION PG GLANDS, COPPER THIMBLES, INSULATION TAPES, NUT BOLT AND HARDWARES ETC</t>
  </si>
  <si>
    <t>SUPPLY AND INSTALLATION OF PVC JUNCTION BOXES WITH CONNECTOR FOR JET FAN CONNECTIONS</t>
  </si>
  <si>
    <t xml:space="preserve">CHARGES FOR THE REPAIRING OF FAULTY JET FANS WITH DISMANTLING, REPAIRING AND RE INSTALALTION AFTER WORK COMPLETION COMPLETE AS REQUIRED </t>
  </si>
  <si>
    <t>Supply &amp; installation of Glass door floor spring machine Make-Dorma Model-BTS 75(180 Degree)</t>
  </si>
  <si>
    <t>0167/18.12.24</t>
  </si>
  <si>
    <t>UP/000137/24-25</t>
  </si>
  <si>
    <t>27/1/2025</t>
  </si>
  <si>
    <t>19/12/2024</t>
  </si>
  <si>
    <t>P/f of aluminium framed partition, Powder coated framing up to true ceiling, providing and fixing of toughened glass 10mm thick up to 300 mm below of false ceiling, powder coated aluminium caging of 6mm Dia mess, above the glaze partition up to false ceiling level. all the necessary fittings and fastener, all framing materials, silicon and providing and fixing of Frosted film as per existing patterns only. End to end framing will be measured and paid</t>
  </si>
  <si>
    <t>Partition to be fixed up to true ceiling level and well anchored with concrete ceiling slab. The cost to be considered for all the hardware, glass connector,</t>
  </si>
  <si>
    <t>Supply &amp; installation of fixed glazing of 12mm thick toughened glass glazing door fixed in extruded aluminium framing, glazing system door as per manufactural specification . The rate should be inclusive of all complete as per design and drawing. Toughened Glass ,Saint- Gobin or equivalent make, All the hardware, Patch fittings make Dorma XLC series. Frosted film to be included in the cost of glazed door. Size- ( 1000x2100mm)</t>
  </si>
  <si>
    <t>Removing and Fixing of Existing Grid fall ceiling after completion of partition wall work. Rate to include, alignments , providing and fixing of any hardware, ceiling framing material if required</t>
  </si>
  <si>
    <t>Providing and Covering the floor by Polythene sheet for protecting dust and paint dots, the job included covering and tapping in corners</t>
  </si>
  <si>
    <t>Gypsum partition: Meeting Room :Gypsum Partition to have 48kg/cum density glasswool with non-woven tissue facings filled inside the partition &amp; P&amp;F of 75 mm thick gypsum board partitions consisting single layer of tapered edge 12mm thick gypsum sheet one side and second side up to 8 feet 12mm thick mdf sheet and Natural Veneer Sheet rest aria with 12 mm gypsum sheet along with glass wool, 1200mm wide gypsum plaster board on both sides of GI stud with inside the partitions, having all verticals at a gap of 600mm, with screws fixed with dry wall screws of 25mm at 300 mm centres with joints scattered, 48mm metal studs to be (0.5 mm thk. having one knurled flange of 34 mm and with joints scattered and another knurled flange of 36mm fabricated from G.I. sheets) placed in 50mm floor and ceiling channels @ 600 mm centres, floor channel fixed to concrete soleplate, and ceiling channel fixed to ceiling. And make Gypsum Partition 8 X 8 feet made out by 6 mm toughened glass and 100X50 wooden Frame</t>
  </si>
  <si>
    <t xml:space="preserve">	
Providing and fixing of 12mm thick Toughened Glass door 2380 X 920 with new fitting OZONE make floor machine model no. 8400 and patch fittings and 25 mm round 18" ss finished H handle along with fixing charges</t>
  </si>
  <si>
    <t>Making of Wooden Panelling with Sun mica finish on Wall</t>
  </si>
  <si>
    <t>Providing and fixing Wooden bidding / melding polished for Wooden Partition</t>
  </si>
  <si>
    <r>
      <t xml:space="preserve">LED TV wiring With </t>
    </r>
    <r>
      <rPr>
        <sz val="9.5"/>
        <color rgb="FFFF0000"/>
        <rFont val="Calibri"/>
        <family val="2"/>
        <scheme val="minor"/>
      </rPr>
      <t>3 nos 6A socket with single 16A switch</t>
    </r>
  </si>
  <si>
    <r>
      <t xml:space="preserve">Providing and fixing </t>
    </r>
    <r>
      <rPr>
        <sz val="9.5"/>
        <color rgb="FFFF0000"/>
        <rFont val="Calibri"/>
        <family val="2"/>
        <scheme val="minor"/>
      </rPr>
      <t>Honeywell HDMI Cable v2.0 with Ethernet, 3D/4K@60Hz Ultra HD Resolution, 1.5 Mtr, 18 GBPS Transmission Speed, High-Speed, Compatible with all HDMI Devices Laptop Desktop TV Set-top Box Gaming</t>
    </r>
    <r>
      <rPr>
        <sz val="9.5"/>
        <color theme="1"/>
        <rFont val="Calibri"/>
        <family val="2"/>
        <scheme val="minor"/>
      </rPr>
      <t xml:space="preserve"> Console</t>
    </r>
  </si>
  <si>
    <r>
      <t xml:space="preserve">Providing and fixing </t>
    </r>
    <r>
      <rPr>
        <sz val="9.5"/>
        <color rgb="FFFF0000"/>
        <rFont val="Calibri"/>
        <family val="2"/>
        <scheme val="minor"/>
      </rPr>
      <t>Honeywell HDMI Cable v2.0 with Ethernet, 3D/4K@60Hz Ultra HD Resolution, 5 Mtr, 18 GBPS Transmission Speed, High-Speed, Compatible with all HDMI Devices Laptop Desktop TV Set-top Box Gaming Console</t>
    </r>
  </si>
  <si>
    <t>Providing and Applying of Melamine Polish</t>
  </si>
  <si>
    <t>Providing &amp; applying of 2 coat of Paint &amp; primer on gypsum Partitions walls including preparation of surface ,applying cement-primer of approved make etc</t>
  </si>
  <si>
    <t>Providing &amp; applying of 2 coat Wall Putty</t>
  </si>
  <si>
    <t>Making of Light Point with 4 Nos 6 Amp Switch with Wiring, Chasing</t>
  </si>
  <si>
    <t>Supply of Pasting of Floor Carpet</t>
  </si>
  <si>
    <t>Providing and fixing of wooden 100x50 mm chokhat frame 2380 X 920 mm</t>
  </si>
  <si>
    <t>Providing and fixing 6mm lacquered with 12 mm bord fixing with strd or silicon size 4x3 feet</t>
  </si>
  <si>
    <r>
      <t xml:space="preserve">Providing and fixing </t>
    </r>
    <r>
      <rPr>
        <sz val="9.5"/>
        <color rgb="FFFF0000"/>
        <rFont val="Calibri"/>
        <family val="2"/>
        <scheme val="minor"/>
      </rPr>
      <t>MX HDMI Female to HDMI Female Panel Mounting Connector, 1080p 4K Full HD Resolution Support Adapter Connector Panel Mount for Conference Rooms &amp; Home etc 2789 (Pack of 2)</t>
    </r>
  </si>
  <si>
    <t>Providing and fixing Wooden framing with polished for glass windows 3x1inch- RFT</t>
  </si>
  <si>
    <r>
      <t xml:space="preserve">Providing of </t>
    </r>
    <r>
      <rPr>
        <sz val="9.5"/>
        <color rgb="FFFF0000"/>
        <rFont val="Calibri"/>
        <family val="2"/>
        <scheme val="minor"/>
      </rPr>
      <t>Philips (RC380B 25-Watt) LED Recessed Full Glow Panel (2X2 Panel) (Cool Day Light)</t>
    </r>
  </si>
  <si>
    <t>Providing and fixing 6 Seater Conference table made out by MS Frame Base and 25mm thick PLPB / MDF board with Waterfall edge/Flat Edge 2mm thick PVC edge with sun mica finish top with 2 nos POP Up Box 3x1inch</t>
  </si>
  <si>
    <t>Providing of Conference Chair nos</t>
  </si>
  <si>
    <t>Other misc. job like, relocating the table, electrical modification of switch socket, dismantling and refixing of light fixtures or other services required if any</t>
  </si>
  <si>
    <t>Providing as Built Drawings in Autocad Format for complete floor after completion of works</t>
  </si>
  <si>
    <t>Providing and fixing of Fire Exit Plan Drawing with Pasting of 5 MM + 5 MM Sandwich Toughened Glass (Size 3' x 2.5')</t>
  </si>
  <si>
    <t>Samsung 138 cm (55 inches) D Series Crystal 4K Vivid Pro Ultra HD Smart LED TV UA55DUE77AKLXL (Black)</t>
  </si>
  <si>
    <t>26/12/2024</t>
  </si>
  <si>
    <t>( IN01 ) HCL TECHNOLOGIES LIMITED</t>
  </si>
  <si>
    <t>CABLE &amp; WIRING Polycab
Supply &amp; Laying of Cables to be fixed to walls, ceilings, on trays with suitable GI clamp at every 450 mm or to be laid in ready-made trench.All cables to be identified by metal tagging both the side with color sleeve at Termination areas.</t>
  </si>
  <si>
    <t>U2 nyvin cable</t>
  </si>
  <si>
    <t>UP/000125/24-25</t>
  </si>
  <si>
    <t>35 Sq. mm cu. Lug</t>
  </si>
  <si>
    <t>185Sq.mm Cu. Lug</t>
  </si>
  <si>
    <t>Gland for cable</t>
  </si>
  <si>
    <t>DC Gland</t>
  </si>
  <si>
    <t>Main panel for UPS output
Incomer- 400A 4P MCCB
Busbar- 4Ø, 50Hz, 433V, 400A TPN- Copper busbar
MFM with R.Y,B, ON, OFF, TRIP Indications at All incomer &amp; Outgoing feeders</t>
  </si>
  <si>
    <t>Earthing Tapes
25x6 GI Tapes with Necessary Accessories &amp; Hardware</t>
  </si>
  <si>
    <t>Disconnection &amp; removal of existing cables</t>
  </si>
  <si>
    <t>UP/000142/24-25</t>
  </si>
  <si>
    <t>Supply of 2.5 X 3C Cu. flexible cable, make:Polycab</t>
  </si>
  <si>
    <t>UP/000130/24-25</t>
  </si>
  <si>
    <t>14/1/2025</t>
  </si>
  <si>
    <t>Laying of 2.5 X 3 core flexible cable under ceiling, under wooden partition or under floor</t>
  </si>
  <si>
    <t>UP/000141/24-25</t>
  </si>
  <si>
    <t xml:space="preserve">Supply and laying pvc conduit pipe 20 mm under ceiling and under wooden paneling </t>
  </si>
  <si>
    <t>184/15.01.25</t>
  </si>
  <si>
    <t xml:space="preserve">Providing and pasting with adhesive of 1 mm laminate as existing Color and design as market availability </t>
  </si>
  <si>
    <t xml:space="preserve">Chiselling of floors and repairing after laying of conduit pipe </t>
  </si>
  <si>
    <t>Providing and fixing 6 Amp power point socket and switch 2+1,make:Anchor/Equivalent with cutting of wooden paneling on wall</t>
  </si>
  <si>
    <t>Fixing of B Class MS Pipe 2"</t>
  </si>
  <si>
    <t>Fixing of MS Band 2"</t>
  </si>
  <si>
    <t>Making hole in wall after laying of MS pipe and repairing as required (Specification: Cutting and making hole in wall of any thickness for laying 2" MS pipe, including all materials and labor for repairing with cement mortar (1:4 ratio), matching the original finish, and cleaning the site.)</t>
  </si>
  <si>
    <t>Hanging Clamp 2"-350,  Threaded Rod 8mm-50, Bullet Fastener 8mm, 4
Nut 8mm-8Kg, Washer-4Kg, Bolt 8mm-1Kg</t>
  </si>
  <si>
    <t>Nos/Kg</t>
  </si>
  <si>
    <t>187/24.1.25</t>
  </si>
  <si>
    <t>Core cutting in wall/floor for pipe installation (Specification: Core cutting of specified diameter (e.g., 2 inches or 50mm), depth as required, using appropriate machinery and ensuring a smooth finish.)</t>
  </si>
  <si>
    <t>Providing and applying red-oxide primer on MS pipe (Specification: Surface preparation of MS pipe (2" diameter or as specified) to remove rust, dust, and grease. Application of one coat of red-oxide primer (IS 2074 compliant)using a brush/spray for corrosion protection. Includes materials, labor, and tools.) - Mtr - Asian / Berger</t>
  </si>
  <si>
    <t>Providing and applying enamel paint on MS pipe (Specification: Surface preparation of MS pipe (2" diameter or as specified), followed by applying one coat of primer (red-oxide) and two coats of synthetic enamel paint of approved shade and finish using brush/roller/spray. Includes materials, labor, and tools.)</t>
  </si>
  <si>
    <t>Supply of MS Band 2" (Specification: MS Band suitable for 2" (50mm nominal bore) pipe, IS Standard compliant, welded/seamless, corrosion-resistant finish) - Jindal / Hissar</t>
  </si>
  <si>
    <t>UP/000134/24-25</t>
  </si>
  <si>
    <t>22/1/2025</t>
  </si>
  <si>
    <t>Supply of 2-inch (50mm nominal bore) B Class Mild Steel (MS) pipes, the following specifications are pertinent: Outer Diameter (OD): Approximately 60.3 mm Wall Thickness: Approximately 3.65 mm Weight per Meter: Approximately 5.10 kg - Jindal / Hissar</t>
  </si>
  <si>
    <t>17/01/2025</t>
  </si>
  <si>
    <t xml:space="preserve">Supply and Installation of 5 MM Acrylic Sheet with Alluminium Chanel (Size : 3' x 4') at Washroom Window </t>
  </si>
  <si>
    <t xml:space="preserve">Nos </t>
  </si>
  <si>
    <t>0200/17.3.25</t>
  </si>
  <si>
    <t>19/01/2025</t>
  </si>
  <si>
    <t>Cable laying 3 C*4 sqmm Cu. Flexible</t>
  </si>
  <si>
    <t>Cable laying 3 c*2.5 sqmm Cu. Flexible</t>
  </si>
  <si>
    <t>Dismantling the existing panel and relocated it as directed by site team</t>
  </si>
  <si>
    <t>Road cutting and repairing, including cutting asphalt/concrete surface to required width and depth, laying necessary conduits/cable, backfilling with approved material, compacting and restoring the surface to its original condition as per standard specification and local authority guidelines</t>
  </si>
  <si>
    <t>Excavation in normal soil to the required depth and width, including breaking clods, stacking excavated earth, and refilling the trench with approved material after laying pipes/cable, compacting in layers, and disposing of surplus earth as directed</t>
  </si>
  <si>
    <t>Supply of 3-core, 4 sq. mm Copper flexible cable, Stranded copper conductor, PVC insulated, PVC sheathed,450/750V rated Polycab</t>
  </si>
  <si>
    <t>UP/000135/24-25</t>
  </si>
  <si>
    <t>24/1/2025</t>
  </si>
  <si>
    <t>Supply of 3-core,2.5 sq. mm copper flexible cable stranded copper conductor, PVC insulated, PVC sheathed,450/750V rated Polycab</t>
  </si>
  <si>
    <t>Supply and fixing of 20mm HDPE pipe, PE 80 grade,PN-6 pressure rating, complete with all necessary accessories fittings, and clamps, as per IS4984 standards</t>
  </si>
  <si>
    <t>188/24.1.25</t>
  </si>
  <si>
    <t>( BG04 ) HCL TECHNOLOGIES LIMITED - Gurgaon</t>
  </si>
  <si>
    <t>Transportation Charges</t>
  </si>
  <si>
    <t>Ladies Checking Booth- Supply &amp; Fixing Size - 240x172x4 cm</t>
  </si>
  <si>
    <t>GST 18'%</t>
  </si>
  <si>
    <t>22/01/2025</t>
  </si>
  <si>
    <t>Supply and fabrication of 100X5 MS pati structures as existing design (Make-JINDAL, JSW, ESSAR, SAIL, RINL, LLYOD, POSCO, IMPORTED)</t>
  </si>
  <si>
    <t>194/21.2.25</t>
  </si>
  <si>
    <t>Dismantling and cutting of existing rusted MS Pati</t>
  </si>
  <si>
    <t>Shifting to new material ground floor to terrace of Cooling towers 2</t>
  </si>
  <si>
    <t>Shifting of old material from terrace cp 2 to scrap yard</t>
  </si>
  <si>
    <t>Supply and Applying Paint and primer on new structures (Make-Asian, Bugger, Deluxe)</t>
  </si>
  <si>
    <t>Paint-20L, Reoxide-10L, Tarpin 5L</t>
  </si>
  <si>
    <t>35 Ltr</t>
  </si>
  <si>
    <t>195/24.02.25</t>
  </si>
  <si>
    <t>Supply of Iron Scaffolding Rental base as require for work</t>
  </si>
  <si>
    <t>All joint re-filling of CI/PVC pipes, ensuring proper sealing and durability, including material and labor charges</t>
  </si>
  <si>
    <t>Civil work including dismantling of wall, floor, RCC cutting, and repair as per site requirements, ensuring proper finishing</t>
  </si>
  <si>
    <t>Gypsum cutting and repairing, including removal of damaged sections, reinstallation, and finishing as per site requirements</t>
  </si>
  <si>
    <t>Providing and applying plastic paint, including surface preparation, primer, and final coats, as per the required color and finish</t>
  </si>
  <si>
    <t>30/01/2025</t>
  </si>
  <si>
    <t>3 core 2.5 sqmm copper flexible, Make- Polycab/ Havells</t>
  </si>
  <si>
    <t>UP/000139/24-25</t>
  </si>
  <si>
    <t>14/2/2025</t>
  </si>
  <si>
    <t>3 core 1.5 sqmm copper flexible, Make- Polycab/ Havells</t>
  </si>
  <si>
    <t>4 core 6 sqmm copper flexible, Make- Polycab/ Havells</t>
  </si>
  <si>
    <t xml:space="preserve">
Battery Water-5ltr.</t>
  </si>
  <si>
    <t>Tape, Make- Steelgrip, Model- Red, Blue, Black, yellow, Green</t>
  </si>
  <si>
    <t>Led Strip Light, Make- Wipro, Model- D42865 (25 watt 5 Mtr strip with Driver), Warranty- 02years through OEM</t>
  </si>
  <si>
    <t>UP/000149/24-25</t>
  </si>
  <si>
    <t xml:space="preserve">
6 AmpTop, Make- Anchor</t>
  </si>
  <si>
    <t>16 Amp Top, Make- Anchor</t>
  </si>
  <si>
    <t>16Amp Combined Box, Make- Anchor</t>
  </si>
  <si>
    <t>Led Round light-15W, Make- Wipro, Model- DJ41565, Warranty- 02years through OEM</t>
  </si>
  <si>
    <t>6 Amp Electrical socket, Make- Crabtree</t>
  </si>
  <si>
    <t xml:space="preserve">
16 Amp Electrical socket, Make- Crabtree</t>
  </si>
  <si>
    <t>16 Amp Socket, Make- Honeywell</t>
  </si>
  <si>
    <t>Exhaust Fan, Make- Crompton, Model- 200 mmx200 mm, Warranty- 02years through OEM</t>
  </si>
  <si>
    <t>9W Down light, Make-Philips, Warranty- 02years through OEM</t>
  </si>
  <si>
    <t xml:space="preserve">
Gang Box, Make-Honeywell, Model- 8 modular</t>
  </si>
  <si>
    <t xml:space="preserve">
Modular Plate, Make- Opale, Model- 8 modular</t>
  </si>
  <si>
    <t>Hand Spray Set - Jaquar - Model Chr-573</t>
  </si>
  <si>
    <t>UP/000140/24-25</t>
  </si>
  <si>
    <t xml:space="preserve">
Water Tap Sensor - Jaquar - Model - Zsn-Chr-089</t>
  </si>
  <si>
    <t>Water Tap Sensor - Jaquar - ZSN-053</t>
  </si>
  <si>
    <t>Urinal Sensor - Jaquar ZSN-031</t>
  </si>
  <si>
    <t>CPVC Socket - Supreme 32 mm</t>
  </si>
  <si>
    <t xml:space="preserve">
CPVC Socket - Supreme 50 mm</t>
  </si>
  <si>
    <t>CPVC MTA - Supreme - 3/4x1/2"</t>
  </si>
  <si>
    <t>M-seal - Pidilite</t>
  </si>
  <si>
    <t>CPVC Tee - Supreme - 1/2"</t>
  </si>
  <si>
    <t xml:space="preserve">	
Urinal Adaptor - Toto - Output 3 Volt ( As per Sample)</t>
  </si>
  <si>
    <t>( IN04 ) HCL TECHNOLOGIES LIMITED</t>
  </si>
  <si>
    <t xml:space="preserve">	
Transportation Charges</t>
  </si>
  <si>
    <t>UP/000161/24-25</t>
  </si>
  <si>
    <t>Excavating manually earth / foundation in all kinds of soil, wet or dry to any depth, dressing and consolidating to attain required level as per the drawing and disposal of surplus earth category wise within the plot boundary as per requirement at site all complete as per direction of Engineer-in-charge</t>
  </si>
  <si>
    <t>Cum</t>
  </si>
  <si>
    <t>Providing and laying 100 mm PCC for the base support of Base Slab</t>
  </si>
  <si>
    <t>Providing and laying 100 mm M20 RCC for the base of Manhole</t>
  </si>
  <si>
    <t>Providing and laying 10-12 mm Reinforcement 150 mm c/c including cutting, bending etc.</t>
  </si>
  <si>
    <t>Providing and Laying 230 mm brick wall Man hole of the inside diameter of 600 mm at top and 1200 mm at bottom. Height of the manhole is 3 m. Cost also includes plastering of the manhole from inside and outside after mixing integral waterproofing compound in the mortar as per the standard</t>
  </si>
  <si>
    <t>Providing and Fixing 600 mm Round RCC Cover with Frame</t>
  </si>
  <si>
    <t>Providing and laying 315 mm 6 Kgf/cm2 PVC pipe including the fittings like sockets, elbows etc Make: Supreme</t>
  </si>
  <si>
    <t>RFT</t>
  </si>
  <si>
    <t>196/24.2.25</t>
  </si>
  <si>
    <t>Providing and haunching of the PVC Pipe</t>
  </si>
  <si>
    <t>Refilling of the Existing soil into the excavated area manually and compacting it in 200 mm layers</t>
  </si>
  <si>
    <t>Disposal of Surplus Soil out of site/ inside the premises (Tractor)</t>
  </si>
  <si>
    <t>Trip</t>
  </si>
  <si>
    <t>PO115/24-25/00065</t>
  </si>
  <si>
    <t>SSN INVESTMENTS (PONDI) PVT.LTD.</t>
  </si>
  <si>
    <t>Fixing of existing MS glinting with welding fabrication work with grouting also in scope</t>
  </si>
  <si>
    <t>13/2/2025</t>
  </si>
  <si>
    <t xml:space="preserve">
Supply of 150mm Dia MS Pipe C Class</t>
  </si>
  <si>
    <t>UP/000160/24-25</t>
  </si>
  <si>
    <t>24/2/2025</t>
  </si>
  <si>
    <t xml:space="preserve">
Supply of Wrapping Coating</t>
  </si>
  <si>
    <t>Supply of 150mm Dia Flange with Rubber Gasket and Bolt Nut.</t>
  </si>
  <si>
    <t xml:space="preserve">
Supply of L Angle Support 50/50mm</t>
  </si>
  <si>
    <t>Supply of 150mm Dia Elbow</t>
  </si>
  <si>
    <t>Supply of Square Plate 100/100mm with Anchor Fastener</t>
  </si>
  <si>
    <t xml:space="preserve">
Supply of 150mm Dia Butterfly Valve PN16 (Make - Aduco)</t>
  </si>
  <si>
    <t xml:space="preserve">
Supply of 150mm Dia U Bolt.</t>
  </si>
  <si>
    <t>Welding and Cutting Charges</t>
  </si>
  <si>
    <t>Installation and Transportation Charges</t>
  </si>
  <si>
    <t>14/02/2025</t>
  </si>
  <si>
    <t>UP/000144/24-25</t>
  </si>
  <si>
    <t>25/02/2025</t>
  </si>
  <si>
    <t>17/02/2025</t>
  </si>
  <si>
    <t>Supply of 25mm dia MS ball valve, make:Zoloto</t>
  </si>
  <si>
    <t>UP/000159/24-25</t>
  </si>
  <si>
    <t>Supply of 25mm dia MS nipple</t>
  </si>
  <si>
    <t xml:space="preserve">Supply of 25mm dia MS socket </t>
  </si>
  <si>
    <t>Supply of 12mm dia MS socket</t>
  </si>
  <si>
    <t>Supply of 25mm dia dummy plug</t>
  </si>
  <si>
    <t>Supply of 5/8X4" bolt &amp; nut</t>
  </si>
  <si>
    <t xml:space="preserve">Supply of thread balls </t>
  </si>
  <si>
    <t>Pack</t>
  </si>
  <si>
    <t xml:space="preserve">	
Supply of Holetite</t>
  </si>
  <si>
    <t>Supply of flow switch gasket (Neoprene rubber sheet 5mm)</t>
  </si>
  <si>
    <t>23/02/2025</t>
  </si>
  <si>
    <t>Dismantling of Existing Floor Tiles with Carefully removing existing tiles without damaging the underlying structure, including cleaning and disposal of debris</t>
  </si>
  <si>
    <t>Supplying and laying anti-skid ceramic tiles of size 1x1 ft., including cement mortar bedding, proper leveling, and joint grouting with matching color</t>
  </si>
  <si>
    <t>Cutting reinforced cement concrete (RCC) up to 6 inches depth for laying 100mm diameter PVC pipe, including reinforcement cutting and debris removal</t>
  </si>
  <si>
    <t>Supplying and installing 100mm diameter heavy-duty PVC pipe (ISI-marked) for drainage, including solvent jointing, proper slope adjustment, and secure fittings</t>
  </si>
  <si>
    <t>Providing &amp; Installing 100mm P-trap (PVC, ISI-marked) for proper drainage flow, including necessary fittings and leak-proof sealing</t>
  </si>
  <si>
    <t>Supplying and installing stainless steel (SS-304 grade) drain grating (6x6 inches) with anti-rust coating, including proper fitting and alignment</t>
  </si>
  <si>
    <t>Providing &amp; Laying 1:2:4 Micro Concrete over laid PVC pipe for protection and load-bearing capacity</t>
  </si>
  <si>
    <t>Cutting &amp; Making openings in masonry walls for pipe passage, including reinforcement cutting, proper sealing, and finishing with cement mortar/plaster on Wall</t>
  </si>
  <si>
    <t>Debris removal outside of premises</t>
  </si>
  <si>
    <t>Trolly</t>
  </si>
  <si>
    <t>( IN22 ) HCL TECHNOLOGIES LIMITED - SEZ Unit - V, Tower 6</t>
  </si>
  <si>
    <t>Supply and installation of 6" trolley wheel, including removal of old wheel, alignment, and securing with bolts/screws</t>
  </si>
  <si>
    <t>27/02/2025</t>
  </si>
  <si>
    <t>Supply of 100 mm Butterfly Valve, make: Zoloto</t>
  </si>
  <si>
    <t>Supply of 100mm NRV, make: Zoloto</t>
  </si>
  <si>
    <t xml:space="preserve">	
Supply of C class 100 mm MS Pipe, make: Jindal</t>
  </si>
  <si>
    <t xml:space="preserve">
Supply of 100mm MS Bands, make: Finolex/Astral/Suprem</t>
  </si>
  <si>
    <t>Supply of MS 100mm flange</t>
  </si>
  <si>
    <t xml:space="preserve">
Supply of Nut Bolt</t>
  </si>
  <si>
    <t xml:space="preserve">	
Dismantling of existing pumps with pipeline</t>
  </si>
  <si>
    <t>Cutting of RCC for making of main holes 2x2 feet</t>
  </si>
  <si>
    <t>Providing and fixing of heavy duty Cast Iron Man Hole cover</t>
  </si>
  <si>
    <t>Civil work as require repairing of Cutting and Dismantling area</t>
  </si>
  <si>
    <t>Repairing drain Jali with supply and fixing of 1.5"x1.5" angle, including civil works for dismantling and refixing</t>
  </si>
  <si>
    <t>Cutting welding and installation of Butterfly Valve, NRV and making of pumps hydrant</t>
  </si>
  <si>
    <t>Supply and fixing of 18mm plywood with Sunmica finish for a tab top of size 8' x 8' x 2'</t>
  </si>
  <si>
    <t>Supply and fixing of 18mm plywood with Sunmica finish for a tab top of size 9'/2'</t>
  </si>
  <si>
    <t>Supply and fixing of 3" NRV, make: Zoloto</t>
  </si>
  <si>
    <t>Supply and fixing of 3" Butterfly Valve, make: Zoloto</t>
  </si>
  <si>
    <t>Supply and fixing of 3" CPVC Flange, make: Finolex/Astral/Supreme</t>
  </si>
  <si>
    <t>Supply and fixing of 3" CPVC Pipe, make: Finolex/Astral/Supreme</t>
  </si>
  <si>
    <t>Making of Pump Hydrant Line with required accessories</t>
  </si>
  <si>
    <t>Supply of 150mm Dia Butterfly Valve PN16 (Make - Sant)</t>
  </si>
  <si>
    <t>Supply of 100mm Dia Butterfly Valve PN16 (Make - Sant)</t>
  </si>
  <si>
    <t>Supply of 150mm Dia Sluice Valve (Make - Sant)</t>
  </si>
  <si>
    <t>Supply of 50mm Dia Sprinkler Line Drain Valve (Make - HD Fire Protection)</t>
  </si>
  <si>
    <t>Supply of 5/8th Bolt, Nut &amp; Washer</t>
  </si>
  <si>
    <t>Transportation Charges if Any</t>
  </si>
  <si>
    <t>(AN08 ) HCL TECHNOLOGIES LIMITED</t>
  </si>
  <si>
    <t>Providing and fixing of 1000X400 18mm Table Top</t>
  </si>
  <si>
    <t>Providing and fixing of 6'X6" box type wooden frame with Sunmica finish</t>
  </si>
  <si>
    <t>Providing of HDMI Cable 5Mtr</t>
  </si>
  <si>
    <t>Supply and fixing of Power Point (2+1) + 1 USB Point all required wire and accessories</t>
  </si>
  <si>
    <t xml:space="preserve">Miscellaneous Work- Table dismantling and removing old electrical point and Installation as required
 	</t>
  </si>
  <si>
    <t>Supply &amp; fixing of 50mm butterfly valve, Make- Zoloto</t>
  </si>
  <si>
    <t>Supply &amp; Fixing of NRV 50mm flange type, make- Zoloto</t>
  </si>
  <si>
    <t>Nut bolts</t>
  </si>
  <si>
    <t>Supply &amp; fixing of 50mm C-Class MS pipe, make- Jindal/Hisar</t>
  </si>
  <si>
    <t>Supply &amp; fixing of 50mm MS flange, make- Standard</t>
  </si>
  <si>
    <t>Making of hydrant Includes cutting, welding, and installation of all supplied materials for creating hydrant points</t>
  </si>
  <si>
    <t>RCC cutting for pipe installation, performed using advanced cutting tools, ensuring a smooth and precise finish</t>
  </si>
  <si>
    <t>Repairing of PCC using cement mortar (1:4 ratio) after RCC cutting, ensuring a smooth finish matching the original structure</t>
  </si>
  <si>
    <t>Supply &amp; fixing of 100mm C-Class MS pipe, make- Jindal/Hisar</t>
  </si>
  <si>
    <t>Supply &amp; fixing of 50mm band, make- Jindal/Hisar</t>
  </si>
  <si>
    <t>Supply and applying primer and paint with Surface preparation, application of one coat of red-oxide primer, and two coats of synthetic enamel paint (Asian/Berger) for corrosion protection, make- (Asian/Berger)</t>
  </si>
  <si>
    <t>Dismantling of existing pumps and hydrant</t>
  </si>
  <si>
    <t>Charges for lifting and shifting of air washer units and replacement of damaged MS &amp; GI body parts depend on unit size</t>
  </si>
  <si>
    <t>Charges for supply and installation of a crompton 1.0HP monoblock pump depend on the pump model, location, labor, and fittings</t>
  </si>
  <si>
    <t>Charges for the supply and installation of a MS base stand for 15HP and 7.5HP air washer fan motor.</t>
  </si>
  <si>
    <t>Charges for painting the inner body of an air washer with aluminum paint</t>
  </si>
  <si>
    <t>Charges for providing and fixing a 150mm thick cellulose pad eliminator with approx 88-89% water distribution efficiency including GI sheet as required</t>
  </si>
  <si>
    <t>Supply of new Inline fan 200 mm with 01-year warranty, make/model- Vent/VSM 315</t>
  </si>
  <si>
    <t>Supply of Aluminum Flexible duct 200 mm, Make/model- Standard/NA</t>
  </si>
  <si>
    <t>Providing of Copper flexible Cable 4 Sqmm 3 Core, make- Polycab</t>
  </si>
  <si>
    <t>Providing of Grab bar 300mm, Make- Standard</t>
  </si>
  <si>
    <t>Providing of Exhaust fan heavy duty 12 inch with 01-year warranty, Make- Providing of Exhaust fan heavy duty 12 inch</t>
  </si>
  <si>
    <t>White Floor Mounted 300x300 Ceiling Diffuser</t>
  </si>
  <si>
    <t>Installation of Inline fan 200 mm</t>
  </si>
  <si>
    <t>Installation of Aluminum Flexible duct 200 mm</t>
  </si>
  <si>
    <t>Laying of Copper flexible Cable 4 Sqmm 3 Core</t>
  </si>
  <si>
    <t>Installation of Grab bar</t>
  </si>
  <si>
    <t>Installation of Exhaust fan 12 inch</t>
  </si>
  <si>
    <t>Gypsum cutting, refixing and painting of Trap door 2x2 feet</t>
  </si>
  <si>
    <t>Wall cutting for exhaust fan</t>
  </si>
  <si>
    <t>13/3/2025</t>
  </si>
  <si>
    <t>Hand Spray Set, Make/model- Jaquar/Chr-563</t>
  </si>
  <si>
    <t>Water Tap Sensor, make/model- Jaquar/Zsn-Chr-089</t>
  </si>
  <si>
    <t>Water Tap Sensor, make/model- Jaquar/Zsn-Chr-053</t>
  </si>
  <si>
    <t>Urinal Sensor, make/model- Jaquar/Zns-Chr-31</t>
  </si>
  <si>
    <t>Water Tap Solenoid Valve, make/model- Jaquar/Zsn-017</t>
  </si>
  <si>
    <t>CPVC Ball Valve, make/model- Supreme/32 m</t>
  </si>
  <si>
    <t>CPVC Brass Elbow, make/model- Supreme/1/2x1/2"</t>
  </si>
  <si>
    <t>CPVC Brass Elbow, make/model- Supreme/1/2x1/3"</t>
  </si>
  <si>
    <t>CPVC Elbow, make/model- Supreme/1/2"</t>
  </si>
  <si>
    <t>CPVC Elbow, make/model- Supreme/1/3"</t>
  </si>
  <si>
    <t>CPVC FTA, make/model- Supreme/1/2"</t>
  </si>
  <si>
    <t xml:space="preserve">CPVC FTA, make/model- Supreme/1/2x1/3" </t>
  </si>
  <si>
    <t>CPVC MTA, make/model- Supreme/1/2x1/3"</t>
  </si>
  <si>
    <t>CPVC MTA, make/model- Supreme/1x1/3"</t>
  </si>
  <si>
    <t xml:space="preserve">CPVC Ball Valve, make/model- Supreme/2" </t>
  </si>
  <si>
    <t>Hand Spray Set, make/model- Grohe/part no 26352000</t>
  </si>
  <si>
    <t>Urinal sensor, make/model- Toto/As per sample</t>
  </si>
  <si>
    <t>M-seal, make/model- Pidilite/NA</t>
  </si>
  <si>
    <t>CPVC Tee, make/model- Supreme/1/2"</t>
  </si>
  <si>
    <t>Urinal Adaptor, make/model- Toto/Output 3 Volt ( As per Sample)</t>
  </si>
  <si>
    <t>CPVC Elbow, make/model- Supreme/32 MM</t>
  </si>
  <si>
    <t>CPVC Elbow, make/model- Supreme/40 MM</t>
  </si>
  <si>
    <t>CPVC Elbow, make/model- Supreme/50 MM</t>
  </si>
  <si>
    <t>CPVC Elbow, make/model- Supreme/25 MM</t>
  </si>
  <si>
    <t>CPVC Elbow, make/model- Supreme/65 MM</t>
  </si>
  <si>
    <t xml:space="preserve">CPVC Elbow, make/model- Supreme/3" </t>
  </si>
  <si>
    <t>CPVC Elbow, make/model- Supreme/4"</t>
  </si>
  <si>
    <t>CPVC Tee, make/model- Supreme/32 MM</t>
  </si>
  <si>
    <t>CPVC Tee, make/model- Supreme/40 MM</t>
  </si>
  <si>
    <t>CPVC Tee, make/model- Supreme/50 MM</t>
  </si>
  <si>
    <t>CPVC Tee, make/model- Supreme/25 MM</t>
  </si>
  <si>
    <t>CPVC Tee, make/model- Supreme/65 MM</t>
  </si>
  <si>
    <t>CPVC Tee, make/model- Supreme/3"</t>
  </si>
  <si>
    <t>CPVC Tee, make/model- Supreme/4"</t>
  </si>
  <si>
    <t>CPVC Bush, make/model- Supreme/32 MM</t>
  </si>
  <si>
    <t>CPVC Bush, make/model- Supreme/40 MM</t>
  </si>
  <si>
    <t>CPVC Bush, make/model- Supreme/50 MM</t>
  </si>
  <si>
    <t>CPVC Bush, make/model- Supreme/25 MM</t>
  </si>
  <si>
    <t>CPVC Bush, make/model- Supreme/65 MM</t>
  </si>
  <si>
    <t>CPVC Bush, make/model- Supreme/ 3"</t>
  </si>
  <si>
    <t>CPVC Bush, make/model- Supreme/4"</t>
  </si>
  <si>
    <t xml:space="preserve">CPVC Flange, make/model- Supreme/2.5" </t>
  </si>
  <si>
    <t>CPVC Flange, make/model- Supreme/3"</t>
  </si>
  <si>
    <t>CPVC Flange, make/model- Supreme/4"</t>
  </si>
  <si>
    <t>CPVC Reducer, make/model- Supreme/32x15 MM</t>
  </si>
  <si>
    <t>CPVC Reducer, make/model- Supreme/40x15 MM</t>
  </si>
  <si>
    <t>CPVC Reducer, make/model- Supreme/50x20 MM</t>
  </si>
  <si>
    <t>CPVC Reducer, make/model- Supreme/25x20 MM</t>
  </si>
  <si>
    <t>CPVC Socket, make/model- Supreme/32 MM</t>
  </si>
  <si>
    <t>CPVC Socket, make/model- Supreme/40 MM</t>
  </si>
  <si>
    <t>CPVC Socket, make/model- Supreme/50 MM</t>
  </si>
  <si>
    <t>CPVC Socket, make/model- Supreme/65 MM</t>
  </si>
  <si>
    <t>CPVC Socket, make/model- Supreme/25MM</t>
  </si>
  <si>
    <t>17/03/2025</t>
  </si>
  <si>
    <t>Supply of 80mm Dia MS Pipe with 1 Coat yellow primer &amp; 2 Coat of single red paint</t>
  </si>
  <si>
    <t>Supply of 25mm Dia MS Pipe with 1 Coat yellow primer &amp; 2 Coat of single red paint</t>
  </si>
  <si>
    <t>Supply of 80mm Dia Elbow Heavy</t>
  </si>
  <si>
    <t>Supply of 25mm Dia Coller</t>
  </si>
  <si>
    <t>Supply of Flexible Pipe (Make - Tyco/Newage)</t>
  </si>
  <si>
    <t>Supply of 15mm Pendent type Sprinkler (Make - Tyco/Newage)</t>
  </si>
  <si>
    <t>Supply of Rosette Plate</t>
  </si>
  <si>
    <t>Supply of Accessories Reducer,Elbow,Pipeline Supporte,MS Flanges,Anchor Fastener &amp; Bolt Nut</t>
  </si>
  <si>
    <t>LS</t>
  </si>
  <si>
    <t>Supply of 80mm Dia Butterfly Valve (Make - Aduco)</t>
  </si>
  <si>
    <t>Commissioning and Installation Charges</t>
  </si>
  <si>
    <t>PO. No- 8100014714</t>
  </si>
  <si>
    <t>PO Date - 26/09/204</t>
  </si>
  <si>
    <t>Site- ( AP08 ) HCL Technologies Limited - pune</t>
  </si>
  <si>
    <t>Total Amount</t>
  </si>
  <si>
    <t>PO. No- 8100014733</t>
  </si>
  <si>
    <t>PO Date - 27/09/204</t>
  </si>
  <si>
    <t>Site- ( LL12 ) HCL TECHNOLOGIES LIMITED - Lucknow</t>
  </si>
  <si>
    <t>PO. No- 8100014734</t>
  </si>
  <si>
    <t>Site- ( LM05 ) HCL TECHNOLOGIES LIMITED - Nagpur</t>
  </si>
  <si>
    <t>PO. No-8100014735</t>
  </si>
  <si>
    <t>Site- ( IG06 ) HCL TECHNOLOGIES LIMITED- Dundahera</t>
  </si>
  <si>
    <t>PO. No-8600050183</t>
  </si>
  <si>
    <t>PO Date - 30/09/204</t>
  </si>
  <si>
    <t>Site- ( AN04 ) HCL TECHNOLOGIES LIMITED</t>
  </si>
  <si>
    <t>PO. No-8600050184</t>
  </si>
  <si>
    <t>Windsock Dia 24 X Length 72 Double Layer Parachute Cloth Fluorescent Orange &amp; Green</t>
  </si>
  <si>
    <t>PO. No-8600050278</t>
  </si>
  <si>
    <t>PO Date - 03/10/204</t>
  </si>
  <si>
    <t>PO. No-8600050331</t>
  </si>
  <si>
    <t>PO Date - 04/10/204</t>
  </si>
  <si>
    <t>PO. No-9200123435</t>
  </si>
  <si>
    <t>Site- ( AN08 ) HCL TECHNOLOGIES LIMITED - Sector -60</t>
  </si>
  <si>
    <t>Providing and fixing butterfly valve 100mm</t>
  </si>
  <si>
    <t>Providing and fixing NRV 100mm</t>
  </si>
  <si>
    <t xml:space="preserve">	
Providing and fixing MS pipe C class  (100mm)</t>
  </si>
  <si>
    <t>PO. No-8500032967</t>
  </si>
  <si>
    <t>PO Date - 07/10/204</t>
  </si>
  <si>
    <t>PO. No-8500032985</t>
  </si>
  <si>
    <t>PO Date - 08/10/204</t>
  </si>
  <si>
    <t>PO. No-9200123698</t>
  </si>
  <si>
    <t>PO. No-8600050468</t>
  </si>
  <si>
    <t>PO Date - 09/10/204</t>
  </si>
  <si>
    <t>PO. No-8100014982</t>
  </si>
  <si>
    <t>PO Date - 15/10/204</t>
  </si>
  <si>
    <t>PO. No-9200124118</t>
  </si>
  <si>
    <t>Site- ( AG15 ) HCL TECHNOLOGIES LIMITED - Dundahera</t>
  </si>
  <si>
    <t>PO. No-8100015015</t>
  </si>
  <si>
    <t>PO Date - 16/10/204</t>
  </si>
  <si>
    <t>PO. No-8100015047</t>
  </si>
  <si>
    <t>PO Date - 17/10/204</t>
  </si>
  <si>
    <t>PO. No-9200124295</t>
  </si>
  <si>
    <t>Removing of exhaust pipe from sector-60 and installation the same at Manesar with required accessories complete the job</t>
  </si>
  <si>
    <t xml:space="preserve">Supply and installation of 25MM "C" class pipe for Diesel tank to DG set along with required accessories
</t>
  </si>
  <si>
    <t>UP/000164/24-25</t>
  </si>
  <si>
    <t>24/03/2025</t>
  </si>
  <si>
    <t>UP/000165/24-25</t>
  </si>
  <si>
    <t>24/3/2025</t>
  </si>
  <si>
    <t>UP/000167/24-25</t>
  </si>
  <si>
    <t>UP/000168/24-25</t>
  </si>
  <si>
    <t>25/3/2025</t>
  </si>
  <si>
    <t>205/25.3.25</t>
  </si>
  <si>
    <t>204/25.3.25</t>
  </si>
  <si>
    <t>198/11.3.25</t>
  </si>
  <si>
    <t>197/11.3.25</t>
  </si>
  <si>
    <t>Masking Tape, make/model- NA/25 MM</t>
  </si>
  <si>
    <t>UP/000170/24-25</t>
  </si>
  <si>
    <t>26/3/2025</t>
  </si>
  <si>
    <t>UP/000169/24-25</t>
  </si>
  <si>
    <t>26/03/2025</t>
  </si>
  <si>
    <t>Uploaded on 25.03.25</t>
  </si>
  <si>
    <t>Uploaded on 25.3.25</t>
  </si>
  <si>
    <t>25.03.25</t>
  </si>
  <si>
    <t>25.3.25</t>
  </si>
  <si>
    <t>25.03.2025</t>
  </si>
  <si>
    <t>28.03.2025</t>
  </si>
  <si>
    <t>28/03/2025</t>
  </si>
  <si>
    <t>10 KW Diesel engine Servicing charge with oil, oil filter, diesel filter, damage pipe etc</t>
  </si>
  <si>
    <t>10 KW Diesel Pump Servicing and repairing charge</t>
  </si>
  <si>
    <t>Ganga water pumps 5 hp and 10 hp servicing with greasing and replacement of gland</t>
  </si>
  <si>
    <t>Supply and Installation of 6.5 Ltr Diesel Tank</t>
  </si>
  <si>
    <t>209/28.3.25</t>
  </si>
  <si>
    <t>Ltr.</t>
  </si>
  <si>
    <t>210/28.3.25</t>
  </si>
  <si>
    <t>208/27.3.25</t>
  </si>
  <si>
    <t>Alu. Channel</t>
  </si>
  <si>
    <t>Honey comb pad</t>
  </si>
  <si>
    <t>206/26.3.25</t>
  </si>
  <si>
    <t>Cement, reta, badarpur</t>
  </si>
  <si>
    <t>Uploaded on 01.04.2025</t>
  </si>
  <si>
    <t>0002/01.04.25</t>
  </si>
  <si>
    <t>001/01.04.25</t>
  </si>
  <si>
    <t>03/01.04.25</t>
  </si>
  <si>
    <t>01.04.2025</t>
  </si>
  <si>
    <t>UP/000002/25-26</t>
  </si>
  <si>
    <t>UP/000001/25-26</t>
  </si>
  <si>
    <t>Uploaded 02.04.25</t>
  </si>
  <si>
    <t>Uploaded on 01.04.25</t>
  </si>
  <si>
    <t>Uploaded on 02.04.25</t>
  </si>
  <si>
    <t>SO/3202530197</t>
  </si>
  <si>
    <t>Mall Of India</t>
  </si>
  <si>
    <t>Supply Kent Oil Meter Analog Type Oval Gear Type Flanged End Size -80mm /3"</t>
  </si>
  <si>
    <t>Old fitting open dismantling and direction change then install again</t>
  </si>
  <si>
    <t>Freight Charge</t>
  </si>
  <si>
    <t>SO/12202429335</t>
  </si>
  <si>
    <t>Providing &amp; fixing 80mm dia diesel meter installation with matching flange, nut bolt, gasket</t>
  </si>
  <si>
    <t>Freight</t>
  </si>
  <si>
    <t>179/07.01.25</t>
  </si>
  <si>
    <t>UP/000162/24-25</t>
  </si>
  <si>
    <t>19/03/2025</t>
  </si>
  <si>
    <t>UP/000004/25-26</t>
  </si>
  <si>
    <t>011/05.4.25</t>
  </si>
  <si>
    <t>Uploaded on 08.04.25</t>
  </si>
  <si>
    <t>UP/000005/25-26</t>
  </si>
  <si>
    <t>UP/000006/25-26</t>
  </si>
  <si>
    <t>UP/000007/25-26</t>
  </si>
  <si>
    <t>Supply and Installation of 5 MM Acrylic Sheet with Alluminium Channel (Size : 3' x 4') at Washroom Window</t>
  </si>
  <si>
    <t>Supply, Making and fixing of RCC drain cover 450mm X 900mm X 100mm with 8 MM Dia-MS  Bars @ 100 MM C/C  MS Strips at outside and corners. Concrete Grade: M 25. with digging  of PCC in drain area for fixing of cover with smooth surface including civil work</t>
  </si>
  <si>
    <t>UP/000011/25-26</t>
  </si>
  <si>
    <t>UP/000010/25-26</t>
  </si>
  <si>
    <t>UP/000009/25-26</t>
  </si>
  <si>
    <t>UP/000012/25-26</t>
  </si>
  <si>
    <t>012/07.04.25</t>
  </si>
  <si>
    <t>UP/000013/25-26</t>
  </si>
  <si>
    <t>14/04/2025</t>
  </si>
  <si>
    <t>Towards charges for making book shelf (Size – 10*3 feet). Providing and fixing of book shelf making by 18 mm board and 1 mm laminate finished approx size 10 X 3 feet and hanging on wall as require to complete</t>
  </si>
  <si>
    <t>HR/000008/25-26</t>
  </si>
  <si>
    <t>Cancelled</t>
  </si>
  <si>
    <t>15/11.04.25</t>
  </si>
  <si>
    <t>Uploaded 15.04.2025</t>
  </si>
  <si>
    <t>Uploaded 17.04.2025</t>
  </si>
  <si>
    <t>20/17.4.25</t>
  </si>
  <si>
    <t>21/04/2025</t>
  </si>
  <si>
    <t>24/21.04.25</t>
  </si>
  <si>
    <t>Aluminium Channel</t>
  </si>
  <si>
    <t>22/21.04.25</t>
  </si>
  <si>
    <t>23/21.04.25</t>
  </si>
  <si>
    <t>25/21.04.25</t>
  </si>
  <si>
    <t>7 cpvc fittings</t>
  </si>
  <si>
    <t>Uploaded 22.04.2025</t>
  </si>
  <si>
    <t>Uploaded on 22.04.2025</t>
  </si>
  <si>
    <t>24/04/2025</t>
  </si>
  <si>
    <t>( LL03 ) HCL TECHNOLOGIES LIMITED - Lucknow</t>
  </si>
  <si>
    <t>For wet riser System - MS `C' Heavy class pipe 80 mm dia</t>
  </si>
  <si>
    <t>For wet riser System - MS `C' Heavy class pipe 150 mm dia RM 534</t>
  </si>
  <si>
    <t>RM</t>
  </si>
  <si>
    <t>SITC of 150 MM Butterfly</t>
  </si>
  <si>
    <t>Providing two coats of synthetic enamel paint of approved shade over a coat of primer. 80 mm dia RM 6 150 mm dia</t>
  </si>
  <si>
    <t>SITC of Support making with 40x40x5 mm angle, on Pedestal for the MS Pipe as required at site including civil work</t>
  </si>
  <si>
    <t>PO 534 RM</t>
  </si>
  <si>
    <t>UP/000016/25-26</t>
  </si>
  <si>
    <t>Urinal Sensor complete Set, make/model- Roca/ As per sample</t>
  </si>
  <si>
    <t>WC Fastener, make/model- Toto/As per sample</t>
  </si>
  <si>
    <t>Water Tap Sensor Lid, make/model- U-tech/As per sample</t>
  </si>
  <si>
    <t>Urinal sensor, make/model- Toto/ As per sample</t>
  </si>
  <si>
    <t>Urinal Solenoid Valve, make/model- Toto/ As per sample</t>
  </si>
  <si>
    <t>M-seal, make/model- Pidilite</t>
  </si>
  <si>
    <t>UPVC Socket, make/model- Supreme/Prince/ISI marked/90 MM</t>
  </si>
  <si>
    <t>UPVC Tee, make/model- Supreme/Prince/ISI marked/90 MM</t>
  </si>
  <si>
    <t>UPVC Elbow, make/model- Supreme/Prince/ISI marked/90 MM</t>
  </si>
  <si>
    <t>UPVC Bush, make/model- Supreme/Prince/ISI marked/110mm X 90mm</t>
  </si>
  <si>
    <t>UPVC Elbow, make/model- Supreme/Prince/ISI marked/90mm 45 degree</t>
  </si>
  <si>
    <t>UPVC Solvent, make/model- Supreme/Prince/ISI marked</t>
  </si>
  <si>
    <t>UPVC MTA, make/model- Supreme/Prince/ISI marked/40mm</t>
  </si>
  <si>
    <t>NRV, make/model- Standard/50 Mm</t>
  </si>
  <si>
    <t>UPVC Tee, make/model- Supreme/Prince/ISI marked/63 mm</t>
  </si>
  <si>
    <t>UPVC Elbow, make/model- Supreme/Prince/ISI marked/63 mm</t>
  </si>
  <si>
    <t>UPVC Bush, make/model- Supreme/Prince/ISI marked/63x50mm</t>
  </si>
  <si>
    <t>UPVC Ball valve, make/model- Supreme/Prince/ISI marked/63mm</t>
  </si>
  <si>
    <t>UPVC Elbow, make/model- Supreme/Prince/ISI marked/50 mm</t>
  </si>
  <si>
    <t>UPVC Tee, make/model- Supreme/Prince/ISI marked/50 mm</t>
  </si>
  <si>
    <t>UPVC Elbow, make/model- supreme/Prince/ISI marked- 110 mm</t>
  </si>
  <si>
    <t>UPVC Tee, make/model- Supreme/Prince/ISI marked/110 mm</t>
  </si>
  <si>
    <t>Suction Hose Pipe, make/model- Standard/40 mm 30 Feet Roll</t>
  </si>
  <si>
    <t>Hose MTA, make/model- standard/40mm</t>
  </si>
  <si>
    <t>Hot air blower/ heat gun, make/model- Bosch/NA</t>
  </si>
  <si>
    <t>28/04/2025</t>
  </si>
  <si>
    <t>Uploaded on 29.4.25</t>
  </si>
  <si>
    <t>Uploaded on 29.04.25</t>
  </si>
  <si>
    <t>Uploaded on 25.04.25</t>
  </si>
  <si>
    <t>Supply of 250 MM PVC Elbow</t>
  </si>
  <si>
    <t>Supply of 250 MM PVC Socket</t>
  </si>
  <si>
    <t>Supply, installation, and testing of 100 mm CPVC elbow, including cutting, cleaning, solvent cement application</t>
  </si>
  <si>
    <t>Supply, installation, and testing of 100 mm CPVC Socket, including cutting, cleaning, solvent cement application</t>
  </si>
  <si>
    <t>Supply, installation, and testing of 100 mm CPVC Tee, including cutting, cleaning, solvent cement application</t>
  </si>
  <si>
    <t>Supply, installation, and testing of 100 mm flange</t>
  </si>
  <si>
    <t>Supply and fixing of nut and bolt, including proper alignment, tightening</t>
  </si>
  <si>
    <t>Supply and applying CPVC solvent</t>
  </si>
  <si>
    <t>Supply, installation, and testing of 100 mm CPVC Pipe, including cutting, cleaning, solvent cement application</t>
  </si>
  <si>
    <t>Dismantling and re-fixing of existing pipes, valves, and water meter, including careful removal, cleaning, reinstallation, alignment, and leak testing</t>
  </si>
  <si>
    <t>Dismantling and fixing of 250 MM PVC Socket &amp; Elbow</t>
  </si>
  <si>
    <t>Providing, Making, and Fixing of MS Pigeon Locker Stand – Made from 50x50x5 MS angle frame, size 6 feet x 1.5 feet, height 4 inches, includes grinding, buffing</t>
  </si>
  <si>
    <t>Providing and Applying Deco Paint on Pigeon Lockers – Size 6 feet x 6 feet x 1.5 feet, inside and outside buffing and finishing, 1 coat red oxide primer and 2 coats</t>
  </si>
  <si>
    <t>UP/000019/25-26</t>
  </si>
  <si>
    <t>30/04/2025</t>
  </si>
  <si>
    <t>28/02.05.25</t>
  </si>
  <si>
    <t>27/02.05.25</t>
  </si>
  <si>
    <t>15/04/2025</t>
  </si>
  <si>
    <t>( LL01 ) HCL TECHNOLOGIES LIMITED -Lucknow</t>
  </si>
  <si>
    <t>SITC of copper strip including PVC sleeve &amp; other accessories(Length-3200mm, 25X5mmThk) Nos 2 with Installation</t>
  </si>
  <si>
    <t>SITC of copper strip including PVC sleeve &amp; other accessories(Length-1600mm, 25X5mmThk) Nos 14 with installation</t>
  </si>
  <si>
    <t>SITC of copper strip including PVC sleeve &amp; other accessories(Length-7320mm, 25X5mmThk) Nos 3 with installation</t>
  </si>
  <si>
    <t xml:space="preserve">SITC of copper strip including PVC sleeve &amp; other accessories(Length-4572mm, 25X5mmThk) Nos 2 with installation
 	</t>
  </si>
  <si>
    <t>SITC of copper strip including PVC sleeve &amp; other accessories(Length-4700mm, 50X5mmThk) Nos 1 with installation</t>
  </si>
  <si>
    <t>PO Amended</t>
  </si>
  <si>
    <t>PO - Amended</t>
  </si>
  <si>
    <t>Supply &amp; fixing of 200 MM Dia Water Flow Meter (Make: Kranti), Class B, ISI Marked, make- Kranti</t>
  </si>
  <si>
    <t>Supply &amp; fixing of 100 MM Dia Water Flow Meter (Make: Kranti), Class B, ISI Marked</t>
  </si>
  <si>
    <t>Supply &amp; fixing of 80 MM Dia Water Flow Meter (Make: Kranti), Class B, ISI Marked</t>
  </si>
  <si>
    <t>Supply &amp; fixing of 200 MM Dia, 10 MM Thick MS Flange (PN16)</t>
  </si>
  <si>
    <t>Supply &amp; fixing of 100 MM Dia, 10 MM Thick MS Flange (PN16)</t>
  </si>
  <si>
    <t>Supply &amp; fixing of 80 MM Dia, 10 MM Thick MS Flange (PN16)</t>
  </si>
  <si>
    <t>Supply &amp; fixing of 80 MM Dia MS Elbow</t>
  </si>
  <si>
    <t>Supply &amp; Fixing of MS Nut &amp; Bolt with Washer (Size: M16 x 75 MM, Grade 8.8)</t>
  </si>
  <si>
    <t>UP/000022/25-26</t>
  </si>
  <si>
    <t>UP/000021/25-26</t>
  </si>
  <si>
    <t>Uploaded on 08.05.25</t>
  </si>
  <si>
    <t>31/13.05.25</t>
  </si>
  <si>
    <t>UP/000023/25-26</t>
  </si>
  <si>
    <t>13/5/2025</t>
  </si>
  <si>
    <t>32/13.05.25</t>
  </si>
  <si>
    <t>HCL CO./2025-26/03</t>
  </si>
  <si>
    <t>15/05/2025</t>
  </si>
  <si>
    <t>Service of Electrical Panels as per attached annexure-I</t>
  </si>
  <si>
    <t>Supply &amp; Installation of Electrical Panels as per attached annexure</t>
  </si>
  <si>
    <t>HCL Corporation Private Limited - 44, Friends Colony (East) New Delhi-110065</t>
  </si>
  <si>
    <t>Supply of 50 mm Ball Valve, make- Zoloto</t>
  </si>
  <si>
    <t>Supply of 50 mm GI Nipple, 2 feet length, make- Standard</t>
  </si>
  <si>
    <t>Supply of 50 mm GI Union, make- Standard</t>
  </si>
  <si>
    <t>Supply of 63 mm GI Nipple, 6 feet length, make- Standard</t>
  </si>
  <si>
    <t>Supply of 40 mm Ball Valve, make- Zoloto</t>
  </si>
  <si>
    <t>Supply of 32 mm Ball Valve, make- Zoloto</t>
  </si>
  <si>
    <t>Supply of 40 mm GI Nipple, 2 feet length, make- Standard</t>
  </si>
  <si>
    <t>Supply of 32 mm GI Nipple, 2 feet length, make- Standard</t>
  </si>
  <si>
    <t>Supply of 32 mm GI Union, make- Standard</t>
  </si>
  <si>
    <t>Supply of 32 mm GI Hex Nipple, make- Standard</t>
  </si>
  <si>
    <t>Supply of 50 mm Mild Steel (MS) Pipe–20 feet length, make- Jindal</t>
  </si>
  <si>
    <t>Supply of 50 mm Mild Steel (MS) Bend, make- Standard</t>
  </si>
  <si>
    <t>Creating 3 x 3 feet shaft openings and debris removal to basement (Labour + Disposal)</t>
  </si>
  <si>
    <t>Construction of brick wall to close shaft openings with materials included</t>
  </si>
  <si>
    <t>Plumbing installation charges for above items (critical shaft work with safety protection)</t>
  </si>
  <si>
    <t>Uploaded on 16.05.2025</t>
  </si>
  <si>
    <t>UP/000024/25-26</t>
  </si>
  <si>
    <t>14/5/2025</t>
  </si>
  <si>
    <t>UP/000025/25-26</t>
  </si>
  <si>
    <t>14/05/2025</t>
  </si>
  <si>
    <t>16/05/2025</t>
  </si>
  <si>
    <t>Supply and installation of 1st layer white tissue, 2nd layer perforated aluminum Jali, fixing with 25mm x3mm aluminum strip, shelf screw fastening, and complete finishing work</t>
  </si>
  <si>
    <t>UP/000026/25-26</t>
  </si>
  <si>
    <t>19/05/2025</t>
  </si>
  <si>
    <t>UP/000027/25-26</t>
  </si>
  <si>
    <t>19/5/2025</t>
  </si>
  <si>
    <t>UP/000028/25-26</t>
  </si>
  <si>
    <t>Supply of 200mm Dia Butterfly Valve PN16 (Make - Sant)</t>
  </si>
  <si>
    <t>Supply of 25 mm Dia Sprinkler Line Drain Valve (Make - Zoloto)</t>
  </si>
  <si>
    <t>Supply of 300mm Dia Sluice Valve (Make - Sant)</t>
  </si>
  <si>
    <t>Supply of Hose Box (Make - Safepro)</t>
  </si>
  <si>
    <t>Supply of Fire Hose (Make - Safepro)</t>
  </si>
  <si>
    <t>Supply of Pressure Gauge 0-15 Kgf/cm2 (Make - Delta)</t>
  </si>
  <si>
    <t>Supply of 25mm Dia GI Pipe (Make - Jindal C Class)</t>
  </si>
  <si>
    <t>Supply of 25mm Dia Elbow Heavy</t>
  </si>
  <si>
    <t>UP/000017/25-26</t>
  </si>
  <si>
    <t>25/04/2025</t>
  </si>
  <si>
    <t>UP/000030/25-26</t>
  </si>
  <si>
    <t>21/05/2025</t>
  </si>
  <si>
    <t>Cooling unit Make:- Oasis, Model No. M8CRSBFY</t>
  </si>
  <si>
    <t>SS FABRICATION FOR SHED HAVING DIMENSIONS 6’by 4’ thickness 1.2 mm Grade SS304</t>
  </si>
  <si>
    <t>50 LPH RO WITH 60 Ltrs HPT tank Make:- OASIS</t>
  </si>
  <si>
    <t>SO/5202531677</t>
  </si>
  <si>
    <t>20/05/2025</t>
  </si>
  <si>
    <t>Cushman &amp; Wakefield PMSI Pvt. Ltd. Mall Of India</t>
  </si>
  <si>
    <t>SITC of Hot Rolled maintenance free Copper Chemical earthing electrode 80mm dia,3mm thickness, Length- 3 meter</t>
  </si>
  <si>
    <t>SITC of Hot Rolled maintenance free Copper Chemical earthing electrode 50mm dia,3mm thickness, Length- 3 meter,</t>
  </si>
  <si>
    <t>SITC of Galvanized Iron maintenance free chemical earthing electrode 50mm dia, 3mm thickness, Length- 3 mtrs</t>
  </si>
  <si>
    <t>SITC 60/6 Copper Pati fixing with digging normal soil or pcc and connect with earthing to existing Pati and all complete as require metairial ss nut bolts</t>
  </si>
  <si>
    <t>SITC 25/3 Copper Pati fixing with digging normal soil or pcc and connect with earthing to existing Pati and all complete as require material ss nut bolts etc</t>
  </si>
  <si>
    <t>UP/000031/25-26</t>
  </si>
  <si>
    <t>22/5/2025</t>
  </si>
  <si>
    <t>UP/000020/25-26</t>
  </si>
  <si>
    <t>Uploaded on 26.05.2025</t>
  </si>
  <si>
    <t>Uploaded on 26.05.25</t>
  </si>
  <si>
    <t>42/26.05.25</t>
  </si>
  <si>
    <t>Uploaded 22.04.25</t>
  </si>
  <si>
    <t>189/30.01.25</t>
  </si>
  <si>
    <t xml:space="preserve">Providing and fixing of 4-inch PVC pipe with all required accessories for pantry exhaust system - Supreme/ Astral </t>
  </si>
  <si>
    <t>4" Band-5, Socket-4, M-seal-1 Kg, solvent 250ml</t>
  </si>
  <si>
    <t>UP/000032/25-26</t>
  </si>
  <si>
    <t>30/05/2025</t>
  </si>
  <si>
    <t>Supply and fixing of 80 mm MS C-Class pipe</t>
  </si>
  <si>
    <t>Supply and Installation of supporting arrangement as existing</t>
  </si>
  <si>
    <t>Supply and fixing of ACP with film Writing with night glow word (size-20X3.5feet)</t>
  </si>
  <si>
    <t>Supply and applying red-oxide and enamel paint, make: Asian/Berger</t>
  </si>
  <si>
    <t>Supply and installation of Air Pressure valve 25 mm (Air release valve) with welding work (AHU, Domestic line &amp; Flushing line)</t>
  </si>
  <si>
    <t>Supply and installation of 50mm Butterfly Valve with flange and welding work (Make-Zoloto) (Domestic line &amp; flushing line)</t>
  </si>
  <si>
    <t>Supply and installation of Butterfly valve 80 mm, NRV 80 mm as required complete with all accessories for Sump pump (Make-Zoloto)</t>
  </si>
  <si>
    <t>Supply and installation of Crompton make 5.5HP 3Phase Sump pump, Model- STPCS5.52, warranty-01 year</t>
  </si>
  <si>
    <t>47/03.06.25</t>
  </si>
  <si>
    <t>15 nos Aluminium Strip</t>
  </si>
  <si>
    <t>UP/000033/25-26</t>
  </si>
  <si>
    <t>Uploaded on 06.06.2025</t>
  </si>
  <si>
    <t>Uploaded on 06.06.25</t>
  </si>
  <si>
    <t>SO/5202531554</t>
  </si>
  <si>
    <t>33/14.05.2025</t>
  </si>
  <si>
    <t>500 VOLT METER 72MM 10 Nos 3000 WATT CVT TESTING CHARGING - 8 Nos</t>
  </si>
  <si>
    <t>Supply &amp; Instlattion of 8 Way TPN DB - TERRACE HVAC DB ( @ 43 colony)</t>
  </si>
  <si>
    <t>INCOMER - 32A 4P MCB "10kA" - TERRACE HVAC DB ( @ 43 colony)</t>
  </si>
  <si>
    <t>OUTGOING - 32A 4P MCB "10kA" - TERRACE HVAC DB ( @ 43 colony)</t>
  </si>
  <si>
    <t>OUTGOING - 32A DP MCB "10kA" - TERRACE HVAC DB ( @ 43 colony)</t>
  </si>
  <si>
    <t>OUTGOING - 25A SP MCB "10kA" - TERRACE HVAC DB ( @ 43 colony)</t>
  </si>
  <si>
    <t>OUTGOING - 16A SP MCB "10kA" - TERRACE HVAC DB ( @ 43 colony)</t>
  </si>
  <si>
    <t>POWER WIRING - Panel Wiring It Includes Wiring of above Mentioned  Switchgears With Copper wire, Thimbling Fourooling Pvc Taping &amp; Tieing etc. - TERRACE HVAC DB ( @ 43 colony)</t>
  </si>
  <si>
    <t>ACCESSORIES - Complete Accessorie Including nut bolts ,Thimble , ties ,Pvc tapes etc.Complete - - TERRACE
HVAC DB ( @ 43 colony)</t>
  </si>
  <si>
    <t>Supply of Bus Bar Panel, Enclosure CRCA Sheet Powder coated Fitted as Below, Double Door Front operated, Wall Mounted, Outdoor Installation of Panel,Completed With wiring / Bus bar etc. - OUTDOOR GARDEN PANEL - 1  ( @ 43 colony)</t>
  </si>
  <si>
    <t>INCOMER - 63A TP+NL  MCCB (Three Pole +External Neutral
Link)"10kA" With Thermal Magnetic Releases. - OUTDOOR GARDEN PANEL - 1  ( @ 43 colony)</t>
  </si>
  <si>
    <t>INCOMER -63A TP MCCB's Spreader Links - OUTDOOR GARDEN PANEL - 1 ( @ 43 colony)</t>
  </si>
  <si>
    <t>INCOMER -63A MCCB's Extended Rotary Handle - OUTDOOR GARDEN PANEL - 1 ( @ 43 colony)</t>
  </si>
  <si>
    <t>INCOMER -Phase Indicating  Lamp LED Type, Red -240Vac,- OUTDOOR GARDEN PANEL - 1 ( @ 43 colony)</t>
  </si>
  <si>
    <t>INCOMER -Phase Indicating  Lamp LED Type,Yellow -240Vac,</t>
  </si>
  <si>
    <t>INCOMER -Phase Indicating  Lamp LED Type, Blue -240Vac,- OUTDOOR GARDEN PANEL - 1 ( @ 43 colony)</t>
  </si>
  <si>
    <t>150A 4P Alluminium  Bus Bar - Bus Bar With Coloured  Heat Shrinkable  Insulated Sleeves According To Their Phase
Red Phase Having Red Sleeve, Yellow Phase Having Yellow Sleeve ,Blue Phase Having Blue Sleeve &amp;Neutral Having Black Sleeve, with Isolators Along With Nut Bolts.- OUTDOOR GARDEN PANEL - 1  ( @ 43 colony)</t>
  </si>
  <si>
    <t>OUTGOING - 32A 4P MCB "10kA" - OUTDOOR GARDEN PANEL - 1 ( @ 43 colony)</t>
  </si>
  <si>
    <t>OUTGOING - 32A DP MCB "10kA" - OUTDOOR GARDEN PANEL - 1 ( @ 43 colony)</t>
  </si>
  <si>
    <t>OUTGOING - 25A SP MCB "10kA" - OUTDOOR GARDEN PANEL - 1  ( @ 43 colony)</t>
  </si>
  <si>
    <t>OUTGOING - 16A SP MCB "10kA" - OUTDOOR GARDEN PANEL - 1 ( @ 43 colony)</t>
  </si>
  <si>
    <t>OUTGOING - 32A Three Phase Industrial Socket  ( On Front Door ) - OUTDOOR GARDEN PANEL - 1  ( @ 43 colony)</t>
  </si>
  <si>
    <t>OUTGOING - 16A Single Phase Industrial Socket  ( On Front Door ) - OUTDOOR GARDEN PANEL - 1  ( @ 43 colony)</t>
  </si>
  <si>
    <t>OUTGOING - 32A Single Phase Industrial Socket  ( On Front Door ) - OUTDOOR GARDEN PANEL - 1  ( @ 43 colony)</t>
  </si>
  <si>
    <t>OUTGOING - Power Connectors - OUTDOOR GARDEN PANEL - 1  ( @ 43 colony)</t>
  </si>
  <si>
    <t>POWER WIRING - Panel Wiring It Includes Wiring of above Mentioned  Switchgears With Copper wire, Thimbling Fourooling Pvc Taping &amp; Tieing etc. - OUTDOOR GARDEN PANEL - 1 
( @ 43 colony)</t>
  </si>
  <si>
    <t>CONTROL WIRING - Control Wiring It Includes Wiring of Indicators etc, with Copper Wire - OUTDOOR GARDEN
PANEL - 1  ( @ 43 colony)</t>
  </si>
  <si>
    <t>ACCESSORIES - Complete Accessorie Including nut bolts ,Thimble , ties ,Pvc tapes etc.Complete - OUTDOOR GARDEN PANEL - 1  ( @ 43 colony)</t>
  </si>
  <si>
    <t>Supply of Bus Bar Panel, Enclosure CRCA Sheet Powder coated Fitted as Below, Double Door Front operated, Floor Mounted, Outdoor Installation of Panel,Completed With wiring / Bus bar etc. - OUTDOOR GARDEN PANEL - 2  ( @ 43 colony)</t>
  </si>
  <si>
    <t>INCOMER - 63A TP+NL  MCCB (Three Pole +External Neutral Link)"10kA" With Thermal Magnetic Releases. - OUTDOOR
GARDEN PANEL - 2  ( @ 43 colony)</t>
  </si>
  <si>
    <t>INCOMER - 63A TP MCCB's Spreader Links - OUTDOOR GARDEN PANEL - 2  ( @ 43 colony)</t>
  </si>
  <si>
    <t>INCOMER - 63A MCCB's Extended Rotary Handle - OUTDOOR GARDEN PANEL - 2  ( @ 43 colony)</t>
  </si>
  <si>
    <t>INCOMER - Phase Indicating Lamp LED Type, Red -240Vac,- OUTDOOR GARDEN PANEL - 2  ( @ 43 colony)</t>
  </si>
  <si>
    <t>INCOMER - Phase Indicating Lamp LED Type,Yellow -240Vac,- OUTDOOR GARDEN PANEL - 2  ( @ 43 colony)</t>
  </si>
  <si>
    <t>INCOMER - Phase Indicating Lamp LED Type, Blue -240Vac, - OUTDOOR GARDEN PANEL - 2  ( @ 43 colony)</t>
  </si>
  <si>
    <t>150A 4P Alluminium  Bus Bar - Bus Bar With Coloured  Heat Shrinkable  Insulated Sleeves According To Their Phase
Red Phase Having Red Sleeve, Yellow Phase Having Yellow Sleeve ,Blue Phase Having Blue Sleeve &amp;Neutral Having Black Sleeve, with Isolators Along With Nut Bolts. - OUTDOOR GARDEN PANEL - 2  ( @ 43 colony)</t>
  </si>
  <si>
    <t>OUTGOING - 32A 4P MCB "10kA" - OUTDOOR GARDEN PANEL - 2  ( @ 43 colony)</t>
  </si>
  <si>
    <t>OUTGOING - 16A TP MCB "10kA" - OUTDOOR GARDEN PANEL - 2  ( @ 43 colony)</t>
  </si>
  <si>
    <t>OUTGOING - 32A DP MCB "10kA" - OUTDOOR GARDEN PANEL - 2  ( @ 43 colony)</t>
  </si>
  <si>
    <t>OUTGOING - 25A SP MCB "10kA" - OUTDOOR GARDEN PANEL - 2  ( @ 43 colony)</t>
  </si>
  <si>
    <t>OUTGOING - 16A SP MCB "10kA" - OUTDOOR GARDEN PANEL - 2  ( @ 43 colony)</t>
  </si>
  <si>
    <t>OUTGOING - 32A Three Phase Industrial Socket  ( On Front Door ) - OUTDOOR GARDEN PANEL - 2  ( @ 43 colony)</t>
  </si>
  <si>
    <t>OUTGOING - 16A Single Phase Industrial Socket  ( On Front Door ) - OUTDOOR GARDEN PANEL - 2  ( @ 43 colony)</t>
  </si>
  <si>
    <t>OUTGOING - 32A Single Phase Industrial Socket  ( On Front Door ) - OUTDOOR GARDEN PANEL - 2  ( @ 43 colony)</t>
  </si>
  <si>
    <t>OUTGOING - Power Connectors - OUTDOOR GARDEN
  PANEL - 2  ( @ 43 colony)</t>
  </si>
  <si>
    <t>POWER WIRING - Panel Wiring It Includes Wiring of above Mentioned  Switchgears With Copper wire, Thimbling
Fourooling Pvc Taping &amp; Tieing etc.- OUTDOOR GARDEN
PANEL - 2  ( @ 43 colony)</t>
  </si>
  <si>
    <t>CONTROL WIRING - Control Wiring It Includes Wiring of Indicators etc, with Copper Wire - OUTDOOR GARDEN PANEL - 2  ( @ 43 colony)</t>
  </si>
  <si>
    <t>ACCESSORIES - Complete Accessorie Including nut bolts ,Thimble , ties ,Pvc tapes etc. Complete - OUTDOOR GARDEN PANEL - 2  ( @ 43 colony)</t>
  </si>
  <si>
    <t>INSTALLATIONS AND TERMINATIONS - 630A 4P MCCB, Spreader Terminals and Phase Barriers Including Installations with Terminations.</t>
  </si>
  <si>
    <t>INSTALLATIONS AND TERMINATIONS - Terrace HVAC DB Installation 8 Way TPN DB</t>
  </si>
  <si>
    <t>INSTALLATIONS AND TERMINATIONS - Outdoor Garden Installation</t>
  </si>
  <si>
    <t>INSTALLATIONS AND TERMINATIONS - 4CoreX16Sq.MM Copper Armoured Cable Supply and Laying along with Excavation of Soil and back filling.</t>
  </si>
  <si>
    <t>INSTALLATIONS AND TERMINATIONS - 4CoreX16Sq.MM Copper Armoured Cable Terminations Including Double Compressor Cable Glands, Lugs, Cotton Tapes, PVC Tapes etc., complete.</t>
  </si>
  <si>
    <t>INSTALLATIONS AND TERMINATIONS - Weather Proof Mini Enclosure for 12 Modules with 1x63A 4P MCB and Installations Including Terminations with Glands</t>
  </si>
  <si>
    <t>INSTALLATIONS AND TERMINATIONS - Weather Proof Mini Enclosure for 4 Modules with 1x25A SP MCB and Installations Including Terminations with Glands</t>
  </si>
  <si>
    <t>SERVICING @ 44. colony - RMU Servicing</t>
  </si>
  <si>
    <t>SERVICING @ 44. colony - ACB Servicing</t>
  </si>
  <si>
    <t>SERVICING @ 44. colony - 630A Automatic Phase
  Changer Panel Servicing</t>
  </si>
  <si>
    <t>SERVICING @ 44. colony - 630A Manual Phase Changer
  Panel Servicing</t>
  </si>
  <si>
    <t>SERVICING @ 44. colony - Main LT Panel Servicing
  ( PLC )</t>
  </si>
  <si>
    <t>SERVICING @ 44. colony - 115 KVAR Capacitor Panel
  Servicing</t>
  </si>
  <si>
    <t>SERVICING @ 44. colony - SDB UPS Panel Servicing</t>
  </si>
  <si>
    <t>SERVICING @ 44. colony - UPS Main Panel Servicing</t>
  </si>
  <si>
    <t>SERVICING @ 44. colony - Terrace Outdoor  VRV Panel - 1 Servicing</t>
  </si>
  <si>
    <t>SERVICING @ 44. colony - Terrace Outdoor  VRV Panel - 2 Servicing</t>
  </si>
  <si>
    <t>SERVICING @ 43. colony - Main LT Panel Servicing</t>
  </si>
  <si>
    <t>SERVICING @ 43. colony - Capacitor Panel Servicing</t>
  </si>
  <si>
    <t>SERVICING @ 43. colony - UPS Main Panel Servicing</t>
  </si>
  <si>
    <t>SERVICING @ 43. colony - HVAC Panel Servicing</t>
  </si>
  <si>
    <t>SERVICING @ 43. colony - Outdoor Garden Lighting Panel Servicing</t>
  </si>
  <si>
    <t xml:space="preserve"> annexure</t>
  </si>
  <si>
    <t>Supply and installation of 250 MM PVC Elbow</t>
  </si>
  <si>
    <t>Supply and fixing 250 MM PVC Socket</t>
  </si>
  <si>
    <t>Dismantling of brick wall in shaft 3 X 3 feet</t>
  </si>
  <si>
    <t>Making of brick wall 9 inch in shaft 3 X 3 feet height of 8 feet as require folding</t>
  </si>
  <si>
    <t>Supply and fixing 250 MM PVC Tee</t>
  </si>
  <si>
    <t>Supply and fixing 250 MM PVC End Cap</t>
  </si>
  <si>
    <t>Supply and fixing 250 MM PVC Pipe 10 Kg Pressure</t>
  </si>
  <si>
    <t>Alignment of 250 mm PVC Pipe in shaft for adjustment of suitable for installation of 250 mm elbow and socket very confined space use safety</t>
  </si>
  <si>
    <t>Portable 5 HP 3 Phase dewatering pump with trolley Specification: -KIRLOSKAR MAKE SELF PRIMING SEWAGE DEWATERING PUMP MODEL SP-3L 5HP, PIPE SIZE- 80X80MM, THREE PHASE, MOTOR WITH TROLLEY</t>
  </si>
  <si>
    <t>6 Sqmm X 4 Core Cu. Flexible Cable for 5 HP pump, make: Polycab</t>
  </si>
  <si>
    <t>2-inch flexible pipe (suction hose pipe) with accessories</t>
  </si>
  <si>
    <t>Electrical rescue rod-11KV, make: Honeywell, model:24401</t>
  </si>
  <si>
    <t>48/11.6.25</t>
  </si>
  <si>
    <t>49/11.06.25</t>
  </si>
  <si>
    <t>51/12.06.25</t>
  </si>
  <si>
    <t>SERVICING @ 44. colony - 315 KVA Transformer - Oil Dehydration</t>
  </si>
  <si>
    <t>53/17.06.25</t>
  </si>
  <si>
    <t>( LL10 ) HCL TECHNOLOGIES LIMITED</t>
  </si>
  <si>
    <t>Three Module Plate Schneider P0703_N</t>
  </si>
  <si>
    <t>Switch 16 A Schneider P1101_N</t>
  </si>
  <si>
    <t>Socket 16 A Schneider P2106_N</t>
  </si>
  <si>
    <t>Capacitor 10 micro farad Epcos 10 micro farad</t>
  </si>
  <si>
    <t>Rotary switch,15 Amps Kaycee 4 Points</t>
  </si>
  <si>
    <t>20-watt LED Tube Light Havells</t>
  </si>
  <si>
    <t>Windsock (RED &amp; White) PU fabric (Polyester) with reflective Tape Waterproof Length: 6ft, Diameter: 2 feet , Narrow end Diameter: 1 feet Standard Length: 6ft</t>
  </si>
  <si>
    <t>7.5 KW 3 Phase induction Motor Repairing work</t>
  </si>
  <si>
    <t>Uploaded on 21.06.2025</t>
  </si>
  <si>
    <t>UP/000038/25-26</t>
  </si>
  <si>
    <t>24/6/2025</t>
  </si>
  <si>
    <t>UP/000037/25-26</t>
  </si>
  <si>
    <t>23/6/2025</t>
  </si>
  <si>
    <t>55/23.06.25</t>
  </si>
  <si>
    <t>UP/000036/25-26</t>
  </si>
  <si>
    <t>20/6/2025</t>
  </si>
  <si>
    <t>UP/000035/25-26</t>
  </si>
  <si>
    <t>Supply and Installation of 5 MM Acrylic Sheet with Aluminum Channel (Size : 3' x 4') at Washroom Window</t>
  </si>
  <si>
    <t>24/06/2025</t>
  </si>
  <si>
    <t>( LL11 ) HCL TECHNOLOGIES LIMITED - Gajaria Farms,Lucknow</t>
  </si>
  <si>
    <t>Supply and Installation of Pressure Gauge SS Body Make:- Guru</t>
  </si>
  <si>
    <t>Supply and Installation of Pressure Switch Make:-Danfoss</t>
  </si>
  <si>
    <t>Supply of VRV Unit Drain Pump, warranty-01year ASPN Mini Aqua</t>
  </si>
  <si>
    <t>Supply of PAC Unit Drain Pump, , warranty-01year ASPEN MAX Hi flow</t>
  </si>
  <si>
    <t>( AG15 ) HCL TECHNOLOGIES LIMITED - Gurugram</t>
  </si>
  <si>
    <t>60/30.06.25</t>
  </si>
  <si>
    <t>59/27.06.25</t>
  </si>
  <si>
    <t>56/27.06.25</t>
  </si>
  <si>
    <t>CPVC Elbow 100mm-3, Socket 100mm - 2, Tee 100mm -1, CPVC pipe 100mm-10 RFT, Nut Bolt- 5 Kg, CPVC Solvent-2 Kg</t>
  </si>
  <si>
    <t>Crushed Stone-20 feet, Badrpur Sand-20 feet, Cement-2 bag, 4 Inch PVC pipe, 4 Inch Elbow-2 Nos, M-Seal-2 Kg</t>
  </si>
  <si>
    <t>57/27.06.25</t>
  </si>
  <si>
    <t>challan</t>
  </si>
  <si>
    <t>58/27/06/25</t>
  </si>
  <si>
    <t>UP/000041/25-26</t>
  </si>
  <si>
    <t>UP/000042/25-26</t>
  </si>
  <si>
    <t>UP/000043/25-26</t>
  </si>
  <si>
    <t>24/01/2025</t>
  </si>
  <si>
    <t>UP/000044/25-26</t>
  </si>
  <si>
    <t>Supply of Copper Busbar 40X6MM</t>
  </si>
  <si>
    <t>Supply of Busbar GI 40X6MM</t>
  </si>
  <si>
    <t>Supply of GI Nut, Bolt, Washer</t>
  </si>
  <si>
    <t>Supply of Current Transformer 1600/5Amp, (Make-AE)</t>
  </si>
  <si>
    <t>Supply of Multifunction Meter RS485, Make: L&amp;T</t>
  </si>
  <si>
    <t>Supply and installation of chemical maintenance free Copper Electrode Earth Supply Installation of advance maintenance free Chemical Gel Earthling of Cup 3mtr long 76 mm Dia fill with good conductive compound proper welded (50*5 sqmm copper strip) with the suitable terminal for connecting of your strip or cable along with a highly conductive, non-corrosive, non-magnetic material called EEM-BFC [Ground Resistance Improvement Powder]. The EEM-BFC Compound powder is also put around the electrode in earth pit in the form of slurry with 2bag 25Kg of earthing backfill compound &amp; PVC Chamber</t>
  </si>
  <si>
    <t>Supply Installation of advance maintenance free Chemical Gel Earthling of GI 3mtr long 76 mm Dia fill with good conductive compound proper welded (50*5 sqmm GI strip) with the suitable terminal for connecting of your strip or cable along with a highly conductive, non-corrosive, non-magnetic material called EEM-BFC [Ground Resistance Improvement Powder]. The EEM-BFC Compound powder is also put around the electrode in earth pit in the form of slurry with 2bag 25Kg of earthing backfill compound &amp; PVC Chamber</t>
  </si>
  <si>
    <t>Installation of 1600/5 Current transformer with dismantling of existing cables and busbars and reinstall the same after work completion</t>
  </si>
  <si>
    <t>Installation of Multifunction meter with required hardware and accessories</t>
  </si>
  <si>
    <t>Service Charges of Installation of Bus Bar</t>
  </si>
  <si>
    <t>UP/000040/25-26</t>
  </si>
  <si>
    <t>Uploaded on 04/07/2025</t>
  </si>
  <si>
    <t>Uploaded on 4/7/25</t>
  </si>
  <si>
    <t>Providing and fixing 50x50x2 mm Apollo steel paneling- Supplying, cutting, and fixing MS Apollo steel square tube sections of size 50x50 mm with 2 mm thickness, including welding, grinding, and painting</t>
  </si>
  <si>
    <t>Providing and fixing 100x50x3 mm truss-Supplying, fabricating, and erecting MS truss members of section 100x50 mm with 3 mm thickness, including welding, jointing, and necessary surface treatment</t>
  </si>
  <si>
    <t>Providing and fixing 100x50x2 mm truss members- Supplying and installing truss components using 100x50 mm MS rectangular sections with 2 mm thickness, including proper alignment, welding, and painting</t>
  </si>
  <si>
    <t>Providing and fixing 200x200x10 mm MS plate (approx. 85 kg)-Supplying and fixing MS base plates of size 200x200 mm and 10 mm thickness (approximate weight 85 kg per plate), including drilling, welding, and anchoring</t>
  </si>
  <si>
    <t>Providing and fixing chemical fasteners- Supplying and installing approved chemical fasteners of suitable size and grade for structural anchoring, including drilling, cleaning, and grouting as per manufacturer's specifications</t>
  </si>
  <si>
    <t>Providing and fixing metro sheet roofing/cladding- Supplying and fixing pre-coated galvanized iron (GI) Metro profile sheets for roofing/cladding, including all necessary fixtures, overlaps, ridge cover, and sealing</t>
  </si>
  <si>
    <t xml:space="preserve">Cutting of ACP sheet for plate fixing-Cutting aluminum composite panels (ACP) to precise sizes and shapes required for plate fitting, ensuring clean edges and proper alignment </t>
  </si>
  <si>
    <t>UP/000045/25-26</t>
  </si>
  <si>
    <t>Uploaded on 10.07.25</t>
  </si>
  <si>
    <t>( AN30 ) HCL TECHNOLOGIES LIMITED</t>
  </si>
  <si>
    <t>Providing and installation of Panel (Size 400 X 400 X 250 MM) CRCA Sheet Powder coated completed with wiring used material of 63 Amp TP Power Contactor-1 nos, 63 Amp TP MCB-1 Nos, 6 Amp SP MCB 10 KA-3 Nos, Over and Under Voltage Relay-1 Nos, Auto Manual Switch-1 Nos, Push Button (Start and Stop)-2 Nos and Indicating Light (Red)-1 Nos etc., make: L&amp;T/Schneider</t>
  </si>
  <si>
    <t>Connection with require Cable Gland, Thimble Cutting of ACP Sheet Installation complete</t>
  </si>
  <si>
    <t>Supply and fixing of 12-way SPN DB, with 32ADP incomer and 6/10A SP MCB as outgoing make: ABB with all required hardware’s and accessories.</t>
  </si>
  <si>
    <t>Supply and laying of 3cx1.5sqmm Copper FRLS flexible cable, make: Polycab</t>
  </si>
  <si>
    <t>Supply and installation of 20/32-amp contractors (L&amp;T) ON/OFF button, Start/Stop push buttons, 2C/O Auxiliary relay with base, NO/NC, Selector switch, Indicators and wiring etc. for making the auto manual starters</t>
  </si>
  <si>
    <t>Supply and laying of 3cx10mm Cu. Armed. cable, make: Polycab</t>
  </si>
  <si>
    <t>Supply and installation of 20mm conduit pipe with accessories.</t>
  </si>
  <si>
    <t>Cable end termination in dome camera and workstation ups DB</t>
  </si>
  <si>
    <t>Supply and fixing of 2module box with base plate and socket for camera connections</t>
  </si>
  <si>
    <t>Re-wiring of emergency UPS DB to separate of emergency lighting circuit and access control circuit</t>
  </si>
  <si>
    <t>3CX6 Cable end termination with required material</t>
  </si>
  <si>
    <t>Gypsum cutting and refixing with paint.</t>
  </si>
  <si>
    <t>Wooden cutting and refixing charges</t>
  </si>
  <si>
    <t>Supply of 1.5 Sqmm 2Core Cu Armoured Cable - Polycab</t>
  </si>
  <si>
    <t>Supply of 25mm PVC Conduit pipe - Supreme/Finolex</t>
  </si>
  <si>
    <t>PVC pipe &amp; Cable laying from Gate No.4 Transport Room to Café 3 Basement and Gate No.3 to Tower 6 BMS.</t>
  </si>
  <si>
    <t>Soil Digging and Backfilling .5X.5x200 Feet</t>
  </si>
  <si>
    <t>Civil work - Concrete Breaking and Re Concrete .5X.5x70 Feet (Included concrete and cement material)</t>
  </si>
  <si>
    <t>UP/000039/25-26</t>
  </si>
  <si>
    <t>UP/000047/25-26</t>
  </si>
  <si>
    <t>UP/000048/25-26</t>
  </si>
  <si>
    <t>UP/000049/25-26</t>
  </si>
  <si>
    <t>UP/000050/25-26</t>
  </si>
  <si>
    <t>UP/000051/25-26</t>
  </si>
  <si>
    <t>UP/000052/25-26</t>
  </si>
  <si>
    <t>15/7/2025</t>
  </si>
  <si>
    <t>63/14.07.25</t>
  </si>
  <si>
    <t>UP/000053/25-26</t>
  </si>
  <si>
    <t>17/7/2025</t>
  </si>
  <si>
    <t>UP/000055/25-26</t>
  </si>
  <si>
    <t>18/7/2025</t>
  </si>
  <si>
    <t>UP/000054/25-26</t>
  </si>
  <si>
    <t>0065/18.07.25</t>
  </si>
  <si>
    <t>0066/18.07.25</t>
  </si>
  <si>
    <t>18/07/2025</t>
  </si>
  <si>
    <t>Supply and fixing of 25 mm CPVC Valve as required material CPVC or GI Socket, Tee, FTA, MTA, Bush, Nipple and Soil, brick wall, PCC digging and re-filling as direction by site engineer</t>
  </si>
  <si>
    <t>Closed (work not done)</t>
  </si>
  <si>
    <t>Colsed (work not done)</t>
  </si>
  <si>
    <t>UP/000056/25-26</t>
  </si>
  <si>
    <t>22/7/2025</t>
  </si>
  <si>
    <t>Copper Cable flexible, make/model- Polycab/havells / 3 core 1.5 sqmm</t>
  </si>
  <si>
    <t>Copper Cable flexible, make/model- Polycab/havells / 3 core 2.5 sqmm</t>
  </si>
  <si>
    <t>Copper Cable flexible, make/model- Polycab/havells / 2 core 1.5 sqmm</t>
  </si>
  <si>
    <t>Copper Cable flexible, make/model- Polycab/havells / 2 core 2.5 sqmm</t>
  </si>
  <si>
    <t>Battery Water, make/model- Standard / 5 ltr each bottle</t>
  </si>
  <si>
    <t>Energy Meter, make/model- Conzerve / EM6400</t>
  </si>
  <si>
    <t>Led Flood Light, make/model- Wipro/philips/Havells / 100 watt</t>
  </si>
  <si>
    <t>Led Bittern, make/model- Wipro/Philips/Havells / 20 watt 4' 6500k</t>
  </si>
  <si>
    <t>Led Light with Fitting, make/model- Wipro/Philips/Havells / 2X1 (501 P2XT)-2X22 WATT</t>
  </si>
  <si>
    <t>Switch, make/model- Opale / 16 amp.</t>
  </si>
  <si>
    <t>Switch, make/model- Opale / 6 amp</t>
  </si>
  <si>
    <t>Socket, make/model- Opale / 16-amp 5 pin</t>
  </si>
  <si>
    <t>Socket, make/model- Opale / 6 amp</t>
  </si>
  <si>
    <t>Switch, make/model- Legrand /16 amp</t>
  </si>
  <si>
    <t>Switch, make/model- Legrand /6 amp</t>
  </si>
  <si>
    <t>Socket, make/model- Legrand /16-amp 5 pin</t>
  </si>
  <si>
    <t>Socket, make/model- Legrand /6 amp</t>
  </si>
  <si>
    <t>Copper Cable flexible, make/model- Havells/Polycab / 1.5 Sqmm</t>
  </si>
  <si>
    <t>Copper Cable flexible, make/model- Havells/Polycab / 2.5 sqmm</t>
  </si>
  <si>
    <t>PO201/25-26/12/00033</t>
  </si>
  <si>
    <t>22/07/2025</t>
  </si>
  <si>
    <t>Shiv Nadar Foundation - Vidyagyan Sitapur</t>
  </si>
  <si>
    <t>UP/000057/25-26</t>
  </si>
  <si>
    <t>25/7/2025</t>
  </si>
  <si>
    <t>Cpvc fittings</t>
  </si>
  <si>
    <t>0068/24.07.25</t>
  </si>
  <si>
    <t>Bricks-30, Badarpur-10 feet, Cement-2 Bags</t>
  </si>
  <si>
    <t>0069/25.07.25</t>
  </si>
  <si>
    <t>0070/25.07.25</t>
  </si>
  <si>
    <t>0067/21.07.25</t>
  </si>
  <si>
    <t>27/07/2025</t>
  </si>
  <si>
    <t>Supply and fixing of 6" trolley wheel with required hardware, including bolts, nuts, and washers, ensuring proper alignment and secure installation for smooth and durable operation</t>
  </si>
  <si>
    <t>( AN43 ) HCL TECHNOLOGIES LIMITED</t>
  </si>
  <si>
    <t>Repairing of SS (Stainless Steel) trolley including welding work, alignment correction, and reinforcement as required</t>
  </si>
  <si>
    <t>UP/000058/25-26</t>
  </si>
  <si>
    <t>28/7/2025</t>
  </si>
  <si>
    <t>28/07/2025</t>
  </si>
  <si>
    <t>29/07/25</t>
  </si>
  <si>
    <t>29/07/2025</t>
  </si>
  <si>
    <t>Supply and fixing of 2X2 feet, 6mm thick MS chequered plate covers with required hardware’s and accessories</t>
  </si>
  <si>
    <t>Charges for the repairing of existing 2X2 feet MS covers with required hardware’s, hinges, handles, primer, and paint complete as required</t>
  </si>
  <si>
    <t>Charges for the repairing of existing 4X4 feet MS covers with required hardware’s, hinges, handles, primer, and paint complete as required</t>
  </si>
  <si>
    <t>Supply and fixing of 50/5 mm angle for frame, 40/5 angle, and 25/5 mm flat (Patti) 1.5 feet wide with frame for covering the open ditch with required civil work</t>
  </si>
  <si>
    <t>Charges for the dismantling and refixing of existing brick walls as required</t>
  </si>
  <si>
    <t>31/07/2025</t>
  </si>
  <si>
    <t>Dismantling of existing sockets and supplying, installation, testing and commissioning of 16 Amp industrial socket in pantry/coffee point area (Make: Neptune Bals)</t>
  </si>
  <si>
    <t>Fabrication, installation, and labeling of inspection chamber with 18"x18" Chequered MS plate cover including frame and locking arrangement</t>
  </si>
  <si>
    <t>Fabrication, installation, and labeling of inspection chamber with 36"x20" Chequered MS plate cover including frame and locking arrangement</t>
  </si>
  <si>
    <t>UP/000059/25-26</t>
  </si>
  <si>
    <t>0072/31.07.25</t>
  </si>
  <si>
    <t>075/01.08.25</t>
  </si>
  <si>
    <t>UP/000060/25-26</t>
  </si>
  <si>
    <t>UP/000061/25-26</t>
  </si>
  <si>
    <t>SITC of 50/6 mm GI Galvanized Iron patti fixing as require digging Normal soil or pcc and connect with earthing to existing Patti all complete as require materials ss nut bolt etc.</t>
  </si>
  <si>
    <t>SITC of 25/6 mm GI Galvanized Iron Patti fixing as require digging Normal soil or pcc and connect with earthing to existing Patti all complete as require materials ss nut bolt etc.</t>
  </si>
  <si>
    <t>Supply of Wipro Garnet LED batten/ cool day 25W 6500K Cool White 114 MM</t>
  </si>
  <si>
    <t>( AG12 ) HCL TECHNOLOGIES LIMITED - Sector-08, Manesar</t>
  </si>
  <si>
    <t>Supply of Eveready Flood light 100W /IP66 waterproof/ high surge protection up to 6Kv</t>
  </si>
  <si>
    <t>Supply &amp; Fixing of Energy meter Schneider EM-1200 With encloser 300X300X200mm, With 16 Amp MCB DP and complete Wiring</t>
  </si>
  <si>
    <t>Supply &amp; Fixing of Energy meter Schneider EM-1200 With encloser 300X300X200mm, With 32 Amp MCB DP and complete Wiring</t>
  </si>
  <si>
    <t>Supply &amp; Fixing of Energy meter Schneider Conzerv 6436 With encloser 300X300X200mm, With 63 Amp TPN, CT-3 Nos and complete Wiring</t>
  </si>
  <si>
    <t>Supply &amp; laying of 2.5mmX1C wire colour BRYB (90 mtrs) roll</t>
  </si>
  <si>
    <t>Supply &amp; laying of 4mm X 1C wire Colour BRYB 90 mtrs roll</t>
  </si>
  <si>
    <t>Supply &amp; laying of 2.5X3C flexible cable</t>
  </si>
  <si>
    <t>Supply and fixing of pvc tap, Thimble, faster and pvc flexible pipes etc.</t>
  </si>
  <si>
    <t>Providing and fixing 20mm conduct pipe</t>
  </si>
  <si>
    <t>Rectification of lightning circuit, ups circuit and power circuit</t>
  </si>
  <si>
    <t>Make DB circuit separate with other circuit dismantling and rewiring of DB</t>
  </si>
  <si>
    <t>Trap Door Cutting and Repairing 2x2 Feet</t>
  </si>
  <si>
    <t>Wooden Trap Door Cutting and Repairing 2x2 Feet</t>
  </si>
  <si>
    <t>UP/000062/25-26</t>
  </si>
  <si>
    <t>080/05.08.25</t>
  </si>
  <si>
    <t>078/05.08.25</t>
  </si>
  <si>
    <t>Dust-20', Rodi-15', Cement-2 Bags</t>
  </si>
  <si>
    <t>Uploaded on 11.08.25</t>
  </si>
  <si>
    <t>6A Round 3Pin Socket with Shutter (ISI Marked),Model- IW421WHI, Module-2M Make: Honeywell</t>
  </si>
  <si>
    <t>Phillips RC360B LED 36S 6500 L120W30 PSU OD 1X4 6500K Cool White Panel Light Make: Philips</t>
  </si>
  <si>
    <t>Wipro Constant Current Electronic Choke 36W Make: Wipro</t>
  </si>
  <si>
    <t>Wipro LED Strip Driver 24W Constant Voltage Driver H43520 Make: Wipro</t>
  </si>
  <si>
    <t>Jaquar Health Faucet Connection Pipe SS 1.2 Mtr ZMS-CHR-005 Make: Jaguar</t>
  </si>
  <si>
    <t xml:space="preserve">Anchor Smart Super Plug Top 6A 3 Pin White 39571 Make: Anchor
 	</t>
  </si>
  <si>
    <t>Anchor Smart Plug Top 39583 3 Pin 16A Make: Anchor</t>
  </si>
  <si>
    <t>Honeywell Switch 6AX One Way 1M EW501WHI Make: Honeywell</t>
  </si>
  <si>
    <t>Cotton Old Dhoti 1 x 1 Mtr Make: Standard</t>
  </si>
  <si>
    <t>Schneider AC RCCB XID 25A 2P 300mA, A9N16202 Make: Schneider</t>
  </si>
  <si>
    <t>9volt Battery Make: Duracell</t>
  </si>
  <si>
    <t>UP/000063/25-26</t>
  </si>
  <si>
    <t>Uploaded on 13.08.25</t>
  </si>
  <si>
    <t>PO203/2526/00036</t>
  </si>
  <si>
    <t>Kiran Nadar Museum of Art - F-83, Okhla Industrial Area, Phase-1</t>
  </si>
  <si>
    <t>Cutting and preparation of GI (Galvanized Iron) drainage sheets as per specified dimensions and site requirements. The work includes accurate measurement, marking, and cutting using appropriate tools to ensure clean edges and precise alignment. Sheets prepared for further installation in the drainage system, ensuring minimal material wastage and adherence to safety and quality standards.</t>
  </si>
  <si>
    <t>Fabrication and installation of new GI (Galvanized Iron) drainage line, including cutting, jointing, and secure fixing as per site conditions and flow direction. The scope includes supply of all necessary fittings and supports for proper alignment and functionality. Additionally, waterproofing treatment provided at joints, pipe connections, and vulnerable areas using appropriate waterproofing materials to ensure leakproof performance and long-term durability. -Thickness of GI Sheet: 1.0 mm -Type of Waterproofing: Combination of Badarpur cement-based mortar and chemical waterproofing compound, applied at all joints and vulnerable areas to ensure leak-proof performance and long-term durability.</t>
  </si>
  <si>
    <t>Supply and installation of metro sheet 0.4mm thick for making the 10X12 feet shade with required hardwares and accessories</t>
  </si>
  <si>
    <t>Supply, fabrication, welding, painting and fixing of MS square pipes 50X50X3mm with required hardwares and support stricture</t>
  </si>
  <si>
    <t>Making of RCC Foundation for Pole fixing</t>
  </si>
  <si>
    <t>14/08/2025</t>
  </si>
  <si>
    <t>Supply and installation of Air curtains (Model EAS6) with Sensor Air Curtain (2 Doors) With Siemens Contractor (Model- EX02)</t>
  </si>
  <si>
    <t>Supply and fixing of wooden framing with 18 mm board for air curtains</t>
  </si>
  <si>
    <t>Supply and fixing 2.5 mm X 3 C Cu. flexible cable, make: Polycab/Finolex</t>
  </si>
  <si>
    <t>Supply &amp; fixing rubber door seal in door, make: Standard</t>
  </si>
  <si>
    <t xml:space="preserve">Challan </t>
  </si>
  <si>
    <t>85/13.08.25</t>
  </si>
  <si>
    <t>PVC MTA, Bush Pipe, elbow etc (35 nos)</t>
  </si>
  <si>
    <t>93026-0000001623</t>
  </si>
  <si>
    <t xml:space="preserve">Metlife Global </t>
  </si>
  <si>
    <t>Supply &amp; installation of AP mount in ceiling work , making of trap doors, and fixing of tiles and other work as per BOQ</t>
  </si>
  <si>
    <t>K C Infra (Bill to ship to)</t>
  </si>
  <si>
    <t>Uploaded on 18.08.2025</t>
  </si>
  <si>
    <t>Uploaded on 18.08.25</t>
  </si>
  <si>
    <t>Site</t>
  </si>
  <si>
    <t>Remarks</t>
  </si>
  <si>
    <t>Work not done</t>
  </si>
  <si>
    <t>UP-000014/25-26</t>
  </si>
  <si>
    <t>24.04.2025</t>
  </si>
  <si>
    <t>UP/000064/25-26</t>
  </si>
  <si>
    <t>22/8/2025</t>
  </si>
  <si>
    <t>Uploaed on 23.08.25</t>
  </si>
  <si>
    <t>UP/000065/25-26</t>
  </si>
  <si>
    <t>26/8/2025</t>
  </si>
  <si>
    <t>UP/000066/25-26</t>
  </si>
  <si>
    <t>87/26.08.25</t>
  </si>
  <si>
    <t>26/08/2025</t>
  </si>
  <si>
    <t>Supply, Making and fixing of RCC drain cover 450mmX560 mmX100mm with 8 MM Dia MS Bars @100 MM C/C MS Strips at outside and corners. Concrete Grade: M25 loading unloading all complete</t>
  </si>
  <si>
    <t>Supply &amp; Installation of 2mm thick Hot Dipped Galvanized, Ladder type cable Trays covers. The cable tray covering shall be fixed with MS angle support with 35mmx2mm thick GI slotted 'C' channel Patti at an interval of 1 meter/ or the MS angle iron fabricated support depending upon the location &amp; GI Clamp. The rate shall include the cost of Supports. - Tray cover 100mm</t>
  </si>
  <si>
    <t>Supply &amp; Installation of 2mm thick Hot Dipped Galvanized, Ladder type cable Trays covers. The cable tray covering shall be fixed with MS angle support with 35mmx2mm thick GI slotted 'C' channel Patti at an interval of 1 meter/ or the MS angle iron fabricated support depending upon the location &amp; GI Clamp. The rate shall include the cost of Supports. - Tray cover 400mm</t>
  </si>
  <si>
    <t>Supply &amp; Installation of 2mm thick Hot Dipped Galvanized, Ladder type cable Trays covers. The cable tray covering shall be fixed with MS angle support with 35mmx2mm thick GI slotted 'C' channel Patti at an interval of 1 meter/ or the MS angle iron fabricated support depending upon the location &amp; GI Clamp. The rate shall include the cost of Supports. - Tray cover 200mm</t>
  </si>
  <si>
    <t>Supply &amp; Installation of 2mm thick Hot Dipped Galvanized, Ladder type cable Trays covers. The cable tray covering shall be fixed with MS angle support with 35mmx2mm thick GI slotted 'C' channel Patti at an interval of 1 meter/ or the MS angle iron fabricated support depending upon the location &amp; GI Clamp. The rate shall include the cost of Supports. - Cable raceway 150x40x15x2mm</t>
  </si>
  <si>
    <t>Supply and fixing fiber duct approx. 20 sqft</t>
  </si>
  <si>
    <t>Providing and fixing metro sheet with ms framing Canopy 4X3 feet</t>
  </si>
  <si>
    <t>Supply and fixing Waterproof Electronic Project Box Enclosure Case for Electronic Projects, Outdoor, Indoor (400 X 350 x 120 mm)</t>
  </si>
  <si>
    <t>Supply and fabrication ms frame for metro sheet as existing and dismantling and refixing of metro sheet as direction by site engineer 10x8 feet</t>
  </si>
  <si>
    <t>Supply and fixing pvc pipe 75 mm with accessories</t>
  </si>
  <si>
    <t>Providing and fixing 40 MM Gray &amp; Red Color sadar Ali stone</t>
  </si>
  <si>
    <t>Dismantling of existing stone</t>
  </si>
  <si>
    <t>Providing and fixing workstation tabletop L-shape, 25mm PLPB with edge banding, size 6'x6</t>
  </si>
  <si>
    <t>Providing and fixing workstation tabletop L-shape, 25mm PLPB with edge banding, size 2250x500 mm</t>
  </si>
  <si>
    <t>Providing and fixing workstation tabletop L-shape, 25mm PLPB with edge banding, size 1975x700 mm</t>
  </si>
  <si>
    <t>Providing and fixing workstation tabletop L-shape, 25mm PLPB with edge banding, size 1500x500 mm</t>
  </si>
  <si>
    <t>Providing and fixing under kitchen counter, 25mm waterproof green MDF with mica finish, size 6.5'x2.5</t>
  </si>
  <si>
    <t>Providing and fixing 18mm board shutter, size 53"x18"</t>
  </si>
  <si>
    <t>Dismantling of existing tabletop and under counter with shifting</t>
  </si>
  <si>
    <t>Supply &amp; Fixing Veneer melamine polish with Minor Repairing &amp; Filling</t>
  </si>
  <si>
    <t>25mm SS L-angle polishing</t>
  </si>
  <si>
    <t>Providing, fixing &amp; dismantling SS bidding for floor, 6 ft</t>
  </si>
  <si>
    <t>UP/000060/24-25</t>
  </si>
  <si>
    <t>UP/000059/24-25</t>
  </si>
  <si>
    <t>UP/000046/24-25</t>
  </si>
  <si>
    <t>UP/000040/24-25</t>
  </si>
  <si>
    <t>Uploaded on 26.08.2025</t>
  </si>
  <si>
    <t>UP/000067/25-26</t>
  </si>
  <si>
    <t>28/8/2025</t>
  </si>
  <si>
    <t>Uploaded on 28.08.2025</t>
  </si>
  <si>
    <t>Uploaded on 31/7/25</t>
  </si>
  <si>
    <t>UP/000069/25-26</t>
  </si>
  <si>
    <t>UP/000068/25-26</t>
  </si>
  <si>
    <t>Cable laying/routing/civil, conduiting &amp; associated work from SS1 to SS3</t>
  </si>
  <si>
    <t>Uploaded on 04.09.2025</t>
  </si>
  <si>
    <t>Hours</t>
  </si>
  <si>
    <t>UP/000096/25-26</t>
  </si>
  <si>
    <t>Re-development of rain harvesting pit bore well to achive stablisation of sand/slit or mica from discharge of water and to free the bore from clogging of the slots with air cpmpressor of 215 cft per minutes capacity etc. complete as required and as per direction of Engineer in-charge.Including labour charges, tools and accessories etc. (Pit's Bores 21 X 8 Hrs)</t>
  </si>
  <si>
    <t>97/08.09.25</t>
  </si>
  <si>
    <t>Providing and fixing of Stainless-Steel Name Plate is crafted from high-grade SS 304 material, ensuring excellent corrosion resistance size 12x12 inch</t>
  </si>
  <si>
    <t>Supply and installation Industrial AC Door Curtain (PVC, Transparent) 7 feet X 30 feet</t>
  </si>
  <si>
    <t>Calibration of Temperature Meter (Fluke- 971)</t>
  </si>
  <si>
    <t>Calibration of multi-Meter (Fluke-371)</t>
  </si>
  <si>
    <t>Providing and fixing of Solenoid Valve for sensor Tap (ZSN-CHR 017), Make - Jaquar</t>
  </si>
  <si>
    <t>Providing and fixing of Angle Valve-3057P, Make - Jaquar</t>
  </si>
  <si>
    <t>Providing and fixing of Jet Spray-573, Make - Jaquar</t>
  </si>
  <si>
    <t>Providing and fixing of Battery Box, Make - Jaquar</t>
  </si>
  <si>
    <t>Providing and fixing of Urinal Adaptor, Make - U-tec</t>
  </si>
  <si>
    <t>Providing and fixing of Water Tap Adaptor AC to DC 6V, Make - Standard</t>
  </si>
  <si>
    <t>Providing and fixing of Syphon, Make - Jaquar</t>
  </si>
  <si>
    <t>Providing and fixing of Ball Cock, Make - Jaquar</t>
  </si>
  <si>
    <t>Providing and fixing of Drain Jali 2", Make - Standard</t>
  </si>
  <si>
    <t>Providing and fixing of Drain Jali 4", Make- Standard</t>
  </si>
  <si>
    <t>Providing and fixing of Urinal Sensor, Make - U-tec</t>
  </si>
  <si>
    <t>Providing and fixing of Teflon Tape, Make - Standard</t>
  </si>
  <si>
    <t>Providing and applying of M-Seal, Make - Pidilite</t>
  </si>
  <si>
    <t>95/8/9/2025</t>
  </si>
  <si>
    <t>96/8/9/2025</t>
  </si>
  <si>
    <t>94/8/9/25</t>
  </si>
  <si>
    <t>98/8/9/25</t>
  </si>
  <si>
    <t>UP/000071/25-26</t>
  </si>
  <si>
    <t>Thimble, Gland, Fastner</t>
  </si>
  <si>
    <t>99/9/9/25</t>
  </si>
  <si>
    <t>UP/000070/25-26</t>
  </si>
  <si>
    <t>Uploaded on 11.09.2025</t>
  </si>
  <si>
    <t>Uploaded on 15.09.2025</t>
  </si>
  <si>
    <t>16/09/2025</t>
  </si>
  <si>
    <t>Charges toward removing existing trolly wheel</t>
  </si>
  <si>
    <t>Providing and fixing trolly new pu wheel 6", ( make - Johnsons )</t>
  </si>
  <si>
    <t>Providing and fixing trolly new rubber wheel 10". ( make - Load king heavy duty ) Size - 10"x2"</t>
  </si>
  <si>
    <t>Providing and fixing trolly new rubber wheel 8". ( make - Load king heavy duty )  Size - 8"x2"</t>
  </si>
  <si>
    <t>17/09/2025</t>
  </si>
  <si>
    <t>Supply of 1.5 Sqmm 4 Core Cable Make:- Havells/Polycab</t>
  </si>
  <si>
    <t>( LL03 ) HCL TECHNOLOGIES LIMITED - SEZ Unit-IV, Ground Floor, IT Block No. 01, Lucknow</t>
  </si>
  <si>
    <t>Supply of 24Volt Relay ,(4 CO)</t>
  </si>
  <si>
    <t>Cable and Relay Commissioning Charges</t>
  </si>
  <si>
    <t>198/16.9.25</t>
  </si>
  <si>
    <t>199/18.9.25</t>
  </si>
  <si>
    <t>19/09/2025</t>
  </si>
  <si>
    <t>Supply and fixing SS kabja 1.5 inch with screw and as require material in tap off box</t>
  </si>
  <si>
    <t>Supply and fixing panel Hinges</t>
  </si>
  <si>
    <t>Providing and applying Deco paint on tap off box</t>
  </si>
  <si>
    <t>Cutting for Tap off box as require with civil work cutting repairing all complete</t>
  </si>
  <si>
    <t>199/19.9.25</t>
  </si>
  <si>
    <t>Dust, Rodi</t>
  </si>
  <si>
    <t>102/18/9/2025</t>
  </si>
  <si>
    <t>101/15.9.25</t>
  </si>
  <si>
    <t>100/8/9/25</t>
  </si>
  <si>
    <t>UP/000072/25-26</t>
  </si>
  <si>
    <t>20/9/2025</t>
  </si>
  <si>
    <t>Sub-Automation of Diesel Pumps-2 Nos</t>
  </si>
  <si>
    <t>23/09/2025</t>
  </si>
  <si>
    <t>Supply of Fan Blade Assembly for FCW-180 ( Assembly consist of 4 blades + 1 Hub + 1 Bush) Make-Multi wing, warranty-01year</t>
  </si>
  <si>
    <t>Installation Charges of Fan Blade Assembly for FCW</t>
  </si>
  <si>
    <t>20 Hinges</t>
  </si>
  <si>
    <t>107/23.8.25, 108/24.9.25</t>
  </si>
  <si>
    <t>201/23.09.25</t>
  </si>
  <si>
    <t>Uploaded on 24.09.25</t>
  </si>
  <si>
    <t>200/22.9.25</t>
  </si>
  <si>
    <t>UP/000073/25-26</t>
  </si>
  <si>
    <t>26/9/2025</t>
  </si>
  <si>
    <t>UP/000074/25-26</t>
  </si>
  <si>
    <t>112/26/9/25</t>
  </si>
  <si>
    <t>96/8/9/2025, 113/26.9.25</t>
  </si>
  <si>
    <t>105/19.8.25, 110/24.9.25</t>
  </si>
  <si>
    <t>UP/000075/25-26</t>
  </si>
  <si>
    <t>30/9/2025</t>
  </si>
  <si>
    <t>115/30.9.25</t>
  </si>
  <si>
    <t>116/30.9.25</t>
  </si>
  <si>
    <t>113/30.9.25</t>
  </si>
  <si>
    <t>( AG12 ) HCL TECHNOLOGIES LIMITED - Sec-8, Manesar Gurgaon</t>
  </si>
  <si>
    <t xml:space="preserve">Dumping Yard cleaning at Manesar campus </t>
  </si>
  <si>
    <t>Providing and fixing of 2'x2' Ceiling Pre-made Trap Door including suspension arrangement and hanging with chain complete as per site requirement</t>
  </si>
  <si>
    <t>Providing &amp; Fixing Z-Black granite Stone fixing with cement mortar etc. complete</t>
  </si>
  <si>
    <t>Dismentling of granite stone and cement mortar</t>
  </si>
  <si>
    <t>DisBrickwork in cement mortar</t>
  </si>
  <si>
    <t>Malba Shifting - Debris Shifting of Malba</t>
  </si>
  <si>
    <t>Trolley</t>
  </si>
  <si>
    <t>PO revised with Tax</t>
  </si>
  <si>
    <t>Repair and replacement of 1KVA 12V 7AH UPS Battery, make-Exide</t>
  </si>
  <si>
    <t>Supply and fixing of float switch</t>
  </si>
  <si>
    <t>Supply and fixing of 1.5 Sqmm X 3 Core Copper flexible cable, make: Polycab</t>
  </si>
  <si>
    <t>Supply and installation of Digital water controller automation with Ganga pumps</t>
  </si>
  <si>
    <t>Core Cutting with Fitting Arrangement as required</t>
  </si>
  <si>
    <t>Supply and fixing of 20mm conduit pipe</t>
  </si>
  <si>
    <t>124/10/10/25</t>
  </si>
  <si>
    <t>Cement, Dust</t>
  </si>
  <si>
    <t>123/10/10/25</t>
  </si>
  <si>
    <t>Ballcock Make: ROCA Model: Roca Inlet Assembly R9OE30005099 Selendra Plus Concealed Cistern</t>
  </si>
  <si>
    <t>Bottle Trap Make: Jaguar Model: ALD-CHR-769L250X190</t>
  </si>
  <si>
    <t>Angle Valve Make: Jaguar  Jaguar AQT-CHR-3057</t>
  </si>
  <si>
    <t>Water tap Battery cover Make: Jaguar Model: Jaquar Water Tap Sensor Battery Box For Jaquar Sensor Faucet SNR-CHR-51021</t>
  </si>
  <si>
    <t>Urinal connection pipe Make: generic Model: PVC Urinal Sensor Connection Outlet Pipe 6 Inch</t>
  </si>
  <si>
    <t>Water tap connection pipe male/female 40" Make: jaguar Model: Jaquar 600 MM Long Braided Hose With M10X1 Nipple 15 MM Nut ALD CHR-801B</t>
  </si>
  <si>
    <t>Uploaded on 13/10/2025</t>
  </si>
  <si>
    <t>Uploaded on 14.10.225</t>
  </si>
  <si>
    <t>UP/000077/25-26</t>
  </si>
  <si>
    <t>14/10/2025</t>
  </si>
  <si>
    <t>Uploaded on 15.10.25</t>
  </si>
  <si>
    <t>16/10/2025</t>
  </si>
  <si>
    <t>( IN31 ) HCL TECHNOLOGIES LIMITED</t>
  </si>
  <si>
    <t>Supply of Osram Constant Current LED Driver Optotronic 15W 150 Ma 220-240V LD 15/220-240/1A0 NFC</t>
  </si>
  <si>
    <t>17/10/2025</t>
  </si>
  <si>
    <t>Rice light 15Mtrs length, color warm white</t>
  </si>
  <si>
    <t>Rice light 15Mtrs length, color Blue</t>
  </si>
  <si>
    <t>Rope light 45 Mtrs length, color warm white along with connectors</t>
  </si>
  <si>
    <t xml:space="preserve">PVC Cable clip 1inch(1pkt-100pcs) </t>
  </si>
  <si>
    <t>PVC Cable clip ½ inch(1pkt-100pcs)</t>
  </si>
  <si>
    <t>PVC Tape(1Box-30pcs) - Steelgrip</t>
  </si>
  <si>
    <t>UP/000078/25-26</t>
  </si>
  <si>
    <t>24/10/2025</t>
  </si>
  <si>
    <t>Supply of inline fan, Make: Vents, Model-VSM -315(S) 295 w 1920 M3/h 2720min-1</t>
  </si>
  <si>
    <t>Electromagnetic Flow Meter Size: 50 mm (Make-Everest) (Inlet), Integral Display/ PTFE Lining , Product Code: ESI EMAG 50 I P, Flow Rate:- 1.41 to 84.82 m3/hr.</t>
  </si>
  <si>
    <t>Electromagnetic Flow Meter Size : 32 mm (Make-Everest) (Outlet) Integral Display/ PTFE Lining Product Code: ESI EMAG 32 I P, Flow Rate :- 0.58 to 34.91 m3/hr.</t>
  </si>
  <si>
    <t>Uploaded on 28.10.25</t>
  </si>
  <si>
    <t>UP/000080/25-26</t>
  </si>
  <si>
    <t>31/10/2025</t>
  </si>
  <si>
    <t>UP/000079/25-26</t>
  </si>
  <si>
    <t>Uploaded on 31.10.25</t>
  </si>
  <si>
    <t>Uploaded on 03.11.25</t>
  </si>
  <si>
    <t>UP/000081/25-26</t>
  </si>
  <si>
    <t>132/31.10.25</t>
  </si>
  <si>
    <t>73/07/25, 130/27.10.25</t>
  </si>
  <si>
    <t>UP/000087/25-26</t>
  </si>
  <si>
    <t>UP/000086/25-26</t>
  </si>
  <si>
    <t>UP/000085/25-26</t>
  </si>
  <si>
    <t>UP/000084/25-26</t>
  </si>
  <si>
    <t>UP/000083/25-26</t>
  </si>
  <si>
    <t>UP/000082/25-26</t>
  </si>
  <si>
    <t>UP/000088/25-26</t>
  </si>
  <si>
    <t>135/0611.25</t>
  </si>
  <si>
    <t>136/07.11.25</t>
  </si>
  <si>
    <t>Uploaded on 04.06.2025</t>
  </si>
  <si>
    <t>Uploaded on 01.07.2025</t>
  </si>
  <si>
    <t>Uploaded on 31.07.2025</t>
  </si>
  <si>
    <t>Uploaded on 10.11.25</t>
  </si>
  <si>
    <t xml:space="preserve">Removing the existing Glass door
 	</t>
  </si>
  <si>
    <t>Providing and fixing the 12mm thick toughned glass door</t>
  </si>
  <si>
    <t>13/11/2025</t>
  </si>
  <si>
    <t>UP-000090/25-26</t>
  </si>
  <si>
    <t>UP-000091/25-26</t>
  </si>
  <si>
    <t>HR/000132/25-26</t>
  </si>
  <si>
    <t>Uploaded on 13.11.25</t>
  </si>
  <si>
    <t>73/07/25, 138/14.11.25</t>
  </si>
  <si>
    <t>17/11/2025</t>
  </si>
  <si>
    <t>Supply and installation of 100mm X 3 mtrs MS electric pole including required material</t>
  </si>
  <si>
    <t>Supply and fixing of 2.5 SqmmX 3 core cables (MakePolycab)</t>
  </si>
  <si>
    <t>Cable end termination</t>
  </si>
  <si>
    <t>Fixing of existing lights</t>
  </si>
  <si>
    <t>Dismantling of existing MS pole and all connection shifting to as direction by site engineer</t>
  </si>
  <si>
    <t>Uploaded on 19.11.25</t>
  </si>
  <si>
    <t>UP/000092/25-26</t>
  </si>
  <si>
    <t>UP/000091/25-26</t>
  </si>
  <si>
    <t>140/20.11.25</t>
  </si>
  <si>
    <t>148/21.11.25</t>
  </si>
  <si>
    <t>149/26.11.25</t>
  </si>
  <si>
    <t>149/16.11.25</t>
  </si>
  <si>
    <t>151/1.12.25</t>
  </si>
  <si>
    <t>Digging of soil as per site requirement for Fire Pipeline Tracing — size approx. 5 ft (width) x 4 ft (depth) x 30 ft (length), including breaking of RCC (if any), excavation under/around existing pipeline or obstruction, and refilling the trench after completion of work</t>
  </si>
  <si>
    <t>Cu.ft</t>
  </si>
  <si>
    <t>Supply and Installation of 50 mm C class MS Pipe with all required accessories like Elbow, Socket etc.</t>
  </si>
  <si>
    <t>Supply and Installation of 65mm C class MS Pipe with all required accessories like Elbow, Socket etc.</t>
  </si>
  <si>
    <t>Supply and installation of 50mm Butterfly Valve with flange and welding work (Make-Zoloto)</t>
  </si>
  <si>
    <t>Supply and installation of Butterfly valve 80 mm as required complete with all accessories</t>
  </si>
  <si>
    <t>Dismantling of existing 50 mm and 65 mm MS pipe with cutting welding fabrication and enamel painting work on new MS Pipeline</t>
  </si>
  <si>
    <t>Core Cuttings 100 mm</t>
  </si>
  <si>
    <t>UP/000093/25-26</t>
  </si>
  <si>
    <t>20/11/2025</t>
  </si>
  <si>
    <t>Supply &amp; installation of Flag pulley including fitting/accessory</t>
  </si>
  <si>
    <t xml:space="preserve">Hydra cost including the installation Charge
 	</t>
  </si>
  <si>
    <t>UP/000094/25-26</t>
  </si>
  <si>
    <t>Uploaded on 08.12.25</t>
  </si>
  <si>
    <t>Uploaded on 09.12.25</t>
  </si>
  <si>
    <t>UP/000095/25-26</t>
  </si>
  <si>
    <t xml:space="preserve">Supply and Installation of Push bar lock (Model no: PHA 2000 1-Point modular) </t>
  </si>
  <si>
    <t>154/10.12.25</t>
  </si>
  <si>
    <t>156/11.12.25</t>
  </si>
  <si>
    <t>98/8/9/25,  156/11.12.25</t>
  </si>
  <si>
    <t>155/11.12.25</t>
  </si>
  <si>
    <t>Putty/Paint</t>
  </si>
  <si>
    <t>158/15.12.25</t>
  </si>
  <si>
    <t>UP/000097/25-26</t>
  </si>
  <si>
    <t>16/12/2025</t>
  </si>
  <si>
    <t>UP/000098/25-26</t>
  </si>
  <si>
    <t>160/17.12.25</t>
  </si>
  <si>
    <t>UP/000099/25-26</t>
  </si>
  <si>
    <t>17/12/2025</t>
  </si>
  <si>
    <t>24+36</t>
  </si>
  <si>
    <t>153/4.12.25, 161/18.12.25</t>
  </si>
  <si>
    <t>19/12/2025</t>
  </si>
  <si>
    <t>Jockey pump 15 hp motor winding charges with replacement of bearing set and rotor reconditioning</t>
  </si>
  <si>
    <t>Uploaded on 19.12.25</t>
  </si>
  <si>
    <t>162/22.12.25</t>
  </si>
  <si>
    <t>23/12/2025</t>
  </si>
  <si>
    <t>Supply and fixing 2.5 mm X 3 C Cu. flexible cable, make: Polycab/Finloex</t>
  </si>
  <si>
    <t>UP/000100/25-26</t>
  </si>
  <si>
    <t>24/12/2025</t>
  </si>
  <si>
    <t>UP/000102/25-26</t>
  </si>
  <si>
    <t>150/28.11.25</t>
  </si>
  <si>
    <t>152/28.11.25</t>
  </si>
  <si>
    <t>Uploaded on 26.12.25</t>
  </si>
  <si>
    <t>UP/000101/25-26</t>
  </si>
  <si>
    <t>26/12/2025</t>
  </si>
  <si>
    <t>Supreme Lifeline Elbow CPVC 90 Degree 40 MM</t>
  </si>
  <si>
    <t>Supreme Elbow CPVC 90 Degree 50 MM</t>
  </si>
  <si>
    <t>Supreme CPVC Tee 40 MM</t>
  </si>
  <si>
    <t xml:space="preserve">Supreme CPVC Socket 40 MM </t>
  </si>
  <si>
    <t>Supreme CPVC Socket 50 MM</t>
  </si>
  <si>
    <t>Supreme PVC End Cap 40 MM</t>
  </si>
  <si>
    <t xml:space="preserve">Supreme CPVC Solvent Cement Medium Bodied 1000ml </t>
  </si>
  <si>
    <t>159/17.12.25</t>
  </si>
  <si>
    <t>UP/000103/25-26</t>
  </si>
  <si>
    <t>27/12/2025</t>
  </si>
  <si>
    <t>UP/000104/25-26</t>
  </si>
  <si>
    <t>29/12/2025</t>
  </si>
  <si>
    <t>UP/000105/25-26</t>
  </si>
  <si>
    <t>30/12/2025</t>
  </si>
  <si>
    <t>Supply and fixing 20W LED Batten Tube light Cool White, make: Philips/Havells</t>
  </si>
  <si>
    <t>Supply and fixing 1.5 Sq mm 3 Core Cu. flexible cable, make: Polycab</t>
  </si>
  <si>
    <t>Supply and fixing PVC Conduit Pipe-25mm</t>
  </si>
  <si>
    <t>Supply and fixing 16 Amp combined box, make: Anchor, model-14310</t>
  </si>
  <si>
    <t>Gypsum cutting and refixing with painting</t>
  </si>
  <si>
    <t>31/12/2025</t>
  </si>
  <si>
    <t>Supply &amp; Installation of 5 mm Chequered plate (Apollo/ Jindal/ Surya)</t>
  </si>
  <si>
    <t>Supply &amp; Installation of 40x40x5 mm MS Angle (Apollo/ Jindal/ Surya)</t>
  </si>
  <si>
    <t>Dismantling and shifting of glass wool insulation in Basement–1, including labour charges, loading and unloading</t>
  </si>
  <si>
    <t>Debris shifting from inside the campus to outside the campus, including loading, unloading and labour charges</t>
  </si>
  <si>
    <t>Cutting labeling and repairing of Kota Stone and PCC</t>
  </si>
  <si>
    <t>Supply and fixing of 16 mm anchor fastner or 16 mm sharya fastner as require for suitable</t>
  </si>
  <si>
    <t>Providing and applying Red-Oxide on Chequered plate and Angle</t>
  </si>
  <si>
    <t>Providing and applying Enamel paint on Chequered plate and Angle</t>
  </si>
  <si>
    <t>UP/000106/25-26</t>
  </si>
  <si>
    <t>Dismantling of existing Gym rubber mat flooring and shifting to basement</t>
  </si>
  <si>
    <t>Providing &amp; Fixing 10mm thick Gym Rubber Mat Floor Tiles with adhesive including floor repairing wherever required , with 1 year warranty
Makes- Fab Floorings India Pvt Ltd/Amazing Floors</t>
  </si>
  <si>
    <t>Providing and fixing 12 mm thick plywood with 1 mm mica laminate finish for wall paneling, including all necessary materials, labor, and finishing (Make Century, Green ply, Marino)</t>
  </si>
  <si>
    <t>( AG15 ) HCL TECHNOLOGIES LIMITED - Gurgaon</t>
  </si>
  <si>
    <t>SUPPLY OF 12 V, 100 AH, SEALED LEAD ACID BATTERY EXIDE POWER SAFE PLUS, warranty-03years</t>
  </si>
  <si>
    <t>SERVICING AND REPAIRING OF, MICROTEK 1600 VA/1275W INVERTER, WITH MINOR SPARES</t>
  </si>
  <si>
    <t>163/2.1.26</t>
  </si>
  <si>
    <t>164/3.1.26</t>
  </si>
  <si>
    <t>UP/000107/25-26</t>
  </si>
  <si>
    <t>Supply &amp; Installation of Hanging Light 15 Watt, make:Havells, model:UNECO</t>
  </si>
  <si>
    <t>Supply &amp; Installation of Light Sensor,make: MK,model:K5017</t>
  </si>
  <si>
    <t>Supply &amp; Installation of Led Driver,make:Osram,model: Optronic 15W 150 Ma 220-240V LD 15/220-240/1A0 NFC</t>
  </si>
  <si>
    <t>Uploaded on 08.01.2026</t>
  </si>
  <si>
    <t>Charges for supply and installation of 0.5HP monoblock pumps depend on the pump model, location, labor, and fittings (Make: -Crompton/Havells)</t>
  </si>
  <si>
    <t>Charges for providing and fixing a 150mm thick cellulose pad eliminator (Size 6X4 feet) with approx. 88-89% water distribution efficiency, including GI sheet as required</t>
  </si>
  <si>
    <t>Providing, fabrication and fixing 22-gauge GI duct for exhaust (approx. 185 Sqft)</t>
  </si>
  <si>
    <t>Providing, fabrication and fixing MS 2 mm jali on exhaust fan inside for safety (Size-2.5' X 2')</t>
  </si>
  <si>
    <t>Providing and fixing of Metro Sheet with MS Structure (Size 14'X8') including civil and all complete work</t>
  </si>
  <si>
    <t>Providing and fixing fresh Air filter (Size-2'X2')</t>
  </si>
  <si>
    <t>Carefully dismantling and removing the existing stone/marble flooring/wall cladding without damaging the surrounding structure</t>
  </si>
  <si>
    <t>Supplying and fixing Sadar Ali stone of 16 to 18 mm thickness in flooring and wall areas as directed, using approved quality stone with uniform texture and free from visible defects. The stone shall be fixed over the prepared surface using suitable adhesive or cement mortar, ensuring proper alignment of all joints, which shall be neatly filled with matching grout</t>
  </si>
  <si>
    <t>Debris and waste material shall be removed from the site</t>
  </si>
  <si>
    <t>UP/000108/25-26</t>
  </si>
  <si>
    <t>UP/000109/25-26</t>
  </si>
  <si>
    <t>167/08.01.26</t>
  </si>
  <si>
    <t>Uploaded on 12/01/2026</t>
  </si>
  <si>
    <t>Providing &amp; installting MS Railing for Barrication of VRF Units (2" dia MS Hollow pipe ) with all required hardwares and paint finish ( MS Barricate with Horizontal members supports also ) ( 5'*3')</t>
  </si>
  <si>
    <t>Providing &amp; installting MS Railing for Barrication of VRF Units (2" MS Hollow pipe ) with all required plates and hardwares and paint finish ( MS Barricate U Type with Horizontal members supports also ) ( 7'*3')</t>
  </si>
  <si>
    <t>RCC Pedestal for MS Pipe Support (300*300mm)</t>
  </si>
  <si>
    <t>Providing and fixing of fan light 12 mm Toughened glass (Make Saint-Gobain)</t>
  </si>
  <si>
    <t>Existing fan light glass dismantles and shifting to as directions by engineer</t>
  </si>
  <si>
    <t>Exiting glass dismantle and refixing</t>
  </si>
  <si>
    <t>Uploaded on 15.01.26</t>
  </si>
  <si>
    <t>166/08.1.25</t>
  </si>
  <si>
    <t>170/15.1.25</t>
  </si>
  <si>
    <t>168/09.01.26</t>
  </si>
  <si>
    <t>16/01/2026</t>
  </si>
  <si>
    <t>Supply &amp; installation of Wooden shelf</t>
  </si>
  <si>
    <t xml:space="preserve">Supply &amp; installation of Lacquered glass with wooden bidding Size 3 ft 10 inch x 3 ft </t>
  </si>
  <si>
    <t>GST %</t>
  </si>
  <si>
    <t>PO No</t>
  </si>
  <si>
    <t xml:space="preserve">Date </t>
  </si>
  <si>
    <t>Basic Amount</t>
  </si>
  <si>
    <t>Tax</t>
  </si>
  <si>
    <t>02.01.2026</t>
  </si>
  <si>
    <t>Sec-60</t>
  </si>
  <si>
    <t>S.no</t>
  </si>
  <si>
    <t>Replacement of Damaged Reception Glass Door Partition.</t>
  </si>
  <si>
    <t>ODC-6 Cabin work</t>
  </si>
  <si>
    <t>16.01.2026</t>
  </si>
  <si>
    <t>12.01.2026</t>
  </si>
  <si>
    <t>Supply and fixing of Sadar Ali Stone</t>
  </si>
  <si>
    <t>MS railing in front of HVAC VRF ODU</t>
  </si>
  <si>
    <t>Rubber Mat Flooring for Gym Area for Noida Campus.</t>
  </si>
  <si>
    <t>Sec-126</t>
  </si>
  <si>
    <t>31.12.2025</t>
  </si>
  <si>
    <t>29.12.2025</t>
  </si>
  <si>
    <t>Soil Digging Work (Fire Pipeline Tracing).</t>
  </si>
  <si>
    <t>02.12.2025</t>
  </si>
  <si>
    <t xml:space="preserve">Chequered Plates to Close Gaps in Electrical Rooms at Tower3 </t>
  </si>
  <si>
    <t>Wooden paneling on wall pertaining to A89 Sector- 60</t>
  </si>
  <si>
    <t>13.01.2026</t>
  </si>
  <si>
    <t>172/19.1.26</t>
  </si>
  <si>
    <t>173/19.1.26</t>
  </si>
  <si>
    <t>174/20.1.26</t>
  </si>
  <si>
    <t>20/01/2026</t>
  </si>
  <si>
    <t>Providing and fixing 10mm acrylic sheet with aluminium framing box type</t>
  </si>
  <si>
    <t>Providing and fixing signage made out by acrylic sheet with led glow (size 3.5 x 1 feet)</t>
  </si>
  <si>
    <t>Removing the existing balcony door for alignment</t>
  </si>
  <si>
    <t>Fixing the available door after alignment</t>
  </si>
  <si>
    <t>Removing the existing handle/lock from the door</t>
  </si>
  <si>
    <t>Providing and fixing the Handle with cylindrical lock.(make Standard)</t>
  </si>
  <si>
    <t>Providing and fixing the square bidding</t>
  </si>
  <si>
    <t>Providing and fixing the heavy type door hinges(make - Standard)</t>
  </si>
  <si>
    <t xml:space="preserve">Painting work with Duco Paint </t>
  </si>
  <si>
    <t>176/23.1.26</t>
  </si>
  <si>
    <t>175/22.1.26</t>
  </si>
  <si>
    <t>178/27.1.26</t>
  </si>
  <si>
    <t>Providing and applying plastic paint in New base 2 or more coad</t>
  </si>
  <si>
    <t>30/01/2026</t>
  </si>
  <si>
    <t>Providing and fixing 5 mm acrylic sheet, size approx. 1250 x 750 mm, including dismantling and refixing of aluminum beading</t>
  </si>
  <si>
    <t>Uploaded on 30.01.26</t>
  </si>
  <si>
    <t>UP/000112/25-26</t>
  </si>
  <si>
    <t>Dismantling the damaged kota</t>
  </si>
  <si>
    <t>Providing and fixing the SS railing 304</t>
  </si>
  <si>
    <t>Providing and fixing the SS strip of 1"wide, 304</t>
  </si>
  <si>
    <t>Providing and fixing the SS support for SS Hand rail, 304</t>
  </si>
  <si>
    <t>Providing and fixing the Kota skirting</t>
  </si>
  <si>
    <t>Providing and fixing the Staircase Kota</t>
  </si>
  <si>
    <t>Providing and fixing the Double Fire door hardwares and door Alignment is also included (Hardware: -door closer,panic bar,lever handle, Dead lock,Tower bolt)</t>
  </si>
  <si>
    <t>Providing and fixing the vision glass on Fire door</t>
  </si>
  <si>
    <t>Tractor trolly for debris removal from campus</t>
  </si>
  <si>
    <t>177/27.01.26</t>
  </si>
  <si>
    <t>181/02.02.26</t>
  </si>
  <si>
    <t>Uploaded on 02.02.2026</t>
  </si>
  <si>
    <t>PO Cancelled</t>
  </si>
  <si>
    <t>UP/000110/25-26</t>
  </si>
  <si>
    <t>27/01/2026</t>
  </si>
  <si>
    <t>UP/000111/25-26</t>
  </si>
  <si>
    <t>Providing and applying red enamel paint on polycarbonate 5000 ltr. water tank</t>
  </si>
  <si>
    <t>Marking on tank</t>
  </si>
  <si>
    <t>182/04.02.26</t>
  </si>
  <si>
    <t>183/04.02.26</t>
  </si>
  <si>
    <t>Biggie Bean Bag 4XL Bean Bag Chair with Beans Filled-Bean Bag Sofa with Footrest-4XL Bean Bags</t>
  </si>
  <si>
    <t>Cement-7, Dust-50ft</t>
  </si>
  <si>
    <t>184/2.2.26</t>
  </si>
  <si>
    <t>185/2.2.26</t>
  </si>
  <si>
    <t>Supply and fixing of 2.5 mm X 3 C Cu. flexible cable, make: Polycab/Havells</t>
  </si>
  <si>
    <t>Supply and fixing of 16amp Raw power point(1x socket + 1xswitch),make-Honeywell(MK)  is required at all 5 locations</t>
  </si>
  <si>
    <t>Supply and fixing of 32Amp ABB(SP) required to be supplied &amp; fixing at DB)</t>
  </si>
  <si>
    <t>Removing &amp; Refixing the new Mosquito mesh in existing framing .(Size-2000x1580mm</t>
  </si>
  <si>
    <t>Removing &amp; Refixing the new Mosquito mesh in existing framing.(Size-2020x720mm</t>
  </si>
  <si>
    <t>Apply the Duco paint on existing framing</t>
  </si>
  <si>
    <t>Providing and fixing 10 sq mm 4 core Cu. Armoured cable, Make - Polycab</t>
  </si>
  <si>
    <t>Providing and fixing of 10-way TPN DB, Make - Schneider / ABB</t>
  </si>
  <si>
    <t>Providing and fixing of 63 Amp TPN, Make - Schneider / ABB</t>
  </si>
  <si>
    <t>Providing and fixing 10 Amp SP MCB, Make - Schneider / ABB</t>
  </si>
  <si>
    <t>Installation and Terminations-10 Sqmm X 4 Core Copper Armoured Cable Terminations Including Double Compressor Cable Glands, Lugs, Cotton Tapes, PVC Tapes etc., complete</t>
  </si>
  <si>
    <t>Supply of Energy meter MODEL L&amp;T WL 400010 With enclosure Size 300X300 x200, 3 no CT, and MCB with complete wiring</t>
  </si>
  <si>
    <t>Providing of TPN DB 18 way complete set with TPN and MCB,make:ABB/L&amp;T</t>
  </si>
  <si>
    <t>Providing of SPN DB 6 Way complete set with DP and MCB,make:ABB/L&amp;T</t>
  </si>
  <si>
    <t>Providing of 4mmx3 C Cu. flexible cable,make:Polycab/Havells</t>
  </si>
  <si>
    <t>Providing of 6 mm single core wire,make:Polycab/Havells</t>
  </si>
  <si>
    <t>Providing of MCB 6A,make:ABB/L&amp;T</t>
  </si>
  <si>
    <t>Providing of CT 60/5, make: Standard</t>
  </si>
  <si>
    <t>Providing and fixing of 25mm conduit pipe as require ceiling, wall</t>
  </si>
  <si>
    <t>Fixing of 6mmX 1 core wire with flexible pipes or conduit pipes</t>
  </si>
  <si>
    <t>Old DB dismantle and re-wiring</t>
  </si>
  <si>
    <t>Panel cutting and meter installation with MCCB, CT, PT, and wiring</t>
  </si>
  <si>
    <t>Meter installation with enclosure 300X300X200 mm</t>
  </si>
  <si>
    <t>Testing commissioning and Programing of energy meter</t>
  </si>
  <si>
    <t>Paint 3 L, Tarpin 1L</t>
  </si>
  <si>
    <t>13/02/2026</t>
  </si>
  <si>
    <t>Supply of Door closer Make- Hafele, DCL110</t>
  </si>
  <si>
    <t>Supply of Drawer chenal Screw 500g Make- Local</t>
  </si>
  <si>
    <t>Supply of Drawer lock set patti Make- Local 12 Inch</t>
  </si>
  <si>
    <t>Supply of Door hinges ( L Bihari ) Make- Hafele</t>
  </si>
  <si>
    <t>Supply of Drawer Square lock Make- Ebco E-SQLI-22M</t>
  </si>
  <si>
    <t>Supply of Gypsum Screw Make- Local 1/2 Inch</t>
  </si>
  <si>
    <t>Supply of Gypsum Screw Make- Local 1 Inch</t>
  </si>
  <si>
    <t>Supply of Gypsum Screw Make- Local 1.5 Inch</t>
  </si>
  <si>
    <t>Supply of Gypsum Screw Make- Local 2 Inch</t>
  </si>
  <si>
    <t>Supply of Pidilite</t>
  </si>
  <si>
    <t>Uploaded on 19.02.2026</t>
  </si>
  <si>
    <t>Uploaded on 19.02.26</t>
  </si>
  <si>
    <t>190/19.2.26</t>
  </si>
  <si>
    <t>184/13.2.26</t>
  </si>
  <si>
    <t>Uploaded on 20.02.26</t>
  </si>
  <si>
    <t>20/2/2026</t>
  </si>
  <si>
    <t>20/02/2026</t>
  </si>
  <si>
    <t>Laying and fixing of 4-inch MS C-Class Pipe including with bends, joints, supporting structure, testing etc complete as required</t>
  </si>
  <si>
    <t>Laying and fixing of 3-inch MS C-Class Pipe including with bends, joints, supporting structure, testing etc complete as required</t>
  </si>
  <si>
    <t>Laying and fixing of 65mm MS C-Class Pipe including with bends, joints, supporting structure, testing etc complete as required</t>
  </si>
  <si>
    <t>Laying and fixing of 50mm MS C-Class Pipe including with bends, joints, supporting structure, testing etc complete as required</t>
  </si>
  <si>
    <t>Installation of 100mm PRV with required hardware and accessories</t>
  </si>
  <si>
    <t>Installation of 80mm PRV with required hardware and accessories</t>
  </si>
  <si>
    <t>Installation of 100mm MS nipple with required hardware and accessories</t>
  </si>
  <si>
    <t>Installation of 80mm MS nipple with required hardware and accessories</t>
  </si>
  <si>
    <t>Installation of Butterfly valve and flange, including</t>
  </si>
  <si>
    <t>Installation of Ball valves with proper alignment, testing and commissioning</t>
  </si>
  <si>
    <t>Dismantling of chequered 2X2 Feet plate including stacking and disposal as directed by site engineer</t>
  </si>
  <si>
    <t>Dismantling of RCC floor 2X2 Feet including stacking and disposal as directed by site engineer</t>
  </si>
  <si>
    <t>Providing and applying 2 coats of enamel paint on MS pipes including surface preparation, priming and finishing</t>
  </si>
  <si>
    <t>Providing and applying 2 coats of red oxide on MS pipes including surface preparation, priming and finishing</t>
  </si>
  <si>
    <t>Charges for making the MS Header using 3- and 4-inch MS Pipe, flange, elbow, MTA, Nipple, reducer, nipple, primer etc. complete as required</t>
  </si>
  <si>
    <t>Supply and fixing of CPVC nipple, elbow, reducer and other supportive hardware’s and accessories for domestic line</t>
  </si>
  <si>
    <t>Supply and fixing of CPVC nipple, elbow, reducer and other supportive hardware’s and accessories for flushing line</t>
  </si>
  <si>
    <t>Dismantling the old existing MS pipeline</t>
  </si>
  <si>
    <t>Dismantling of existing 80mm and 50mm CPVC line</t>
  </si>
  <si>
    <t>Removal of debris from Tower-6 to outside the campus by tractor</t>
  </si>
  <si>
    <t>Removal of waste MS and CPVC Material from Tower- 6 to scrap yard by tractor</t>
  </si>
  <si>
    <t>Providing and fixing of 50x50x3 mm Apollo steel paneling- Supplying, cutting, and fixing MS Apollo steel square tube sections of size 50x50 mm with 3 ans 50x25 with 3mm thickness, including welding, grinding, and painting</t>
  </si>
  <si>
    <t>Providing and fixing of 200x200x10 mm MS plate (approx. 85 kg) -Supplying and fixing MS base plates of size 200x200 mm and 10 mm thickness (approximate weight 85 kg per plate), including drilling, welding, and anchoring</t>
  </si>
  <si>
    <t>Supplying and installing of approved fasteners of suitable size and grade for structural anchoring, including drilling, cleaning, and grouting as per manufacturer's specifications</t>
  </si>
  <si>
    <t>Supplying and fixing pre-coated galvanized iron (GI) Metro profile sheets for cladding, including all necessary fixtures, overlaps, ridge cover, and sealing</t>
  </si>
  <si>
    <t>Providing and fixing 9-inch brick wall 1 feet</t>
  </si>
  <si>
    <t>Providing and Applying sand plastering</t>
  </si>
  <si>
    <t>Providing and Applying enamel painting</t>
  </si>
  <si>
    <t>Providing and Fixing of RCC 1'x1.5' For MS Colum Filling</t>
  </si>
  <si>
    <t>194/23.2.25</t>
  </si>
  <si>
    <t>24/02/2026</t>
  </si>
  <si>
    <t>Supplying of 4-inch MS C-Class Pipes, 5.4mm thick conforming to IS:1239- Jindal/Hissar</t>
  </si>
  <si>
    <t>Supplying of 3-inch MS C-Class Pipes, 4.5mm thick conforming to IS:1239- Jindal/Hissar</t>
  </si>
  <si>
    <t>Supplying of 65mm MS C-Class Pipes, conforming to IS:1239- Jindal/Hissar</t>
  </si>
  <si>
    <t>Supplying of 50mm MS C-Class Pipes, conforming to IS:1239- Jindal/Hissar</t>
  </si>
  <si>
    <t>Supplying of 100mm Pressure reducing valve (PRV) - Zoloto/Sant</t>
  </si>
  <si>
    <t>Supplying of 80mm Pressure reducing valve (PRV) - Zoloto/Sant</t>
  </si>
  <si>
    <t>Supplying of 100mm MS Nipple</t>
  </si>
  <si>
    <t>Supplying of 80mm MS Nipple</t>
  </si>
  <si>
    <t>Supplying of 100mm CI Butterfly valve including all accessories and hardware - Audco</t>
  </si>
  <si>
    <t>Supplying of 80mm CI Butterfly valve including all accessories and hardware - Audco</t>
  </si>
  <si>
    <t>Supplying of 50mm CI Butterfly valve including all accessories and hardware - Audco</t>
  </si>
  <si>
    <t>Supplying of 100mm MS Flange including all accessories and hardware as required - Reputed</t>
  </si>
  <si>
    <t>Supplying of 80mm MS Flange valve including all accessories and hardware as required - Reputed</t>
  </si>
  <si>
    <t>Supplying of 50mm MS Flange valve including all accessories and hardware as required - Reputed</t>
  </si>
  <si>
    <t>Supplying of 25mm CS Ball valve including all accessories and hardware as required - Audco</t>
  </si>
  <si>
    <t>Supplying of 25mm ARV including all accessories and hardware as required - Zoloto/Sant</t>
  </si>
  <si>
    <t>Supplying of 25mm MTA including all accessories and hardware as required - Reputed make</t>
  </si>
  <si>
    <t>Supplying of 100mm MS elbow</t>
  </si>
  <si>
    <t>Supplying of 80mm MS elbow</t>
  </si>
  <si>
    <t>Supplying of 50mm MS elbow</t>
  </si>
  <si>
    <t>Supplying of 25mm MS nipple</t>
  </si>
  <si>
    <t>Supplying of 50mm CPVC Flange- Supreme</t>
  </si>
  <si>
    <t>Supply of nut, bolt, washer and hardware of required size and material</t>
  </si>
  <si>
    <t>195/23.2.26</t>
  </si>
  <si>
    <t>193/23.2.26</t>
  </si>
  <si>
    <t>UP/000113/25-26</t>
  </si>
  <si>
    <t>UP/000114/25-26</t>
  </si>
  <si>
    <t>27/02/2026</t>
  </si>
  <si>
    <t>( IN21 ) HCL TECHNOLOGIES LIMITED</t>
  </si>
  <si>
    <t>Dismantling &amp; repairing the floor from cement mortar</t>
  </si>
  <si>
    <t>Removing &amp; Refixing the carpet</t>
  </si>
  <si>
    <t>Providing and fixing the wire manager on table</t>
  </si>
  <si>
    <t>Providing and laying the 100x50mm GI Raceway for data cables</t>
  </si>
  <si>
    <t>Providing and Laying the 40mm thick conduit for Data cables</t>
  </si>
  <si>
    <t>Cutting the table for fixing the Data Plate</t>
  </si>
  <si>
    <t>UP/000115/25-26</t>
  </si>
  <si>
    <t>210/02.03.26</t>
  </si>
  <si>
    <t>211/02.03.26</t>
  </si>
  <si>
    <t>212/02.03.26</t>
  </si>
  <si>
    <t>UP/000116/25-26</t>
  </si>
  <si>
    <t>Providing and fixing of 10 mm Toughened glass with 8 no hole size 25x59 inches</t>
  </si>
  <si>
    <t>Providing and fixing of 10 mm Toughened glass with 8 no hole size 25x47 inches</t>
  </si>
  <si>
    <t>Providing and fixing of 10 mm Toughened glass with 8 no hole size 25x51 inches</t>
  </si>
  <si>
    <t>Lifting shifting charges for ground floor to 3rd floor terrace</t>
  </si>
  <si>
    <t>Dismantle of existing glass and shifting to as direction of side Engineer</t>
  </si>
  <si>
    <t>UP/000117/25-26</t>
  </si>
  <si>
    <t>Uploaded on 03.03.26</t>
  </si>
  <si>
    <t>Supply and  fixing of wall tiles 300mmX 600mm or 300mmX450mm with civil work in at in new cup room , thick bed of cement mortar 1:3 (1Cement:3 coarse sand), joint to be field with grouted sealant with group cutting as per required. (Tiles shed exists match subject in market availability)Make- kajaria/Somany)</t>
  </si>
  <si>
    <t>Supply and fixing of floor tiles 600mmX 600mmafter repairing of floor with civil work in at in new cup room, thick bed of cement mortar 1:3(1Cement:3 coarse sand) ,joint to be field with grouted sealant with group cutting as per required .(Tiles shed exists match subject in market availability)Make- kajaria/Somany</t>
  </si>
  <si>
    <t>Labor charges for fixing of granite stone with molding polishing work on wash basin counter (granite stone provide by HCL)</t>
  </si>
  <si>
    <t>Supply and fixing 304 Grade Stainless Steel Single Bowl With Drain board Kitchen Sink including waste pipe  (Make- Nirali/Neelkanth/ Hindware)18X24</t>
  </si>
  <si>
    <t xml:space="preserve">Supply and fixing of 20mm CPVC pipe with elbow, socket, tee, Solvent etc.(Make -supreme) </t>
  </si>
  <si>
    <t>Supply and fixing of MTA 20mm(Make -supreme)</t>
  </si>
  <si>
    <t xml:space="preserve">Supply and fixing of MTA 20mm(Make -supreme) </t>
  </si>
  <si>
    <t>Supply and fixing of 20mm female brass elbow (Make -supreme)</t>
  </si>
  <si>
    <t>Supply and fixing of Sink Mixer with Raised ‘J’ Shaped Swinging Spout (Wall Mounted Model) with Connecting Legs &amp; Wall Flanges(Make- Jaquar CON-CHR-319KN)</t>
  </si>
  <si>
    <t>Supply and fixing of angle Valve(Make -Jaquar)</t>
  </si>
  <si>
    <t>Supply and fixing of SS drain jali 100mm (Make -Jaquar/ Equivalent)</t>
  </si>
  <si>
    <t>Supply and fixing of PVC connection pipe</t>
  </si>
  <si>
    <t>Labor charges for fixing PVC Pipe and fitting for water drain pipe and fitting Provide by HCL)</t>
  </si>
  <si>
    <t>Labor charges for fixing Geyser (Geyser and electrical point provided by HCL)</t>
  </si>
  <si>
    <t xml:space="preserve">Supply and fixing of PHILIPS 18W LED Square Star Surface Flush Mount Ceiling Lamp (Natural White) </t>
  </si>
  <si>
    <t xml:space="preserve">Supply and fixing of switch, batten and wire for lights ( ROMA) </t>
  </si>
  <si>
    <t>G.I ducting fabrication mild steeliness G.I Sheet Make TATA/Bhushan/ thickness 22 Gauge G.I Sheet inside hanging support and fastener, nut-bolt with threading rod, Flinch gas kit labour and material complete work(size-300mmX300mm)</t>
  </si>
  <si>
    <t xml:space="preserve">Supply and fixing of Exhaust Fan - 300 mm (Make-Crompton Greaves) </t>
  </si>
  <si>
    <t xml:space="preserve">Putty (JK Birla) old base </t>
  </si>
  <si>
    <t>Plastic Paint (Asian, Dulex, Berger) old base</t>
  </si>
  <si>
    <t>Providing of Electromagnetic Water Flow Meter 6410 Dia 25mm, warranty-01year</t>
  </si>
  <si>
    <t>Fixing of Electromagnetic Water Flow Meter 6410 Dia 25mm</t>
  </si>
  <si>
    <t xml:space="preserve"> AN08 ) HCL TECHNOLOGIES LIMITED</t>
  </si>
  <si>
    <t>Open And Closed Safety Sign Board PVC Sticker (Rectangle, 6-inch X 2 inch)</t>
  </si>
  <si>
    <t>Stools SS pipe Legs with cushion size height 18-inch rounds 14 inch for Multi-Purpose Seating</t>
  </si>
  <si>
    <t>Supply and fixing of 18 mm board with mica finish self 18x12 inch foldable type with hydraulic all complete at washroom</t>
  </si>
  <si>
    <t>Bathla make Industry use Ladder, Height- 6 Feet (Model No-SS 3006)</t>
  </si>
  <si>
    <t>Bathla makes Industry use Deluxe Self-Supporting Ladder, Height-12 Feet (Model No-DS 2012)</t>
  </si>
  <si>
    <t>Bathla makes Tower Tiltable Ladder Min. Door Size 2.30M (H) by 1.68M (B) (Model No-TX 1124)</t>
  </si>
  <si>
    <t>UP/000119/25-26</t>
  </si>
  <si>
    <t>UP/000118/25-26</t>
  </si>
  <si>
    <t>UP/000120/25-26</t>
  </si>
  <si>
    <t>Sevice</t>
  </si>
  <si>
    <t>Uploaded on 10.03.2026</t>
  </si>
  <si>
    <t>Order cancelled by client</t>
  </si>
  <si>
    <t>Supply and laying of 1.5 Sqmm 3 Core Cu. Flexible Cable, make - Polycab/Havells</t>
  </si>
  <si>
    <t>215/11.3.26</t>
  </si>
  <si>
    <t>Supply and fixing of Combined Box 6 Amp, make - Anchor</t>
  </si>
  <si>
    <t>Supply and fixing of 9V DC Adaptor, make - Standard</t>
  </si>
  <si>
    <t>Supply and fixing of PVC Batten 3/4", make - Standard</t>
  </si>
  <si>
    <t>Supply and fixing of Wall Tile (Size-1.5'X1'), make - Kajaria/Somani</t>
  </si>
  <si>
    <t>Making of Hole on Wall in bathroom</t>
  </si>
  <si>
    <t>188/12/2/26</t>
  </si>
  <si>
    <t>UP/000121/25-26</t>
  </si>
  <si>
    <t>UP/000122/25-26</t>
  </si>
  <si>
    <t>UP/000123/25-26</t>
  </si>
  <si>
    <t>UP/000124/25-26</t>
  </si>
  <si>
    <t>216/12.3.26</t>
  </si>
  <si>
    <t>Supply of 12Ah 12V battery, make-Exide</t>
  </si>
  <si>
    <t>Supply of 7Ah 12V battery, make-Exide</t>
  </si>
  <si>
    <t>217/13.3.26</t>
  </si>
  <si>
    <t>UP/000125/25-26</t>
  </si>
  <si>
    <t>13/3/2026</t>
  </si>
  <si>
    <t>218/13.3.26</t>
  </si>
  <si>
    <t xml:space="preserve">Installation of Air Curtains,make-Euronics,model-EAS6 </t>
  </si>
  <si>
    <t>Supply and fixing of 2.5 mm X 3 C Cu. flexible cable, make: Polycab/Havell</t>
  </si>
  <si>
    <t xml:space="preserve">Supply and laying of 25mm PVC conduit pipe, make-Reputed </t>
  </si>
  <si>
    <t>Supply and fixing of wooden framing with 18mm board
for air curtains</t>
  </si>
  <si>
    <t>MS Angle 70</t>
  </si>
  <si>
    <t>222/16.3.26</t>
  </si>
  <si>
    <t>Uploaded on 16.3.26</t>
  </si>
  <si>
    <t>16.03.2026</t>
  </si>
  <si>
    <t>Uploaded on 16.03.26</t>
  </si>
  <si>
    <t>16/3/2026</t>
  </si>
  <si>
    <t>PO Cancelled due to Material categery new po. No-9200160448</t>
  </si>
  <si>
    <t>17/3/2026</t>
  </si>
  <si>
    <t>Changed</t>
  </si>
  <si>
    <t>17/03/2026</t>
  </si>
  <si>
    <t>Supply and installation SS 304 barricade with round upper pipe 50 mm thick and inner pipe 25mm thick in 14 gauge. Four PU wheels will be installed at the bottom and two of which will have the breaks. Wheel size would be 4 inches. Double side SS plate of size 12 x 6 inches in 304 grades would be installed on barricade itself. Total Size of the barricade would be (Size - 4 feet with and 40 inches height</t>
  </si>
  <si>
    <t>221/18.3.26</t>
  </si>
  <si>
    <t>UP/000128/25-26</t>
  </si>
  <si>
    <t>19/3/2026</t>
  </si>
  <si>
    <t>UP/000127/25-26</t>
  </si>
  <si>
    <t>225/20.3.26</t>
  </si>
  <si>
    <t>Uploaded on 20.03.26</t>
  </si>
  <si>
    <t>20/3/2026</t>
  </si>
  <si>
    <t>UP/000129/25-26</t>
  </si>
  <si>
    <t>UP/000130/25-26</t>
  </si>
  <si>
    <t>20/03/2026</t>
  </si>
  <si>
    <t>UP/000131/25-26</t>
  </si>
  <si>
    <t>Uploaded on 21.03.26</t>
  </si>
  <si>
    <t>223/17.3.26</t>
  </si>
  <si>
    <t>223/23.3.26</t>
  </si>
  <si>
    <t>Uploaded on 25.03.26</t>
  </si>
  <si>
    <t>Uploaded on 25.3.26</t>
  </si>
  <si>
    <t>Uploaded on 23.03.26</t>
  </si>
  <si>
    <t>232/25.3.26</t>
  </si>
  <si>
    <t>UP/000132/25-26</t>
  </si>
  <si>
    <t>23/3/2026</t>
  </si>
  <si>
    <t>63 Mtr</t>
  </si>
  <si>
    <t>UP/000133/25-26</t>
  </si>
  <si>
    <t>UP/000134/25-26</t>
  </si>
  <si>
    <t>UP/000135/25-26</t>
  </si>
  <si>
    <t>Dust, Rodi, Cement</t>
  </si>
  <si>
    <t>230/24.3.26</t>
  </si>
  <si>
    <t>26/03/2026</t>
  </si>
  <si>
    <t xml:space="preserve">Supply of 2.5 Sqmm X 3 Cu. flexible cable Polycab </t>
  </si>
  <si>
    <t>Supply and fixing 4+4 Switch, Socket 6/16 Amp Face Plate and PVC Box Roma</t>
  </si>
  <si>
    <t xml:space="preserve">Laying of 2.5 Sqmm X 3 C Cu. flexible cable </t>
  </si>
  <si>
    <t>Cable End Termination</t>
  </si>
  <si>
    <t>Supply and fixing PVC Conduit pipe 3/4" - make - Standard</t>
  </si>
  <si>
    <t>Uploaded on 26.03.26</t>
  </si>
  <si>
    <t>Cement-4, Dust-30 ft</t>
  </si>
  <si>
    <t>234/27.3.26</t>
  </si>
  <si>
    <t>UP/000136/25-26</t>
  </si>
  <si>
    <t>27/03/2026</t>
  </si>
  <si>
    <t>Cancelled due to goods to service categary</t>
  </si>
  <si>
    <t>Uploaded on 27.3.26</t>
  </si>
  <si>
    <t>236/30.3.26</t>
  </si>
  <si>
    <t>Supply and fixing 2+2 Switch, Socket 6/16 Amp, Face Plate and MS Box  Roma</t>
  </si>
  <si>
    <t>238/30.3.26</t>
  </si>
  <si>
    <t>UP/000137/25-26</t>
  </si>
  <si>
    <t>30/3/2026</t>
  </si>
  <si>
    <t>237/30.3.26</t>
  </si>
  <si>
    <t>Uploaded on 30.03.2026</t>
  </si>
  <si>
    <t>Uploaded on 31.03.2025</t>
  </si>
  <si>
    <t>SITC Analog Volt Meter Make (AE)</t>
  </si>
  <si>
    <t>SITC Analog Amp Meter Make (AE)</t>
  </si>
  <si>
    <t>SITC Dual Plate NRV 3 inch Make (Zoloto)</t>
  </si>
  <si>
    <t>SITC Dual Plate NRV 4 inch Make (Zoloto)</t>
  </si>
  <si>
    <t>SITC Brass Ball Valve 4 inch Make (Zoloto)</t>
  </si>
  <si>
    <t>SITC Float Valve Make (Nolta)</t>
  </si>
  <si>
    <t>SITC DOL Motor Starter for Operating 2 no. 7.5 HP Pump Make (Standard)</t>
  </si>
  <si>
    <t>Service of Pump header dismantling and Refixing 2 no. Butterfly Valve and 2 no. NRV</t>
  </si>
  <si>
    <t>SITC Upvc Pipe 4 Inch Make (Supreme)</t>
  </si>
  <si>
    <t>SITC Upvc Socket 4 Inch Make (Supreme)</t>
  </si>
  <si>
    <t>SITC Upvc Band 4 Inch Make (Supreme)</t>
  </si>
  <si>
    <t>SITC Upvc Tee 4 Inch Make (Supreme)</t>
  </si>
  <si>
    <t>SITC Upvc Reducer 100X50mm Make (Supreme)</t>
  </si>
  <si>
    <t>SITC Upvc Hose Nipple 2 Inch Make (Supreme)</t>
  </si>
  <si>
    <t>SITC Butterfly Valve 4 Inch Make (Zoloto)</t>
  </si>
  <si>
    <t>SITC UPVC Flange 4 Inch Make (Supreme)</t>
  </si>
  <si>
    <t>RCC Road Cutting 1X1 feet</t>
  </si>
  <si>
    <t>Providing and laying of PCC 1X1 feet area including mixing finishing complete</t>
  </si>
  <si>
    <t>Core Cutting 4X24 Inch</t>
  </si>
  <si>
    <t>Providing and fixing of Nut Bolt Make (Standard)</t>
  </si>
  <si>
    <t>UP/000001/26-27</t>
  </si>
  <si>
    <t>UP/000126/25-26</t>
  </si>
  <si>
    <t>Uploaded on 03.04.2026</t>
  </si>
  <si>
    <t>Uploaded on 03.04.26</t>
  </si>
  <si>
    <t>Supply of 750mm dia glass table with approx 29" height ss/chrome finish base</t>
  </si>
  <si>
    <t>100/07.04.26</t>
  </si>
  <si>
    <t>UP/000002/26-27</t>
  </si>
  <si>
    <t>7.5 KVA DG Pump Set Repairing with change ball bearing bush and shaft turning (at RWH Pit), make - Kirloskar</t>
  </si>
  <si>
    <t>Supply and fixing Base Frame with vibration pad 4 no in its frame, make - Standard.</t>
  </si>
  <si>
    <t>7.5 KVA Deisel engine set overhauling with replacement of Diesel filter, oil filter, Oil, Air cleaner, Nozzle and diesel pump repairing,
make - Standard.</t>
  </si>
  <si>
    <t>Loading-Unloading and shifting to workshop and return.</t>
  </si>
  <si>
    <t>10 KW Diesel engine Servicing charge with oil, oil filter, diesel filter, damage pipe etc. (at STP), Make - Kirloskar</t>
  </si>
  <si>
    <t>Rewinding and repairing of 7.5 HP sump pump, Make - Grundfos</t>
  </si>
  <si>
    <t>Providing and fixing 4-inch Pvc pipe, Make - Supreme/ Prakash.</t>
  </si>
  <si>
    <t>Providing and fixing 4 inches Elbow, Make - Supreme/ Prakash</t>
  </si>
  <si>
    <t>Providing and fixing 4 inches longer Tee, Make - Supreme/ Prakash</t>
  </si>
  <si>
    <t>Providing and fixing End cap, Make - Supreme/ Prakash</t>
  </si>
  <si>
    <t>Providing and fixing foot valve 4 Inches, Make - Supreme/ Prakash</t>
  </si>
  <si>
    <t>Providing and constructing 400 mm pcc foundations</t>
  </si>
  <si>
    <t>101/10.4.26</t>
  </si>
  <si>
    <t>101/10.04.26</t>
  </si>
  <si>
    <t>Supply of Movicool L125 | Industrial Air Cooler symphony, warranty-01year</t>
  </si>
  <si>
    <t>SITC of Cooler pump</t>
  </si>
  <si>
    <t>SITC of cooler electricity and water piping system as required</t>
  </si>
  <si>
    <t>SITC 3-side high efficiency honeycomb cooling pads-same as per existing</t>
  </si>
  <si>
    <t>Uploaded on 13.04.2026</t>
  </si>
  <si>
    <t>Uploaded on 03.02.2026</t>
  </si>
  <si>
    <t>102/13.04.26</t>
  </si>
  <si>
    <t>UP/000004/26-27</t>
  </si>
  <si>
    <t>15/04/2026</t>
  </si>
  <si>
    <t>UP/000003/26-27</t>
  </si>
  <si>
    <t>UP/000005/26-27</t>
  </si>
  <si>
    <t>16/04/2026</t>
  </si>
  <si>
    <t>( AG12 ) HCL TECHNOLOGIES LIMITED- Manesar, Gurgaon</t>
  </si>
  <si>
    <t>SITC of water flow meter in Huda water pipeline including Govt(GMDA /HUDA) permission &amp; testing charges, make-Kranti, size-25mm, warranty-01year</t>
  </si>
  <si>
    <t>Uploaded on 17.04.2026</t>
  </si>
  <si>
    <t>228/23.3.26, 231/24.3.26, 105/20.04.26</t>
  </si>
  <si>
    <t>106/21.04.26</t>
  </si>
  <si>
    <t>21/04/2026</t>
  </si>
  <si>
    <t>Leakage rectification work including providing &amp; fixing required materials such as 100 mm flange, 3/4" bush, 75 mm tee, 50 mm socket,
75 mm pipe and all necessary fittings, complete as per site requirement, Make - Astral/ Supreme/ Jindal.</t>
  </si>
  <si>
    <t>Providing &amp; fixing 600x600 mm grid false ceiling using GI suspension system (main runner, cross tee, wall angle) with mineral fiber
ceiling tiles including hangers, fasteners, cutting for light fixtures and complete installation as per site requirement, Make - Armstrong.</t>
  </si>
  <si>
    <t>UP/000008/26-27</t>
  </si>
  <si>
    <t>22/04/2026</t>
  </si>
  <si>
    <t>UP/000009/26-27</t>
  </si>
  <si>
    <t>UP/000007/26-27</t>
  </si>
  <si>
    <t>UP/000006/26-27</t>
  </si>
  <si>
    <t>17/04/2026</t>
  </si>
  <si>
    <t>Cement-10 Bag, Rodi 60 ft, Dust-10 ft</t>
  </si>
  <si>
    <t>108/23.04.26</t>
  </si>
  <si>
    <t>Uploaded on 23.04.26</t>
  </si>
  <si>
    <t>Uploaded on 23.4.26</t>
  </si>
  <si>
    <t>Uploaded on 24.04.26</t>
  </si>
  <si>
    <t>109/27.4.26</t>
  </si>
  <si>
    <t>Uploaded on 27.04.26</t>
  </si>
  <si>
    <t>Providing and fixing of Metro Sheet shed with 50x50x3mm and 50x25x3 mm MS Square pipe size 15x12 with primer and paint finish</t>
  </si>
  <si>
    <t>27/04/2026</t>
  </si>
  <si>
    <t xml:space="preserve">( AG15 ) HCL TECHNOLOGIES LIMITED </t>
  </si>
  <si>
    <t>Providing and fixing of 10/12 mm thick HDHMR Ply with mica laminate finish for wall Panelling, including all necessary materials, labor, and finishing</t>
  </si>
  <si>
    <t>29/04/2026</t>
  </si>
  <si>
    <t>Supply &amp; Fixing of Havells Airboll High Speed Wall Fan 450mm White, warranty-01year by OEM - Havells</t>
  </si>
  <si>
    <t>28/04/2026</t>
  </si>
  <si>
    <t>Installation of Panic Bar</t>
  </si>
  <si>
    <t>Dismantle exiting door</t>
  </si>
  <si>
    <t>Dismantle of existing wall opening is required for fire door size and repairing damage aria with plaster and paint putty all completed</t>
  </si>
  <si>
    <t>Fire door installation with fastener and welding work</t>
  </si>
  <si>
    <t>Checking and repairing of fire door and shifting to side location</t>
  </si>
  <si>
    <t>Debris shifting to out side of campus</t>
  </si>
  <si>
    <t>Providing and fabrication cutting welding of MS C channel 75x40x4.8mm</t>
  </si>
  <si>
    <t>Providing and fixing aluminum frame with glass</t>
  </si>
  <si>
    <t>Supply of Panic Bar for single door age) thick</t>
  </si>
  <si>
    <t>Repair/Replacement of Faulty Motor – 3 HP – T5</t>
  </si>
  <si>
    <t>Repair/Replacement of Faulty Motor – 5 HP – T5</t>
  </si>
  <si>
    <t>Repair/Replacement of Faulty Motor – 1.5 HP – T3</t>
  </si>
  <si>
    <t>Repair/Replacement of Faulty Motor – 1 HP – T3</t>
  </si>
  <si>
    <t>Repair/Replacement of Faulty Motor – 3 HP – T3</t>
  </si>
  <si>
    <t>Repair/Replacement of Faulty Motor – 2.5 HP – T3.</t>
  </si>
  <si>
    <t>Repair/Replacement of Faulty Motor – 1 HP – Tower-1</t>
  </si>
  <si>
    <t>Repair/Replacement of Faulty Motor – 5 HP – Tower 2</t>
  </si>
  <si>
    <t>Repair/Replacement of Faulty Motor – 3 HP – Outer</t>
  </si>
  <si>
    <t>Repair/Replacement of Faulty Motor – 5.5 KW – New STP SS1</t>
  </si>
  <si>
    <t>Repair/Replacement of Faulty Motor – 2 HP – New STP SS1</t>
  </si>
  <si>
    <t>Repair/Replacement of Faulty Motor – 3 HP – New STP SS1</t>
  </si>
  <si>
    <t>Repair/Replacement of Faulty Motor – 7.5 HP – New STP SS1</t>
  </si>
  <si>
    <t>Repair/Replacement of Faulty Motor – 2.5 HP – Gate No. 3 SS1</t>
  </si>
  <si>
    <t>Repair/Replacement of Faulty Motor – 2.2 HP – Old STP SS1</t>
  </si>
  <si>
    <t>Repair/Replacement of Faulty Motor – 3 KW – Cafe 3</t>
  </si>
  <si>
    <t>Repair/Replacement of Faulty Motor – 5 HP – Tower-4</t>
  </si>
  <si>
    <t>Repair/Replacement of Faulty Motor – 10 HP – CP-2 RWH PIT</t>
  </si>
  <si>
    <t>Repair/Replacement of Faulty Motor–5 HP–Basement Corp Tower</t>
  </si>
  <si>
    <t>Dismantling of existing pump and refixing of repaired, pump, including supply and fixing of nuts, bolts, gaskets, and required welding work - Complete</t>
  </si>
  <si>
    <t>Sadar Ali Stone : Providing &amp; laying granite stone flooring (15mm-18mm thick) in approved shades over a 20mm thick cement mortar base (1:4)</t>
  </si>
  <si>
    <t>Sadar Ali Stone in 4 inches : Providing &amp; laying Sadar Ali stone flooring shlop finish in 4 inches pic overlaps (18mm- 20mm thick) in approved shades over a 20mm thick cement mortar base (1:4)</t>
  </si>
  <si>
    <t>Providing and laying Plain PCC nominal size for flooring or backfilling, including ramming and curing Thickness: (4 inches/3 inches)</t>
  </si>
  <si>
    <t>Providing and fixing cylinder lock (Make-Godrej)</t>
  </si>
  <si>
    <t>Providing and fixing SS 304 railing top 50mm pipe and pillars 32mm pipe (Tata/S Grip/Equivalent Approved Make)</t>
  </si>
  <si>
    <t>Dismantling existing stone</t>
  </si>
  <si>
    <t>Dismantling existing PCC</t>
  </si>
  <si>
    <t>Debris shifting to outside of campus</t>
  </si>
  <si>
    <t>trolly</t>
  </si>
  <si>
    <t>Supply and fixing of floor tiles 600mmX 600mm after repairing of floor with civil work in at in new cup room, thick bed of cement mortar 1:3(1Cement:3 coarse sand) ,joint to be field with grouted sealant with group cutting as per required .(Tiles shed exists match subject in market availability)Make- kajaria/Somany</t>
  </si>
  <si>
    <t>Supply and fixing of wall tiles 300mmX 600mm or 300mmX450mm with civil work in at in new cup room , thick bed of cement mortar 1:3 (1Cement:3 coarse sand), joint to be field with grouted sealant with group cutting as per required. (Tiles shed exists match subject in market availability)Make- kajaria/Somany)</t>
  </si>
  <si>
    <t>112/07.05.26</t>
  </si>
  <si>
    <t>113/08.05.26</t>
  </si>
  <si>
    <t>114/08.05.26</t>
  </si>
  <si>
    <t>112/07.05.26, 115/08.5.26</t>
  </si>
  <si>
    <t>116 /11.5.26</t>
  </si>
  <si>
    <t>Supply, fabrication, and installation of Grade 304 stainless steel components (pipes, tubes, channels, plates) including welding, grinding, and polishing. Key items include 50mm Dia top rails, 32mmx32mm or 25mm balustrades, and 12mm-20mm horizontal members (Make-Jindal or equivalent)</t>
  </si>
  <si>
    <t>Supply and Fixing 2 inches SS Pipe (Make-Jindal or equivalent)</t>
  </si>
  <si>
    <t>Supply and Fixing 2 inches SS long Band (Make-Standard)</t>
  </si>
  <si>
    <t>Cutting , welding repairing of existing railing</t>
  </si>
  <si>
    <t>Providing and fixing of neutral link 630 Amp Siemens</t>
  </si>
  <si>
    <t>Providing and fixing of neutral link 400 Amp Siemens</t>
  </si>
  <si>
    <t>Providing and fixing of neutral link 250 Amp Siemens</t>
  </si>
  <si>
    <t>Providing and fixing of Panel Cooling Fan 6" For Industrial 230 V Rexnord /equivalent</t>
  </si>
  <si>
    <t>Providing and fixing of Cooling fan Louver for Cooling fan covering 6" Rexnord /equivalent</t>
  </si>
  <si>
    <t>Providing and fixing of Starter Panel Hinges Standard</t>
  </si>
  <si>
    <t>Dismantling existing neutral links</t>
  </si>
  <si>
    <t>Uploaded on 11.05.26</t>
  </si>
  <si>
    <t>UP/000010/26-27</t>
  </si>
  <si>
    <t>Uploadec on 12.05.2026</t>
  </si>
  <si>
    <t>Hole filling by gypsum and pop size approx. 1x2 feet, Make- Sakarni.</t>
  </si>
  <si>
    <t>Cable, Pipe passing hole filling by PU Foam Spray, Make -Abro</t>
  </si>
  <si>
    <t>Providing and fixing in hole diazola Grade 0000 Steel Wool Fine Wire Roll Pad Stainless Scrub Pad (Medium) 4-inch x 6 feet, Make - Multicomp /Homax/ SM Arnold/ Equivalent</t>
  </si>
  <si>
    <t>Supply of 150mm Dia Rubber Expansion Bellow</t>
  </si>
  <si>
    <t>Welding and Cutting Charges with Dummy plate</t>
  </si>
  <si>
    <t>Providing and Making of book shelf of size 6 ft (H) x 5.4 ft (W) x 1.2 ft (D) with 10 compartments, made from 18 mm thick plywood with 1 mm mica finish, including all necessary hardware and installation</t>
  </si>
  <si>
    <t>Providing and fixing 12 mm thick plywood with mica finish over glass surface, including cutting, pasting, and finishing</t>
  </si>
  <si>
    <t>106/21.04.26, 118/13.5.26</t>
  </si>
  <si>
    <t>13/05/2026</t>
  </si>
  <si>
    <t>Supply, Fabrication &amp; installation of 22 gauge GI Duct with making coller in Y shape</t>
  </si>
  <si>
    <t>Thermal Insulation (e.g., 13mm Nitrile Rubber)</t>
  </si>
  <si>
    <t>Dismantle exiting duct and shifting to scrap yard</t>
  </si>
  <si>
    <t>Gap filling by cement, sand and water proofing compound</t>
  </si>
  <si>
    <t>124/18.05.26</t>
  </si>
  <si>
    <t>123/16.05.26</t>
  </si>
  <si>
    <t>121/15.05.26</t>
  </si>
  <si>
    <t>122/15.05.26</t>
  </si>
  <si>
    <t>Ceiling Tile 600X600mm 9 Box, Silhoute 38 Cross Tee-600MM-Black - 40nos</t>
  </si>
  <si>
    <t>UP/000011/26-27</t>
  </si>
  <si>
    <t>18/05/2026</t>
  </si>
  <si>
    <t>125/18.05.26</t>
  </si>
  <si>
    <t>Oil 7 Ltr, Filter-2</t>
  </si>
  <si>
    <t>126/18.05.26</t>
  </si>
  <si>
    <t>UP/000012/26-27</t>
  </si>
  <si>
    <t>117/12.05.26</t>
  </si>
  <si>
    <t>19/05/2026</t>
  </si>
  <si>
    <t>Supply &amp; fixing of 50mm Butterfly Valve, make-Zoloto/Sant</t>
  </si>
  <si>
    <t>Supply &amp; Fixing of NRV 50mm Flange Type, make-Zoloto/Sant</t>
  </si>
  <si>
    <t>Supply &amp; Fixing Nut Bolts, make-Standard</t>
  </si>
  <si>
    <t>Supply &amp; fixing of 50mm C-Class MS Pipe, make-Jindal</t>
  </si>
  <si>
    <t>Supply &amp; fixing of 50mm MS Flange, make-Standard</t>
  </si>
  <si>
    <t>Making of Hydrant incl. cutting, welding &amp; installation</t>
  </si>
  <si>
    <t>RCC Cutting for Pipe Installation</t>
  </si>
  <si>
    <t>Repairing of PCC after RCC cutting</t>
  </si>
  <si>
    <t>Primer &amp; Paint (1 primer + 2 enamel coats), make-Berger/Asian Paint</t>
  </si>
  <si>
    <t>Dismantling of Existing Pumps &amp; Hydrant</t>
  </si>
  <si>
    <t>12mm Badarpur Plaster with Waterproofing</t>
  </si>
  <si>
    <t>Paint with Primer, make-Berger/Asian Paint</t>
  </si>
  <si>
    <t>Supply &amp; Installation of Sump Pump (make-Crompton, model-STPCS5.52-18)</t>
  </si>
  <si>
    <t>Supply &amp; Fixing of Float Switch, make-Havells</t>
  </si>
  <si>
    <t>Supply &amp; Fixing of Motor Starter, make-Standard</t>
  </si>
  <si>
    <t>Uploaded on 19.05.26</t>
  </si>
  <si>
    <t>UP/000013/26-27</t>
  </si>
  <si>
    <t>21/05/2026</t>
  </si>
  <si>
    <t>127/21.05.26</t>
  </si>
  <si>
    <t>Not supplied</t>
  </si>
  <si>
    <t xml:space="preserve">Challan  </t>
  </si>
  <si>
    <t>128/21.5.26</t>
  </si>
  <si>
    <t>Uploaded on 21.5.26</t>
  </si>
  <si>
    <t>Uploaded on 20.05.26</t>
  </si>
  <si>
    <t>Uploaded on 21.05.26</t>
  </si>
  <si>
    <t>129/22.5.26</t>
  </si>
  <si>
    <t>Repair of Waiting Area Chairs (Health care cafe-2 First Floor) for Noida SEZ Providing and carrying out repair of existing SS (Stainless Steel) chairs by fixing SS strips/patti, including necessary welding, grinding, and making the chair fully functional, complete as per site requirements. Make- Jindal &amp; equivalent</t>
  </si>
  <si>
    <t>128/21.5.26, 130/22.05.26</t>
  </si>
  <si>
    <t>Providing and fixing toughened glass 12 mm</t>
  </si>
  <si>
    <t>Providing and fixing OF DGU glass 6+6 mm</t>
  </si>
  <si>
    <t>Square Pipe 2"X2"X3mm 20 Ft. Length-3nos, Square Pipe 2"X1"X3mm 20 Ft. Length-6nos, Metro Sheet 12 Ft length-10nos, MS Plate 8"X8"X8mm-12nos, Black Enamel paint 4 Ltr.-1nos</t>
  </si>
  <si>
    <t>lot</t>
  </si>
  <si>
    <t>133/25.05.25</t>
  </si>
  <si>
    <r>
      <t xml:space="preserve">214/10.03.26, </t>
    </r>
    <r>
      <rPr>
        <sz val="9.5"/>
        <color rgb="FFFF0000"/>
        <rFont val="Calibri"/>
        <family val="2"/>
        <scheme val="minor"/>
      </rPr>
      <t>132/25.05.26 Metro Sheet-80Sqft, Square Pipe 2"X2"X3mm 20 Ft. Length-2nos, Square Pipe 2"X1"X3mm 20 Ft. Length-6nos</t>
    </r>
  </si>
  <si>
    <t>Challan 132/25.05.26</t>
  </si>
  <si>
    <t>121/15.05.26, 131/25.5.26 -6Bags</t>
  </si>
  <si>
    <t>25/05/2026</t>
  </si>
  <si>
    <t>134/26.03.26</t>
  </si>
  <si>
    <t>135/26.05.26</t>
  </si>
  <si>
    <t>136/27.05.26</t>
  </si>
  <si>
    <t>Uploaded on 28.05.2026</t>
  </si>
  <si>
    <t>136/29.5.26</t>
  </si>
  <si>
    <t>136/26.5.26</t>
  </si>
  <si>
    <t xml:space="preserve">CPVC UNION 50MM-10nos, CPVC SOCKET 50MM-10nos, CPVC TEE 50MM-5nos, CPVC ELBOW 50MM-5nos, </t>
  </si>
  <si>
    <t xml:space="preserve">CPVC FLANGE 80MM-5 nos,CPVC ELBOW 80MM-5nos, CPVC TEE 80MM-5nos,CPVC BUSH 80X65MM-10nos, </t>
  </si>
  <si>
    <t>PO Changed with Tax @18%</t>
  </si>
  <si>
    <t>UP/000014/26-27</t>
  </si>
  <si>
    <t>UP/000015/26-27</t>
  </si>
  <si>
    <t>138/02.06.2026</t>
  </si>
  <si>
    <t>UP/000016/26-27</t>
  </si>
  <si>
    <t>UP/000017/26-27</t>
  </si>
  <si>
    <t>PO201/26-27/12/00024</t>
  </si>
  <si>
    <t>Shiv Nadar Foundation - - Vidyagyan Sitapur</t>
  </si>
  <si>
    <t>ReDevelopment of rain harvesting pit bore well to achive stablisation of sand/slit or mica from discharge of water and to free the bore from clogging of the slots with air cpmpressor of 215  cft per minutes capacity etc. complete as required</t>
  </si>
  <si>
    <t>HRS</t>
  </si>
  <si>
    <t>UP/000018/26-27</t>
  </si>
  <si>
    <t>UP/000019/26-27</t>
  </si>
  <si>
    <t>UP/000020/26-27</t>
  </si>
  <si>
    <t>139/03.06.26</t>
  </si>
  <si>
    <t>Updated Pending Po.-06.06.2026</t>
  </si>
  <si>
    <t>Re Development of rain harvesting pit bore well to achive stablisation of sand/slit or mica from discharge of water and to free the bore from clogging of the slots with air cpmpressor of 215  cft per minutes capacity etc. complete as required</t>
  </si>
  <si>
    <t>Billing</t>
  </si>
  <si>
    <t>Dismantle existing power socket under table and re-installation on wooden paneling as requires cutting of wooden paneling and re-wiring Total quantity</t>
  </si>
  <si>
    <t>142/09.06.26</t>
  </si>
  <si>
    <t>141/08.06.26</t>
  </si>
  <si>
    <t>Providing and Fixing of DGU Glass made of 6mm Toughened Glass + 12mm Air Gap + 6mm Toughened Glass complete with all accessories, silicon sealant, labour charges, loading/unloading, shifting charges, cutting, fitting and finishing complete as required</t>
  </si>
  <si>
    <t>Scaffoldings Charge</t>
  </si>
  <si>
    <t>Providing and fixing of workstation made out by 25 mm PLPB with edge banding spotted by 40x40 mm wooden batta L type in every 4 feet size of table 17x2 feet(Make- Action TESA, Sharon and Asian Prelam</t>
  </si>
  <si>
    <t>Providing and fixing of wooden boxes type made out by 12 mm board 4x4x4 inches (Make-Century, Green ply)</t>
  </si>
  <si>
    <t>Providing and fixing of power outlet point 2+2 (Make Roma)</t>
  </si>
  <si>
    <t>Providing and fixing 2.5 Sq mm X 3 C copper flexible cable (Make-Plycab)</t>
  </si>
  <si>
    <t>Providing and fixing 12 mm plywood partition for wall gap filling height of wall 10 to 12 feet with GI framing and mica finish both side (Make-Century, Green ply)</t>
  </si>
  <si>
    <t>Providing and fixing plastic paint 2 or more coat with minor repairing (Old base) (Make-Asian, Burger) (Make-Century, Green ply)</t>
  </si>
  <si>
    <t>Providing and fixing of workstation made out by 25 mm PLPB with edge banding spotted by 40x40 mm wooden batta L type in every 4 feet size of table 17x2 feet (Make- Action TESA, Sharon and Asian Prelam</t>
  </si>
  <si>
    <t>16/06/2026</t>
  </si>
  <si>
    <t>PO Changed with Tax</t>
  </si>
  <si>
    <t>145/17.6.26</t>
  </si>
  <si>
    <t>144/17.6.26</t>
  </si>
  <si>
    <t>146/18.6.26</t>
  </si>
  <si>
    <t>PVC Conduit</t>
  </si>
  <si>
    <t>18.6.26</t>
  </si>
  <si>
    <t>18/06/2026</t>
  </si>
  <si>
    <t>Providing and Fixing Compressor complete as required, make-Emerson/Tecumseh</t>
  </si>
  <si>
    <t>R134a Gas Filling complete as required, make-Honeywell/DuPont Refrigerant</t>
  </si>
  <si>
    <t>Providing and Fixing Relay complete as required, make-Danfoss/Supco</t>
  </si>
  <si>
    <t>Testing &amp; Commissioning Charges complete as required</t>
  </si>
  <si>
    <t>Supply of Jaquar Sensor Tap Eye ZSN-CHR-119 for Jaquar Sensor Faucet SNRCHR-51021EB</t>
  </si>
  <si>
    <t>147/19.6.26</t>
  </si>
  <si>
    <t>Badarpur, rodi, cement</t>
  </si>
  <si>
    <t>148/19.6.26</t>
  </si>
  <si>
    <t>149/19.6.26</t>
  </si>
  <si>
    <t>Uploaded on 22.06.26</t>
  </si>
  <si>
    <t>Uploaded on 22.06.2026</t>
  </si>
  <si>
    <t>UP/000021/26-27</t>
  </si>
  <si>
    <t>23/6/2026</t>
  </si>
  <si>
    <t>UP/000022/26-27</t>
  </si>
  <si>
    <t>23/06/2026</t>
  </si>
  <si>
    <t>Providing &amp; Fixing of the traffic mirror/ spot view convex mirror for Noida SEZ campus,( 32 inches Mirror with 6ft MS pole size 2”) along with proper civil foundation and finish</t>
  </si>
  <si>
    <t>Uploaded on 23.06.26</t>
  </si>
  <si>
    <t>153/03.07.26</t>
  </si>
  <si>
    <t>151/02.07.26</t>
  </si>
  <si>
    <t>152/02.07.26</t>
  </si>
  <si>
    <t>26/06/2026</t>
  </si>
  <si>
    <t>Providing and fixing of mag flow Aster Electromagnetic Flow Meter (Model-EMF Series, Size- 50 mm), warranty-01year, make-Aster</t>
  </si>
  <si>
    <t>Providing and fixing 100x50 mm C- Channel and cutting existing channel approx. 12 inches</t>
  </si>
  <si>
    <t>Providing and fixing 75x40 C-Channel approx. 9 inches</t>
  </si>
  <si>
    <t>29/06/2026</t>
  </si>
  <si>
    <t>Providing and fixing Premium Outdoor Fabric Tensile Canopy extended in existing Canopy with ms frem and paint</t>
  </si>
  <si>
    <t>Providing &amp; Fixing Roller Blinds Fabric: 100% Polyester with Acrylic coating. Mechanism: Aluminum alloy headrail high grade polymer chain pulley, metal chain, and bottom rail with end caps. Color: As existing</t>
  </si>
  <si>
    <t>Providing and fixing of 5 mm thick mirror glass size 1195X590</t>
  </si>
  <si>
    <t>Providing and fixing of 5mm mirror glass size 1790X590</t>
  </si>
  <si>
    <t>Providing and fixing of GI L Angle size 18X18 mm</t>
  </si>
  <si>
    <t>Providing and fixing of 12mm plywood</t>
  </si>
  <si>
    <t>Removing the existing glass/plywood and bidding shifting to as direction by site engineer</t>
  </si>
  <si>
    <t>Sqm</t>
  </si>
  <si>
    <t>155/06.07.26</t>
  </si>
  <si>
    <t>Supply and installation of Wall Mounted fan 400mm complete with mounting accessories, testing and commissioning, warranty-01year for fan Crompton / Havells / Orient</t>
  </si>
  <si>
    <t>Supply and fixing of 25mm HD PVC Conduit Pipe including bends, couplers, saddles and all accessories complete AKG / Precision / BEC</t>
  </si>
  <si>
    <t>Supply and fixing of switch, socket and PVC box complete with wiring connections Anchor Roma / Legrand / GM</t>
  </si>
  <si>
    <t>Gypsum ceiling cutting and repairing (Approx. 3' x 3') including finishing and touch-up complete Gyproc</t>
  </si>
  <si>
    <t>Supply and fixing of 1.5 Sq.mm, 3 Core Flexible Copper Cable complete with termination and dressing Polycab / RR Kabel / Finolex.</t>
  </si>
  <si>
    <t>154/06.07.26</t>
  </si>
  <si>
    <t>Uploaded on 07.07.2026</t>
  </si>
  <si>
    <t>UP/000024/26-27</t>
  </si>
  <si>
    <t>UP/000025/26-27</t>
  </si>
  <si>
    <t>UP/000026/26-27</t>
  </si>
  <si>
    <t>UP/000027/26-27</t>
  </si>
  <si>
    <t>UP/000023/26-27</t>
  </si>
  <si>
    <t>Repairing of SS Railing Pipe 20mm</t>
  </si>
  <si>
    <t>Providing and fixing 12/15mm thick polished granite stone skirting as per existing</t>
  </si>
  <si>
    <t>157/08.07.26</t>
  </si>
  <si>
    <t>plastic paint-10 Ltr, POP-10 Kg</t>
  </si>
  <si>
    <t>UP/000028/26-27</t>
  </si>
  <si>
    <t>UP/000029/26-27</t>
  </si>
  <si>
    <t>UP/000030/26-27</t>
  </si>
  <si>
    <t>UP/000031/26-27</t>
  </si>
  <si>
    <t>UP/00032/26-27</t>
  </si>
  <si>
    <t>UP/000033/26-27</t>
  </si>
  <si>
    <t>Charges Towards the dismantling of Existing Ducting Collar with Grill and Damper installed in Cafe 3</t>
  </si>
  <si>
    <t>Supply, Fabrication&amp; installation of 20G GI Ducting including, Nut Bolt Gasket and supporting arrangement at Site Cafe 3</t>
  </si>
  <si>
    <t>Supply, Fabrication&amp; installation of 22G GI Ducting including, Nut Bolt Gasket and supporting arrangement at Site Cafe 3</t>
  </si>
  <si>
    <t>Charges Towards the shifting of dismantling duct at Scrapyard</t>
  </si>
  <si>
    <t>Charges Towards the Removal, Dismantling and Duct Cleaning for new Insulation</t>
  </si>
  <si>
    <t>Supply and installation of 25mm Nitrile Rubber Insulation including Adhesive and Tap on Both LHS and RHS Side HRW at site</t>
  </si>
  <si>
    <t>Charges Towards the Shifting of This Insulation debris on Scrapyard</t>
  </si>
  <si>
    <t>Supply, Fabrication&amp; installation of 24G GI Ducting including, Nut Bolt Gasket and supporting arrangement at Site Cafe 3</t>
  </si>
  <si>
    <t>Supply and Installation of Wire Mesh</t>
  </si>
  <si>
    <t>Plastic paint 10 Ltr, Putty-5 Kg</t>
  </si>
  <si>
    <t>158/09.07.26</t>
  </si>
  <si>
    <t>Providing and supplying of 4-inch MS C-Class Pipes, 5.4mm thick conforming to IS:1239- Jindal/Hissar</t>
  </si>
  <si>
    <t>Providing and supplying of 3-inch MS C-Class Pipes, 4.5mm thick conforming to IS:1239- Jindal/Hissar.</t>
  </si>
  <si>
    <t>Providing and supplying of 100mm Pressure reducing valve (PRV) - Zoloto/Sant</t>
  </si>
  <si>
    <t>Providing and supplying of 80mm Pressure reducing valve (PRV) - Zoloto/Sant</t>
  </si>
  <si>
    <t>Providing and supplying of 100mm MS Nipple, make- standard</t>
  </si>
  <si>
    <t>Providing and supplying of 80mm MS Nipple, make- standard</t>
  </si>
  <si>
    <t>Providing and supplying of 100mm CI Butterfly valve including all accessories and hardwares - Audco</t>
  </si>
  <si>
    <t>Providing and supplying of 80mm CI Butterfly valve including all accessories and hardwares - Audco</t>
  </si>
  <si>
    <t>Providing and supplying of 100mm MS Flange including all accessories and hardwares as required</t>
  </si>
  <si>
    <t>Providing and supplying of 80mm MS Flange including all accessories and hardwares as required - Reputed</t>
  </si>
  <si>
    <t>Providing and supplying of 25mm CS Ball valve including all accessories and hardwares as required - Audco</t>
  </si>
  <si>
    <t>Providing and supplying of 25mm ARV including all accessories and hardwares as required - Zoloto/Sant</t>
  </si>
  <si>
    <t>Providing and supplying of 25mm MTA including all accessories and hardwares as required - Reputed make</t>
  </si>
  <si>
    <t>Providing and supplying of 100mm MS elbow make- standard</t>
  </si>
  <si>
    <t>Providing and supplying of 80mm MS elbow make- standard</t>
  </si>
  <si>
    <t>Providing and supplying of 25mm MS nipple make- standard</t>
  </si>
  <si>
    <t>Providing and supplying of 100mm CPVC Flange- Supreme</t>
  </si>
  <si>
    <t>Providing and supplying of 80mm CPVC Flange- Supreme</t>
  </si>
  <si>
    <t>Supply of nut, bolt, varshel and hardware of required size and material, make- reputed</t>
  </si>
  <si>
    <t>Kgs</t>
  </si>
  <si>
    <t>Laying and fixing of 4-inch MS C-Class Pipe including with bends, joints, supporting str ucture, testing etc complete as required</t>
  </si>
  <si>
    <t>Installation and fixing of 100mm PRV with required hardwares and accessories</t>
  </si>
  <si>
    <t>Installation and fixing of 80mm PRV with required hardwares and accessories</t>
  </si>
  <si>
    <t>Installation and fixing of 100mm MS nipple with required hardwares and accessories</t>
  </si>
  <si>
    <t>Installation and fixing of 80mm MS nipple with required hardwares and accessories</t>
  </si>
  <si>
    <t>Installation and fixing of Butterfly valve and flange, including allignment, welding/bolting, and testing for leakproof installation with required accessories and hardwares</t>
  </si>
  <si>
    <t>Fixing and installation of Ball valves with proper alignment, testing and commissioning</t>
  </si>
  <si>
    <t>Charges for making the MS Header using 3- and 4-inch MS Pipe, flenge, elbow, MTA, Nipple, reducer, nipple, primer etc. complete as required</t>
  </si>
  <si>
    <t>Supply and fixing of CPVC nipple, elbow, reducer and other supportive hardwares and accessories for domestic line make- Supreme</t>
  </si>
  <si>
    <t>Supply and fixing of CPVC nipple, elbow, reducer and other supportive hardwares and accessories for flushing line - make- supreme</t>
  </si>
  <si>
    <t>Removal of debris from Tower-5 to outside the capmus by tractor</t>
  </si>
  <si>
    <t>Removal of waste MS and CPVC Material from Tower- 5 to scrap yard by tractor</t>
  </si>
  <si>
    <t>Uploaded on 10.07.26</t>
  </si>
  <si>
    <t>UP/000034/26-27</t>
  </si>
  <si>
    <t>13/07/2026</t>
  </si>
  <si>
    <t>Work done</t>
  </si>
  <si>
    <t>SITC 3 Core 6 Sqmm Copper flexible cable, Polycab/Havells</t>
  </si>
  <si>
    <t>SITC 32 Amp 3 Pole Industrial Socket, Neptune / Equivalent</t>
  </si>
  <si>
    <t>Supply and fixing of cable Glands, Thimble with glanding and thimbling, Standard</t>
  </si>
  <si>
    <t>Supply and fixing of Raceway 100 mm, Standard</t>
  </si>
  <si>
    <t>Dismantle existing paver block</t>
  </si>
  <si>
    <t>Providing and laying in position 150 mm cement concrete of specified grade excluding the cost of centering and shuttering (All work up to plinth level). 1:2:4 (1 Cement: 2 coarse sand: 4 graded stone</t>
  </si>
  <si>
    <t>Paver block installation with side banding by PCC, Size - 200X100X60mm</t>
  </si>
  <si>
    <t>Providing and Applying Thermoplastic Road Marking Paint wide 4 inch, Standard</t>
  </si>
  <si>
    <t>UP/000035/26-27</t>
  </si>
  <si>
    <t>13/7/2026</t>
  </si>
  <si>
    <t>UP/000036/26-27</t>
  </si>
  <si>
    <t>Uploaded on 14.07.26</t>
  </si>
  <si>
    <t>164/14.7.26</t>
  </si>
  <si>
    <t>163/14.7.26</t>
  </si>
  <si>
    <t>162/14.07.26</t>
  </si>
  <si>
    <t>161/14.7.26</t>
  </si>
  <si>
    <t>150/02.07.26</t>
  </si>
  <si>
    <t>4+11</t>
  </si>
  <si>
    <t>150/02.07.26, 165/15.7.26</t>
  </si>
  <si>
    <t>166/15.7.26</t>
  </si>
  <si>
    <t>CPVC Solvent 1Ltd</t>
  </si>
  <si>
    <t>15/07/2026</t>
  </si>
  <si>
    <t>Removing the existing grid ceiling Tiles and shifting in basement</t>
  </si>
  <si>
    <t>Removing the existing 4' linear lights</t>
  </si>
  <si>
    <t>Providing &amp; laying the Mineral fiber grid tiles (Size - 2'x2'), make - Armstrong</t>
  </si>
  <si>
    <t>Providing and fixing the gypsum board in light coves for plain surface (Size 4'x1'), Make - (Saint-Gobain Gyproc / Knauf / USG Boral /</t>
  </si>
  <si>
    <t>Fixing the 1x1 down lights in gypsum ceiling (lights are provided by HCL)</t>
  </si>
  <si>
    <t>Providing &amp; Applying the Plastic paint with putty base prepration (new Base), Make - Asian/Berger</t>
  </si>
  <si>
    <t>Laying the polythene for workstation protection</t>
  </si>
  <si>
    <t>Debris Removal from the campus by Tractor trolley</t>
  </si>
  <si>
    <t>167/15.7.26</t>
  </si>
  <si>
    <t>Badarpur, Cement</t>
  </si>
  <si>
    <t>SITC 4 Core 16 Sqmm Copper Armoured cable, Polycab/Havells</t>
  </si>
  <si>
    <t>Badarpur-100 ft, Rodi-70ft, Sand-30ft, Cement-14 bag</t>
  </si>
  <si>
    <t>168/16.7.26</t>
  </si>
  <si>
    <t>160/14.7.26, 169/17.7.26</t>
  </si>
  <si>
    <t>170/17.7.26</t>
  </si>
  <si>
    <t>171/17.7.26</t>
  </si>
  <si>
    <t>173/20.07.26</t>
  </si>
  <si>
    <t>Dust, Rodi, Cement, Bricks</t>
  </si>
  <si>
    <t>21/07/2026</t>
  </si>
  <si>
    <t>Dismantling and shifting of modular workstation within HCL premises, including careful dismantling, internal handling, loading/unloading to the designated location, and safe stacking as instructed by the client</t>
  </si>
  <si>
    <t>Providing and laying 100 mm thick PCC foundation for pump base complete with cement, sand, aggregate, curing, shuttering, and all labour</t>
  </si>
  <si>
    <t>Providing, fabrication and installation of Metro Sheet Shed using 50×50×3 mm &amp; 50×25×3 mm MS square tube frame including welding, primer, painting, fixing and complete(Make- Jinda/Tata/Equivalent)</t>
  </si>
  <si>
    <t>Providing and laying 25 mm CPVC Pipe (SDR-11) complete with all fittings such as elbows, tees, sockets, solvent cement, clamps, and testing. (Make-Astral /Ashirvad /Supreme)</t>
  </si>
  <si>
    <t>Providing and fixing 1 HP Single-Phase Heavy-Duty Water Pump complete with all accessories(Make-Crompton/Model-DMB10DCSL/Equivalent), warranty-01year</t>
  </si>
  <si>
    <t>Pump installation, testing and commissioning including alignment, electrical connection, and trial run(Make-NA)</t>
  </si>
  <si>
    <t>Providing and fixing pump installation accessories including 25 mm CPVC Ball Valve, Brass MTA, elbows, bends, sockets, unions, clamps, solvent, and all miscellaneous fittings required for complete installation(Make-Astral /Ashirvad /Supreme)</t>
  </si>
  <si>
    <t>Providing and fixing Fully Automatic Water Level Controller for Municipal/Noida Authority Water Supply with sensor, pump controller, wiring, and commissioning. (Generic /Equivalent)</t>
  </si>
  <si>
    <t>24/07/2026</t>
  </si>
  <si>
    <t>Supply, fixing and installation of Stainless Steel (SS 304) Wall Corner Guard, fabricated from 0.8 mm thick SS 304 sheet, size 900 mm (H) × 50 mm × 50 mm, complete with necessary adhesive, cutting, alignment, finishing, and all accessories required for proper installation as per the Engineer-in-Charge's approval</t>
  </si>
  <si>
    <t>Uploaded on 24.07.2026</t>
  </si>
  <si>
    <t>Sqmt.</t>
  </si>
  <si>
    <t>175/27.7.26</t>
  </si>
  <si>
    <t>176/27.7.26</t>
  </si>
  <si>
    <t>172/20.07.26</t>
  </si>
  <si>
    <t>SR 505 30L</t>
  </si>
  <si>
    <t>27/07/2026</t>
  </si>
  <si>
    <t>Providing and fixing Fire door Panic bar, lock, handle (Make -Dorma/Ases)</t>
  </si>
  <si>
    <t>UP/000037/26-27</t>
  </si>
  <si>
    <t>30/7/2026</t>
  </si>
  <si>
    <t>Uploaded on 30.07.2026</t>
  </si>
  <si>
    <t>178/30.07.26</t>
  </si>
  <si>
    <t>179/31.7.26</t>
  </si>
  <si>
    <t>31/07/2026</t>
  </si>
  <si>
    <t>Supply of 10,000 Ltrs Water Storage Tank (Antimicrobial Grade) complete with lid and accessories, warranty-01year</t>
  </si>
  <si>
    <t>Tank interconnection work using 50mm UPVC pipe, tank nipples, unions, solvent cement and all required fittings complete.</t>
  </si>
  <si>
    <t xml:space="preserve">Providing and laying 100mm thick PCC foundation in 1:2:4 mix including surface preparation, curing and all complete. </t>
  </si>
  <si>
    <t>Providing and fixing 50mm UPVC pipe including cutting, joining clamps and accessories complete</t>
  </si>
  <si>
    <t>Supply and fixing of 50mm UPVC Elbow complete.</t>
  </si>
  <si>
    <t>Supply and fixing of 50mm UPVC Tee complete</t>
  </si>
  <si>
    <t>Supply and fixing of 50mm UPVC Socket complete</t>
  </si>
  <si>
    <t>Providing and fixing vitrified floor tiles of size 600mm x 600mm over repaired floor, laid on thick bed of cement mortar (1:3), including grouting and finishing complete</t>
  </si>
  <si>
    <t>Floor leveling with cement mortar (1:3) including preparation, laying and finishing complete.</t>
  </si>
  <si>
    <t>Loading, unloading and shifting of 10,000 Ltrs water tanks at site complete</t>
  </si>
  <si>
    <t>Transportation charges for tanks and related materials up to site location</t>
  </si>
  <si>
    <t>Hole cutting in water tanks including sealing and finishing complete</t>
  </si>
  <si>
    <t>Dismantling of the Existing Heavy Duty Steel Tank using Gas Cutter/Equivalent into 4 or more parts and shifting to scrap area</t>
  </si>
  <si>
    <t>UP/000038/26-27</t>
  </si>
  <si>
    <t>180/08.03.26</t>
  </si>
  <si>
    <t>Uplaoded on 04.08.26</t>
  </si>
  <si>
    <t>Uploaded on 04.08.26</t>
  </si>
  <si>
    <t>25/06/2026</t>
  </si>
  <si>
    <t>PO revised with Tax 18%</t>
  </si>
  <si>
    <t>Providing &amp; Fixing of the traffic mirror/ spot view convex mirror for Noida SEZ campus, (32 inches Mirror with 6ft MS pole size 2”) along with proper civil foundation and finish</t>
  </si>
  <si>
    <t>181/05.08.26</t>
  </si>
  <si>
    <t>UP/000040/26-27</t>
  </si>
  <si>
    <t>183/06.08.26</t>
  </si>
  <si>
    <t>182/05.08.26</t>
  </si>
  <si>
    <t>Supply and fixing of SS (Grade 304) Railing Pipe 20mm, (Make Jindal / Tata</t>
  </si>
  <si>
    <t>177/30.07.26</t>
  </si>
  <si>
    <t>Providing &amp; Fixing of the traffic mirror/ spot view convex mirror ( 32 inches Mirror with 6ft MS pole size 2”) along with proper civil foundation and finish</t>
  </si>
  <si>
    <t>Work not done by client</t>
  </si>
  <si>
    <t>Uploaded on 04.03.2025</t>
  </si>
  <si>
    <t>UP/000041/26-27</t>
  </si>
  <si>
    <t>Supply of 06 mm Double Compressor Cable Gland, Make - Comet / Dowells</t>
  </si>
  <si>
    <t>Supply of 10 mm Double Compressor Cable Gland, Make - Comet / Dowells</t>
  </si>
  <si>
    <t>Supply of 10 mm &amp; 15 mm Double Compressor Cable Gland, Make - Comet / Dowells</t>
  </si>
  <si>
    <t>Supply of 10 mm &amp; 20 mm Double Compressor Cable Gland, Make - Comet / Dowells</t>
  </si>
  <si>
    <t>Supply of 12 mm Double Compressor Cable Gland, Make - Comet / Dowells</t>
  </si>
  <si>
    <t>Supply of 13 mm Double Compressor Cable Gland, Make - Comet / Dowells</t>
  </si>
  <si>
    <t>Supply of 15 mm Double Compressor Cable Gland, Make - Comet / Dowells</t>
  </si>
  <si>
    <t>Supply of 16 mm Double Compressor Cable Gland, Make - Comet / Dowells</t>
  </si>
  <si>
    <t>Supply of 20 mm Double Compressor Cable Gland, Make - Comet / Dowells</t>
  </si>
  <si>
    <t>Supply of 20 mm &amp; 50 mm Double Compressor Cable Gland, Make - Comet / Dowells</t>
  </si>
  <si>
    <t>Supply of 25 mm Double Compressor Cable Gland, Make - Comet / Dowells</t>
  </si>
  <si>
    <t>Supply of 25 mm &amp; 40 mm Double Compressor Cable Gland, Make - Comet / Dowells</t>
  </si>
  <si>
    <t>Supply of 32 mm Double Compressor Cable Gland. - Make -Comet / Dowells</t>
  </si>
  <si>
    <t>Supply of 35 mm Double Compressor Cable Gland, Make - Comet / Dowells</t>
  </si>
  <si>
    <t>Supply of 40 mm Double Compressor Cable Gland, Make - Comet / Dowells</t>
  </si>
  <si>
    <t>Supply of 40 mm &amp; 25 mm Double Compressor Cable Gland, Make - Comet / Dowells</t>
  </si>
  <si>
    <t>Supply of 50 mm Double Compressor Cable Gland, Make - Comet / Dowells</t>
  </si>
  <si>
    <t>UP/000042/26-27</t>
  </si>
  <si>
    <t>UP/000044/26-27</t>
  </si>
  <si>
    <t>UP/000045/26-27</t>
  </si>
  <si>
    <t>UP/000046/26-27</t>
  </si>
  <si>
    <t>UP/000047/26-27</t>
  </si>
  <si>
    <t>UP/000048/26-27</t>
  </si>
  <si>
    <t>UP/000049/26-27</t>
  </si>
  <si>
    <t>UP/000050/26-27</t>
  </si>
  <si>
    <t>UP/000051/26-27</t>
  </si>
  <si>
    <t>Providing and fixing Cubical table made out by 25mm PLPB with edgel banding L type size 800x1600x600 with lage 20mm PLPB</t>
  </si>
  <si>
    <t>UP/000043/26-27</t>
  </si>
  <si>
    <t>184/7.8.26</t>
  </si>
  <si>
    <t>185/7.8.26</t>
  </si>
  <si>
    <t>187/07.08.26</t>
  </si>
  <si>
    <t>188/14.8.26</t>
  </si>
  <si>
    <t>189/14.8.26</t>
  </si>
  <si>
    <t>Uploaded on 14.08.26</t>
  </si>
  <si>
    <t>UP/000039/26-27</t>
  </si>
  <si>
    <t>SS pipe 50mm-22 Rft, 16mm-60 Rft-, Baluster-7 nos</t>
  </si>
  <si>
    <t>17/08/2026</t>
  </si>
  <si>
    <t>Supply of Bollard Light 10W BCP100 LEDNW 10W PSU GR M 4000k, make-Philips/Havells, warranty-02years</t>
  </si>
  <si>
    <t>Supply of KEI/Polycab/Havells make Copper Wire 3C x 1.5 sqmm</t>
  </si>
  <si>
    <t>Supply of 3 Pin connector</t>
  </si>
  <si>
    <t>Foundation &amp; Installation of Bollard Light</t>
  </si>
  <si>
    <t>Installation of Wire 3 Core</t>
  </si>
  <si>
    <t>Installation &amp; Digging of HDPE Pipe</t>
  </si>
  <si>
    <t>Supply of Battery 12Volt Capacity 180AH (Make-Amaron Model No-AAM-HW-HC180D04R), warranty-03years</t>
  </si>
  <si>
    <t>Supply of Fenner Power-Flex V-Belts (48 B 1260)</t>
  </si>
  <si>
    <t>Supply of Fenner Power-Flex V-Belts (SPAX 1280)</t>
  </si>
  <si>
    <t>Supply of Fenner Power-Flex V-Belts (1422)</t>
  </si>
  <si>
    <t>UP/000052/26-27</t>
  </si>
  <si>
    <t>18/08/2026</t>
  </si>
  <si>
    <t>Providing and fixing of wrapping/coating of 3-inch MS C-Class Pipes</t>
  </si>
  <si>
    <t>Earthwork Excavation (PCC and normal soil digging up to approx 5ft Depth x 50ft x 3.5ft Wide excavation</t>
  </si>
  <si>
    <t>Cft</t>
  </si>
  <si>
    <t>PCC Work: Pouring 100 mm (4 inch) plain cement concrete in the required proportion (e.g., M10, M15, or M20) beneath the floor. This includes the cost of all necessary materials, labor, water, curing, and shuttering (if required)</t>
  </si>
  <si>
    <t>Refilling of normal soil, extra soil and debris shifting to another location or outside of campus</t>
  </si>
  <si>
    <t>Dismantling of existing granite and providing &amp; fixing new granite stone, complete with cutting, polishing, fixing, and finishing as required</t>
  </si>
  <si>
    <t>UP/000053/26-27</t>
  </si>
  <si>
    <t>19/08/2026</t>
  </si>
  <si>
    <t>Supply, fabrication and fixing of 50×50×3 mm MS Angle including cutting, welding, drilling, primer, synthetic enamel paint and installation complete.' Tata Steel / Jindal Steel, Asian Paints (Red Oxide Primer &amp; Enamel)</t>
  </si>
  <si>
    <t>Dismantling and removal of existing 50×50×3 mm MS Angle, including loading, shifting and disposal of scrap/debris to the designated location. Hilti Cutting Tools / Bosch Power Tools</t>
  </si>
  <si>
    <t>Dismantling of existing 200×300 mm PCC using Hilti Electric Breaker, including cutting, breaking and disposal of debris</t>
  </si>
  <si>
    <t>Supply and applying of Badarpur plaster</t>
  </si>
  <si>
    <t>Providing and fixing of 150mm PVC Pipe Supreme / Astral</t>
  </si>
  <si>
    <t>UP/000054/26-27</t>
  </si>
  <si>
    <t>20/08/2026</t>
  </si>
  <si>
    <t>Cancelled UP-0042/11.8.26 on 20.08.26</t>
  </si>
  <si>
    <t>Dust-100 ft, Rodi-50 ft, cement-10 Bag</t>
  </si>
  <si>
    <t>192/20.08.26</t>
  </si>
  <si>
    <t>UP/000055/26-27</t>
  </si>
  <si>
    <t>193/20.8.26</t>
  </si>
  <si>
    <t>Uploaded on 20.08.26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</si>
</sst>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0"/>
      <color theme="1"/>
      <name val="Calibri"/>
      <family val="2"/>
      <scheme val="minor"/>
    </font>
    <font>
      <b/>
      <sz val="14"/>
      <color theme="1"/>
      <name val="Calibri"/>
      <family val="2"/>
      <scheme val="minor"/>
    </font>
    <font>
      <sz val="9.5"/>
      <color theme="1"/>
      <name val="Calibri"/>
      <family val="2"/>
      <scheme val="minor"/>
    </font>
    <font>
      <sz val="9.5"/>
      <color rgb="FF000000"/>
      <name val="Calibri"/>
      <family val="2"/>
      <scheme val="minor"/>
    </font>
    <font>
      <b/>
      <sz val="11"/>
      <color theme="1"/>
      <name val="Calibri"/>
      <family val="2"/>
      <scheme val="minor"/>
    </font>
    <font>
      <b/>
      <sz val="9.5"/>
      <color theme="1"/>
      <name val="Calibri"/>
      <family val="2"/>
      <scheme val="minor"/>
    </font>
    <font>
      <sz val="8"/>
      <name val="Calibri"/>
      <family val="2"/>
      <scheme val="minor"/>
    </font>
    <font>
      <sz val="9"/>
      <color theme="1"/>
      <name val="Calibri"/>
      <family val="2"/>
      <scheme val="minor"/>
    </font>
    <font>
      <sz val="9"/>
      <color rgb="FF000000"/>
      <name val="Calibri"/>
      <family val="2"/>
      <scheme val="minor"/>
    </font>
    <font>
      <b/>
      <sz val="9"/>
      <color theme="1"/>
      <name val="Calibri"/>
      <family val="2"/>
      <scheme val="minor"/>
    </font>
    <font>
      <sz val="9.5500000000000007"/>
      <color theme="1"/>
      <name val="Calibri"/>
      <family val="2"/>
      <scheme val="minor"/>
    </font>
    <font>
      <b/>
      <sz val="9.5500000000000007"/>
      <color theme="1"/>
      <name val="Calibri"/>
      <family val="2"/>
      <scheme val="minor"/>
    </font>
    <font>
      <sz val="9.5"/>
      <name val="Calibri"/>
      <family val="2"/>
      <scheme val="minor"/>
    </font>
    <font>
      <sz val="9.5"/>
      <color rgb="FFFF0000"/>
      <name val="Calibri"/>
      <family val="2"/>
      <scheme val="minor"/>
    </font>
    <font>
      <sz val="5"/>
      <color theme="1"/>
      <name val="Calibri"/>
      <family val="2"/>
      <scheme val="minor"/>
    </font>
    <font>
      <sz val="10"/>
      <color theme="1"/>
      <name val="Calibri"/>
      <family val="2"/>
      <scheme val="minor"/>
    </font>
    <font>
      <sz val="7"/>
      <color rgb="FF000000"/>
      <name val="Verdana"/>
      <family val="2"/>
    </font>
    <font>
      <sz val="11"/>
      <color indexed="8"/>
      <name val="Calibri"/>
      <family val="2"/>
    </font>
    <font>
      <sz val="9"/>
      <color indexed="8"/>
      <name val="Calibri"/>
      <family val="2"/>
    </font>
    <font>
      <sz val="7"/>
      <color theme="1"/>
      <name val="Calibri"/>
      <family val="2"/>
      <scheme val="minor"/>
    </font>
    <font>
      <sz val="10"/>
      <color rgb="FF000000"/>
      <name val="Calibri"/>
      <family val="2"/>
      <scheme val="minor"/>
    </font>
    <font>
      <b/>
      <sz val="9.5"/>
      <color rgb="FFFF0000"/>
      <name val="Calibri"/>
      <family val="2"/>
      <scheme val="minor"/>
    </font>
  </fonts>
  <fills count="16">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theme="9"/>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8"/>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00B050"/>
        <bgColor indexed="64"/>
      </patternFill>
    </fill>
    <fill>
      <patternFill patternType="solid">
        <fgColor theme="5" tint="0.39997558519241921"/>
        <bgColor indexed="64"/>
      </patternFill>
    </fill>
    <fill>
      <patternFill patternType="solid">
        <fgColor theme="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8">
    <xf numFmtId="0" fontId="0" fillId="0" borderId="0" xfId="0"/>
    <xf numFmtId="0" fontId="3" fillId="0" borderId="1" xfId="0" applyFont="1" applyBorder="1" applyAlignment="1">
      <alignment horizontal="center" vertical="center"/>
    </xf>
    <xf numFmtId="0" fontId="3" fillId="0" borderId="1" xfId="0" applyFont="1" applyBorder="1" applyAlignment="1">
      <alignment vertical="center"/>
    </xf>
    <xf numFmtId="0" fontId="0" fillId="0" borderId="0" xfId="0" applyAlignment="1">
      <alignment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6" fillId="0" borderId="4" xfId="0" applyFont="1" applyBorder="1" applyAlignment="1">
      <alignment horizontal="center" vertical="center"/>
    </xf>
    <xf numFmtId="0" fontId="0" fillId="0" borderId="1" xfId="0" applyBorder="1" applyAlignment="1">
      <alignment vertical="center"/>
    </xf>
    <xf numFmtId="0" fontId="0" fillId="0" borderId="0" xfId="0" applyAlignment="1">
      <alignment vertical="center" wrapText="1"/>
    </xf>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9" fontId="3"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9" fontId="3" fillId="4" borderId="1" xfId="0" applyNumberFormat="1" applyFont="1" applyFill="1" applyBorder="1" applyAlignment="1">
      <alignment horizontal="center" vertical="center"/>
    </xf>
    <xf numFmtId="14" fontId="3"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8" fillId="0" borderId="1" xfId="0" applyFont="1" applyBorder="1" applyAlignment="1">
      <alignment horizontal="center" vertical="center"/>
    </xf>
    <xf numFmtId="0" fontId="3" fillId="0" borderId="1" xfId="0" applyFont="1" applyBorder="1" applyAlignment="1">
      <alignment horizontal="center" vertical="center" wrapText="1"/>
    </xf>
    <xf numFmtId="14" fontId="8"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9" fillId="0" borderId="0" xfId="0" applyFont="1" applyAlignment="1">
      <alignment horizontal="center" vertical="center"/>
    </xf>
    <xf numFmtId="0" fontId="3" fillId="0" borderId="1" xfId="0" applyFont="1" applyBorder="1" applyAlignment="1">
      <alignment horizontal="left" vertical="center"/>
    </xf>
    <xf numFmtId="0" fontId="0" fillId="4" borderId="1" xfId="0" applyFill="1" applyBorder="1" applyAlignment="1">
      <alignment vertical="center"/>
    </xf>
    <xf numFmtId="0" fontId="8" fillId="0" borderId="1" xfId="0" applyFont="1" applyBorder="1" applyAlignment="1">
      <alignment horizontal="center"/>
    </xf>
    <xf numFmtId="0" fontId="8" fillId="4" borderId="1" xfId="0" applyFont="1" applyFill="1" applyBorder="1" applyAlignment="1">
      <alignment horizontal="center" wrapText="1"/>
    </xf>
    <xf numFmtId="0" fontId="8" fillId="4" borderId="1" xfId="0" applyFont="1" applyFill="1" applyBorder="1" applyAlignment="1">
      <alignment horizontal="center" vertical="center"/>
    </xf>
    <xf numFmtId="14" fontId="8"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wrapText="1"/>
    </xf>
    <xf numFmtId="9" fontId="0" fillId="4" borderId="1" xfId="0" applyNumberFormat="1" applyFill="1" applyBorder="1" applyAlignment="1">
      <alignment vertical="center"/>
    </xf>
    <xf numFmtId="0" fontId="3" fillId="4" borderId="1" xfId="0" applyFont="1" applyFill="1" applyBorder="1" applyAlignment="1">
      <alignment horizontal="center" wrapText="1"/>
    </xf>
    <xf numFmtId="0" fontId="4" fillId="4" borderId="0" xfId="0" applyFont="1" applyFill="1" applyAlignment="1">
      <alignment horizontal="center"/>
    </xf>
    <xf numFmtId="0" fontId="8" fillId="4" borderId="1" xfId="0" applyFont="1" applyFill="1" applyBorder="1" applyAlignment="1">
      <alignment vertical="center"/>
    </xf>
    <xf numFmtId="9" fontId="8" fillId="4" borderId="1" xfId="0" applyNumberFormat="1" applyFont="1" applyFill="1" applyBorder="1" applyAlignment="1">
      <alignment vertical="center"/>
    </xf>
    <xf numFmtId="0" fontId="1" fillId="0" borderId="1" xfId="0" applyFont="1" applyBorder="1" applyAlignment="1">
      <alignment vertical="center"/>
    </xf>
    <xf numFmtId="0" fontId="10" fillId="0" borderId="1" xfId="0" applyFont="1" applyBorder="1" applyAlignment="1">
      <alignment horizontal="center" vertical="center"/>
    </xf>
    <xf numFmtId="0" fontId="1" fillId="0" borderId="0" xfId="0" applyFont="1" applyAlignment="1">
      <alignment horizontal="center" vertical="center"/>
    </xf>
    <xf numFmtId="0" fontId="3" fillId="0" borderId="1" xfId="0" applyFont="1" applyBorder="1" applyAlignment="1">
      <alignment horizontal="center"/>
    </xf>
    <xf numFmtId="0" fontId="8" fillId="0" borderId="1" xfId="0" applyFont="1" applyBorder="1" applyAlignment="1">
      <alignment horizontal="left" vertical="center"/>
    </xf>
    <xf numFmtId="2" fontId="1" fillId="0" borderId="1" xfId="0" applyNumberFormat="1" applyFont="1" applyBorder="1" applyAlignment="1">
      <alignment horizontal="center" vertical="center"/>
    </xf>
    <xf numFmtId="0" fontId="3" fillId="0" borderId="1" xfId="0" applyFont="1" applyBorder="1" applyAlignment="1">
      <alignment horizontal="left" vertical="center" wrapText="1"/>
    </xf>
    <xf numFmtId="9" fontId="8" fillId="4"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3" fillId="4" borderId="1" xfId="0" applyFont="1" applyFill="1" applyBorder="1" applyAlignment="1">
      <alignment vertical="center" wrapText="1"/>
    </xf>
    <xf numFmtId="0" fontId="3" fillId="4" borderId="1" xfId="0" applyFont="1" applyFill="1" applyBorder="1" applyAlignment="1">
      <alignment vertical="center"/>
    </xf>
    <xf numFmtId="0" fontId="8" fillId="4" borderId="1" xfId="0" applyFont="1" applyFill="1" applyBorder="1" applyAlignment="1">
      <alignment horizontal="center" vertical="center" wrapText="1"/>
    </xf>
    <xf numFmtId="14" fontId="8" fillId="4"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xf>
    <xf numFmtId="0" fontId="11" fillId="0" borderId="1" xfId="0" applyFont="1" applyBorder="1" applyAlignment="1">
      <alignment horizontal="center" vertical="center"/>
    </xf>
    <xf numFmtId="0" fontId="4" fillId="4" borderId="0" xfId="0" applyFont="1" applyFill="1" applyAlignment="1">
      <alignment horizontal="center" vertical="center"/>
    </xf>
    <xf numFmtId="0" fontId="4" fillId="4" borderId="0" xfId="0" applyFont="1" applyFill="1" applyAlignment="1">
      <alignment vertical="center"/>
    </xf>
    <xf numFmtId="0" fontId="0" fillId="0" borderId="1" xfId="0" applyBorder="1" applyAlignment="1">
      <alignment horizontal="center" vertical="center"/>
    </xf>
    <xf numFmtId="0" fontId="3" fillId="0" borderId="0" xfId="0" applyFont="1" applyAlignment="1">
      <alignment vertical="center"/>
    </xf>
    <xf numFmtId="0" fontId="0" fillId="0" borderId="1" xfId="0" applyBorder="1" applyAlignment="1">
      <alignment horizontal="center"/>
    </xf>
    <xf numFmtId="0" fontId="11" fillId="4" borderId="1" xfId="0" applyFont="1" applyFill="1" applyBorder="1" applyAlignment="1">
      <alignment horizontal="center" vertical="center"/>
    </xf>
    <xf numFmtId="0" fontId="11" fillId="4" borderId="1" xfId="0" applyFont="1" applyFill="1" applyBorder="1" applyAlignment="1">
      <alignment horizontal="center" vertical="center" wrapText="1"/>
    </xf>
    <xf numFmtId="14" fontId="11" fillId="4" borderId="1" xfId="0" applyNumberFormat="1" applyFont="1" applyFill="1" applyBorder="1" applyAlignment="1">
      <alignment horizontal="center" vertical="center"/>
    </xf>
    <xf numFmtId="0" fontId="1" fillId="3" borderId="2" xfId="0" applyFont="1" applyFill="1" applyBorder="1" applyAlignment="1">
      <alignment horizontal="center" vertical="center" wrapText="1"/>
    </xf>
    <xf numFmtId="0" fontId="3" fillId="0" borderId="0" xfId="0" applyFont="1"/>
    <xf numFmtId="0" fontId="5" fillId="0" borderId="0" xfId="0" applyFont="1" applyAlignment="1">
      <alignment vertical="center"/>
    </xf>
    <xf numFmtId="0" fontId="0" fillId="0" borderId="0" xfId="0"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0" fillId="0" borderId="1" xfId="0" applyBorder="1"/>
    <xf numFmtId="0" fontId="3" fillId="0" borderId="1" xfId="0" applyFont="1" applyBorder="1" applyAlignment="1">
      <alignment horizontal="left"/>
    </xf>
    <xf numFmtId="0" fontId="3" fillId="5" borderId="1" xfId="0" applyFont="1" applyFill="1" applyBorder="1" applyAlignment="1">
      <alignment horizontal="left" vertical="center"/>
    </xf>
    <xf numFmtId="0" fontId="5" fillId="0" borderId="1" xfId="0" applyFont="1" applyBorder="1"/>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0" fontId="0" fillId="0" borderId="1" xfId="0" applyBorder="1" applyAlignment="1">
      <alignment horizontal="left"/>
    </xf>
    <xf numFmtId="0" fontId="3" fillId="6" borderId="1" xfId="0" applyFont="1" applyFill="1" applyBorder="1" applyAlignment="1">
      <alignment horizontal="center" vertical="center"/>
    </xf>
    <xf numFmtId="9" fontId="11" fillId="4" borderId="1" xfId="0" applyNumberFormat="1" applyFont="1" applyFill="1" applyBorder="1" applyAlignment="1">
      <alignment horizontal="center" vertical="center"/>
    </xf>
    <xf numFmtId="0" fontId="9" fillId="4" borderId="1" xfId="0" applyFont="1" applyFill="1" applyBorder="1" applyAlignment="1">
      <alignment horizontal="left" vertical="center" wrapText="1"/>
    </xf>
    <xf numFmtId="0" fontId="3" fillId="4" borderId="1" xfId="0" applyFont="1" applyFill="1" applyBorder="1" applyAlignment="1">
      <alignment horizontal="center"/>
    </xf>
    <xf numFmtId="0" fontId="3" fillId="7" borderId="1" xfId="0" applyFont="1" applyFill="1" applyBorder="1" applyAlignment="1">
      <alignment horizontal="center" vertical="center"/>
    </xf>
    <xf numFmtId="9" fontId="3" fillId="0" borderId="1" xfId="0" applyNumberFormat="1" applyFont="1" applyBorder="1" applyAlignment="1">
      <alignment horizontal="center" vertical="center"/>
    </xf>
    <xf numFmtId="0" fontId="0" fillId="0" borderId="1" xfId="0" applyBorder="1" applyAlignment="1">
      <alignment horizontal="centerContinuous" vertical="center"/>
    </xf>
    <xf numFmtId="0" fontId="6" fillId="0" borderId="1" xfId="0" applyFont="1" applyBorder="1" applyAlignment="1">
      <alignment horizontal="centerContinuous" vertical="center"/>
    </xf>
    <xf numFmtId="0" fontId="8" fillId="4" borderId="1" xfId="0" applyFont="1" applyFill="1" applyBorder="1" applyAlignment="1">
      <alignment horizontal="left" vertical="center"/>
    </xf>
    <xf numFmtId="0" fontId="11" fillId="4" borderId="1" xfId="0" applyFont="1" applyFill="1" applyBorder="1" applyAlignment="1">
      <alignment horizontal="left" vertical="center"/>
    </xf>
    <xf numFmtId="0" fontId="11" fillId="4" borderId="1" xfId="0" applyFont="1" applyFill="1" applyBorder="1" applyAlignment="1">
      <alignment vertical="center"/>
    </xf>
    <xf numFmtId="9" fontId="3" fillId="4" borderId="1" xfId="0" applyNumberFormat="1" applyFont="1" applyFill="1" applyBorder="1" applyAlignment="1">
      <alignment vertical="center"/>
    </xf>
    <xf numFmtId="0" fontId="4" fillId="4" borderId="1" xfId="0" applyFont="1" applyFill="1" applyBorder="1" applyAlignment="1">
      <alignment horizontal="center"/>
    </xf>
    <xf numFmtId="14" fontId="3" fillId="7" borderId="1" xfId="0" applyNumberFormat="1" applyFont="1" applyFill="1" applyBorder="1" applyAlignment="1">
      <alignment horizontal="center" vertical="center"/>
    </xf>
    <xf numFmtId="0" fontId="0" fillId="7" borderId="0" xfId="0" applyFill="1" applyAlignment="1">
      <alignment vertical="center"/>
    </xf>
    <xf numFmtId="0" fontId="3" fillId="7" borderId="1" xfId="0" applyFont="1" applyFill="1" applyBorder="1" applyAlignment="1">
      <alignment horizontal="center"/>
    </xf>
    <xf numFmtId="0" fontId="3" fillId="8" borderId="1" xfId="0" applyFont="1" applyFill="1" applyBorder="1" applyAlignment="1">
      <alignment horizontal="center" vertical="center"/>
    </xf>
    <xf numFmtId="0" fontId="8" fillId="8" borderId="1" xfId="0" applyFont="1" applyFill="1" applyBorder="1" applyAlignment="1">
      <alignment horizontal="center" vertical="center"/>
    </xf>
    <xf numFmtId="9" fontId="8" fillId="8" borderId="1" xfId="0" applyNumberFormat="1" applyFont="1" applyFill="1" applyBorder="1" applyAlignment="1">
      <alignment horizontal="center" vertical="center"/>
    </xf>
    <xf numFmtId="14" fontId="8" fillId="8" borderId="1" xfId="0" applyNumberFormat="1" applyFont="1" applyFill="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9" fontId="3" fillId="7" borderId="1" xfId="0" applyNumberFormat="1" applyFont="1" applyFill="1" applyBorder="1" applyAlignment="1">
      <alignment horizontal="center" vertical="center"/>
    </xf>
    <xf numFmtId="0" fontId="9" fillId="4" borderId="0" xfId="0" applyFont="1" applyFill="1" applyAlignment="1">
      <alignment horizontal="center" vertical="center"/>
    </xf>
    <xf numFmtId="0" fontId="9" fillId="4" borderId="0" xfId="0" applyFont="1" applyFill="1" applyAlignment="1">
      <alignment horizontal="left" vertical="center"/>
    </xf>
    <xf numFmtId="0" fontId="9" fillId="4" borderId="0" xfId="0" applyFont="1" applyFill="1" applyAlignment="1">
      <alignment horizontal="center" vertical="center" wrapText="1"/>
    </xf>
    <xf numFmtId="0" fontId="3" fillId="4" borderId="1" xfId="0" applyFont="1" applyFill="1" applyBorder="1" applyAlignment="1">
      <alignment horizontal="left" vertical="center" wrapText="1"/>
    </xf>
    <xf numFmtId="0" fontId="13" fillId="5" borderId="1" xfId="0" applyFont="1" applyFill="1" applyBorder="1" applyAlignment="1">
      <alignment horizontal="center" vertical="center"/>
    </xf>
    <xf numFmtId="14" fontId="3" fillId="8" borderId="1" xfId="0" applyNumberFormat="1" applyFont="1" applyFill="1" applyBorder="1" applyAlignment="1">
      <alignment horizontal="center" vertical="center"/>
    </xf>
    <xf numFmtId="9" fontId="3" fillId="8" borderId="1" xfId="0" applyNumberFormat="1" applyFont="1" applyFill="1" applyBorder="1" applyAlignment="1">
      <alignment horizontal="center" vertical="center"/>
    </xf>
    <xf numFmtId="0" fontId="13" fillId="0" borderId="1" xfId="0" applyFont="1" applyBorder="1" applyAlignment="1">
      <alignment horizontal="center" vertical="center"/>
    </xf>
    <xf numFmtId="0" fontId="13" fillId="6" borderId="1" xfId="0" applyFont="1" applyFill="1" applyBorder="1" applyAlignment="1">
      <alignment horizontal="center" vertical="center"/>
    </xf>
    <xf numFmtId="0" fontId="13" fillId="4"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8" fillId="7" borderId="1" xfId="0" applyFont="1" applyFill="1" applyBorder="1" applyAlignment="1">
      <alignment vertical="center"/>
    </xf>
    <xf numFmtId="9" fontId="8" fillId="7" borderId="1" xfId="0" applyNumberFormat="1" applyFont="1" applyFill="1" applyBorder="1" applyAlignment="1">
      <alignment horizontal="center" vertical="center"/>
    </xf>
    <xf numFmtId="0" fontId="3" fillId="9" borderId="1" xfId="0" applyFont="1" applyFill="1" applyBorder="1" applyAlignment="1">
      <alignment horizontal="center" vertical="center"/>
    </xf>
    <xf numFmtId="0" fontId="0" fillId="4" borderId="0" xfId="0" applyFill="1" applyAlignment="1">
      <alignment vertical="center"/>
    </xf>
    <xf numFmtId="0" fontId="3" fillId="10" borderId="1" xfId="0" applyFont="1" applyFill="1" applyBorder="1" applyAlignment="1">
      <alignment horizontal="center" vertical="center"/>
    </xf>
    <xf numFmtId="9" fontId="3" fillId="10" borderId="1" xfId="0" applyNumberFormat="1" applyFont="1" applyFill="1" applyBorder="1" applyAlignment="1">
      <alignment horizontal="center" vertical="center"/>
    </xf>
    <xf numFmtId="14" fontId="3" fillId="10" borderId="1" xfId="0" applyNumberFormat="1" applyFont="1" applyFill="1" applyBorder="1" applyAlignment="1">
      <alignment horizontal="center" vertical="center"/>
    </xf>
    <xf numFmtId="0" fontId="6" fillId="0" borderId="1" xfId="0" applyFont="1" applyBorder="1" applyAlignment="1">
      <alignment horizontal="center" vertical="center"/>
    </xf>
    <xf numFmtId="0" fontId="12" fillId="0" borderId="1" xfId="0" applyFont="1" applyBorder="1" applyAlignment="1">
      <alignment horizontal="center" vertical="center"/>
    </xf>
    <xf numFmtId="0" fontId="1" fillId="0" borderId="1"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3" fillId="4" borderId="4"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5" fillId="0" borderId="1" xfId="0" applyFont="1" applyBorder="1" applyAlignment="1">
      <alignment horizontal="center" vertical="center"/>
    </xf>
    <xf numFmtId="0" fontId="16" fillId="3" borderId="1" xfId="0" applyFont="1" applyFill="1" applyBorder="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xf>
    <xf numFmtId="0" fontId="3" fillId="11" borderId="1" xfId="0" applyFont="1" applyFill="1" applyBorder="1" applyAlignment="1">
      <alignment horizontal="center" vertical="center"/>
    </xf>
    <xf numFmtId="9" fontId="3" fillId="11" borderId="1" xfId="0" applyNumberFormat="1" applyFont="1" applyFill="1" applyBorder="1" applyAlignment="1">
      <alignment horizontal="center" vertical="center"/>
    </xf>
    <xf numFmtId="14" fontId="3" fillId="11" borderId="1" xfId="0" applyNumberFormat="1" applyFont="1" applyFill="1" applyBorder="1" applyAlignment="1">
      <alignment horizontal="center" vertical="center"/>
    </xf>
    <xf numFmtId="0" fontId="17" fillId="0" borderId="0" xfId="0" applyFont="1"/>
    <xf numFmtId="0" fontId="3" fillId="4" borderId="1" xfId="0" applyFont="1" applyFill="1" applyBorder="1" applyAlignment="1">
      <alignment horizontal="center" vertical="top" wrapText="1"/>
    </xf>
    <xf numFmtId="0" fontId="0" fillId="12" borderId="0" xfId="0" applyFill="1" applyAlignment="1">
      <alignment horizontal="center" vertical="center"/>
    </xf>
    <xf numFmtId="0" fontId="3" fillId="12" borderId="0" xfId="0" applyFont="1" applyFill="1" applyAlignment="1">
      <alignment horizontal="center" vertical="center"/>
    </xf>
    <xf numFmtId="0" fontId="0" fillId="12" borderId="0" xfId="0" applyFill="1" applyAlignment="1">
      <alignment horizontal="center"/>
    </xf>
    <xf numFmtId="0" fontId="3" fillId="12" borderId="1" xfId="0" applyFont="1" applyFill="1" applyBorder="1" applyAlignment="1">
      <alignment horizontal="center" vertical="center"/>
    </xf>
    <xf numFmtId="14" fontId="0" fillId="12" borderId="0" xfId="0" applyNumberFormat="1" applyFill="1" applyAlignment="1">
      <alignment horizontal="center" vertical="center"/>
    </xf>
    <xf numFmtId="0" fontId="0" fillId="12" borderId="0" xfId="0" applyFill="1" applyAlignment="1">
      <alignment horizontal="left" vertical="center"/>
    </xf>
    <xf numFmtId="14" fontId="3" fillId="12" borderId="0" xfId="0" applyNumberFormat="1" applyFont="1" applyFill="1" applyAlignment="1">
      <alignment horizontal="center" vertical="center"/>
    </xf>
    <xf numFmtId="0" fontId="3" fillId="7" borderId="4"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2" xfId="0" applyFont="1" applyFill="1" applyBorder="1" applyAlignment="1">
      <alignment horizontal="center" vertical="center"/>
    </xf>
    <xf numFmtId="0" fontId="4" fillId="4" borderId="1" xfId="0" applyFont="1" applyFill="1" applyBorder="1" applyAlignment="1">
      <alignment horizontal="center" wrapText="1"/>
    </xf>
    <xf numFmtId="0" fontId="3" fillId="0" borderId="1" xfId="0" applyFont="1" applyBorder="1"/>
    <xf numFmtId="0" fontId="6" fillId="6" borderId="1" xfId="0" applyFont="1" applyFill="1" applyBorder="1" applyAlignment="1">
      <alignment horizontal="center" vertical="center"/>
    </xf>
    <xf numFmtId="0" fontId="3" fillId="7"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20" fillId="4" borderId="1" xfId="0" applyFont="1" applyFill="1" applyBorder="1" applyAlignment="1">
      <alignment horizontal="center" vertical="center"/>
    </xf>
    <xf numFmtId="0" fontId="20" fillId="5" borderId="1" xfId="0" applyFont="1" applyFill="1" applyBorder="1" applyAlignment="1">
      <alignment vertical="center"/>
    </xf>
    <xf numFmtId="0" fontId="3" fillId="5" borderId="1" xfId="0" applyFont="1" applyFill="1" applyBorder="1" applyAlignment="1">
      <alignment vertical="center"/>
    </xf>
    <xf numFmtId="0" fontId="3" fillId="7" borderId="1" xfId="0" applyFont="1" applyFill="1" applyBorder="1" applyAlignment="1">
      <alignment horizontal="left" vertical="center"/>
    </xf>
    <xf numFmtId="0" fontId="14" fillId="7"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14" fontId="14" fillId="0" borderId="1" xfId="0" applyNumberFormat="1" applyFont="1" applyBorder="1" applyAlignment="1">
      <alignment horizontal="center" vertical="center"/>
    </xf>
    <xf numFmtId="0" fontId="19" fillId="4" borderId="1" xfId="0" applyFont="1" applyFill="1" applyBorder="1" applyAlignment="1">
      <alignment horizontal="center" vertical="top"/>
    </xf>
    <xf numFmtId="0" fontId="18" fillId="4" borderId="1" xfId="0" applyFont="1" applyFill="1" applyBorder="1" applyAlignment="1">
      <alignment horizontal="center" vertical="center" wrapText="1"/>
    </xf>
    <xf numFmtId="0" fontId="19" fillId="4" borderId="1" xfId="0" applyFont="1" applyFill="1" applyBorder="1" applyAlignment="1">
      <alignment horizontal="center"/>
    </xf>
    <xf numFmtId="0" fontId="18" fillId="4" borderId="1" xfId="0" applyFont="1" applyFill="1" applyBorder="1" applyAlignment="1">
      <alignment horizontal="center" vertical="center"/>
    </xf>
    <xf numFmtId="0" fontId="19" fillId="4" borderId="1" xfId="0" applyFont="1" applyFill="1" applyBorder="1" applyAlignment="1">
      <alignment horizontal="center" wrapText="1"/>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3" fillId="4" borderId="1" xfId="0" applyFont="1" applyFill="1" applyBorder="1"/>
    <xf numFmtId="0" fontId="14" fillId="4" borderId="1" xfId="0" applyFont="1" applyFill="1" applyBorder="1" applyAlignment="1">
      <alignment horizontal="center" vertical="center"/>
    </xf>
    <xf numFmtId="0" fontId="3" fillId="4" borderId="0" xfId="0" applyFont="1" applyFill="1" applyAlignment="1">
      <alignment horizontal="center" vertical="center" wrapText="1"/>
    </xf>
    <xf numFmtId="0" fontId="16" fillId="0" borderId="1" xfId="0" applyFont="1" applyBorder="1" applyAlignment="1">
      <alignment horizontal="center" vertical="center"/>
    </xf>
    <xf numFmtId="0" fontId="16" fillId="0" borderId="0" xfId="0" applyFont="1" applyAlignment="1">
      <alignment vertical="center"/>
    </xf>
    <xf numFmtId="0" fontId="21" fillId="0" borderId="1" xfId="0" applyFont="1" applyBorder="1" applyAlignment="1">
      <alignment horizontal="center" vertical="center"/>
    </xf>
    <xf numFmtId="0" fontId="16" fillId="0" borderId="1" xfId="0" applyFont="1" applyBorder="1" applyAlignment="1">
      <alignment horizontal="left" vertical="center"/>
    </xf>
    <xf numFmtId="0" fontId="5" fillId="0" borderId="1" xfId="0" applyFont="1" applyBorder="1" applyAlignment="1">
      <alignment horizontal="left" vertical="center"/>
    </xf>
    <xf numFmtId="0" fontId="22" fillId="0" borderId="1" xfId="0" applyFont="1" applyBorder="1" applyAlignment="1">
      <alignment horizontal="center" vertical="center"/>
    </xf>
    <xf numFmtId="0" fontId="0" fillId="5" borderId="0" xfId="0" applyFill="1" applyAlignment="1">
      <alignment vertical="center"/>
    </xf>
    <xf numFmtId="0" fontId="14" fillId="9" borderId="1" xfId="0" applyFont="1" applyFill="1" applyBorder="1" applyAlignment="1">
      <alignment horizontal="center" vertical="center"/>
    </xf>
    <xf numFmtId="0" fontId="14" fillId="0" borderId="1" xfId="0" applyFont="1" applyBorder="1" applyAlignment="1">
      <alignment horizontal="left" vertical="center"/>
    </xf>
    <xf numFmtId="0" fontId="14"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0" fillId="8" borderId="0" xfId="0" applyFill="1" applyAlignment="1">
      <alignment horizontal="center" vertical="center"/>
    </xf>
    <xf numFmtId="0" fontId="3" fillId="9" borderId="1" xfId="0" applyFont="1" applyFill="1" applyBorder="1" applyAlignment="1">
      <alignment horizontal="left" vertical="center"/>
    </xf>
    <xf numFmtId="14" fontId="3" fillId="9" borderId="1" xfId="0" applyNumberFormat="1" applyFont="1" applyFill="1" applyBorder="1" applyAlignment="1">
      <alignment horizontal="center" vertical="center"/>
    </xf>
    <xf numFmtId="0" fontId="5" fillId="0" borderId="0" xfId="0" applyFont="1"/>
    <xf numFmtId="0" fontId="6" fillId="0" borderId="0" xfId="0" applyFont="1" applyAlignment="1">
      <alignment horizontal="center" vertical="center"/>
    </xf>
    <xf numFmtId="0" fontId="6" fillId="0" borderId="1" xfId="0" applyFont="1" applyBorder="1" applyAlignment="1">
      <alignment horizontal="left" vertical="center"/>
    </xf>
    <xf numFmtId="0" fontId="3" fillId="5" borderId="1" xfId="0" applyFont="1" applyFill="1" applyBorder="1" applyAlignment="1">
      <alignment horizontal="left" vertical="center" wrapText="1"/>
    </xf>
    <xf numFmtId="0" fontId="6" fillId="0" borderId="0" xfId="0" applyFont="1" applyAlignment="1">
      <alignment horizontal="left" vertical="center"/>
    </xf>
    <xf numFmtId="0" fontId="0" fillId="0" borderId="0" xfId="0" applyAlignment="1">
      <alignment horizontal="left"/>
    </xf>
    <xf numFmtId="0" fontId="3" fillId="6" borderId="1" xfId="0" applyFont="1" applyFill="1" applyBorder="1" applyAlignment="1">
      <alignment horizontal="left" vertical="center" wrapText="1"/>
    </xf>
    <xf numFmtId="0" fontId="0" fillId="9" borderId="0" xfId="0" applyFill="1" applyAlignment="1">
      <alignment horizontal="center"/>
    </xf>
    <xf numFmtId="0" fontId="0" fillId="9" borderId="0" xfId="0" applyFill="1" applyAlignment="1">
      <alignment horizontal="center" vertical="center"/>
    </xf>
    <xf numFmtId="0" fontId="3" fillId="14" borderId="1" xfId="0" applyFont="1" applyFill="1" applyBorder="1" applyAlignment="1">
      <alignment horizontal="center" vertical="center"/>
    </xf>
    <xf numFmtId="0" fontId="3" fillId="8" borderId="1" xfId="0" applyFont="1" applyFill="1" applyBorder="1" applyAlignment="1">
      <alignment horizontal="center" vertical="center" wrapText="1"/>
    </xf>
    <xf numFmtId="1" fontId="3" fillId="4" borderId="1" xfId="0" applyNumberFormat="1" applyFont="1" applyFill="1" applyBorder="1" applyAlignment="1">
      <alignment horizontal="center" vertical="center"/>
    </xf>
    <xf numFmtId="1" fontId="3" fillId="7" borderId="1" xfId="0" applyNumberFormat="1" applyFont="1" applyFill="1" applyBorder="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 fillId="0" borderId="1" xfId="0" applyFont="1" applyBorder="1" applyAlignment="1">
      <alignment horizontal="center" vertical="center"/>
    </xf>
    <xf numFmtId="0" fontId="12" fillId="0" borderId="1"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2" fillId="0" borderId="0" xfId="0" applyFont="1" applyAlignment="1">
      <alignment horizontal="center" vertical="center"/>
    </xf>
    <xf numFmtId="0" fontId="3" fillId="4" borderId="4"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14" fontId="3" fillId="4" borderId="4" xfId="0" applyNumberFormat="1" applyFont="1" applyFill="1" applyBorder="1" applyAlignment="1">
      <alignment horizontal="center" vertical="center"/>
    </xf>
    <xf numFmtId="14" fontId="3" fillId="4" borderId="3" xfId="0" applyNumberFormat="1" applyFont="1" applyFill="1" applyBorder="1" applyAlignment="1">
      <alignment horizontal="center" vertical="center"/>
    </xf>
    <xf numFmtId="14" fontId="3" fillId="4" borderId="2" xfId="0" applyNumberFormat="1" applyFont="1" applyFill="1" applyBorder="1" applyAlignment="1">
      <alignment horizontal="center" vertical="center"/>
    </xf>
    <xf numFmtId="0" fontId="6" fillId="0" borderId="1" xfId="0" applyFont="1" applyBorder="1" applyAlignment="1">
      <alignment horizontal="center" vertical="center"/>
    </xf>
    <xf numFmtId="0" fontId="5" fillId="13" borderId="0" xfId="0" applyFont="1" applyFill="1" applyAlignment="1">
      <alignment horizontal="center"/>
    </xf>
    <xf numFmtId="0" fontId="3" fillId="7" borderId="4"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2" xfId="0" applyFont="1" applyFill="1" applyBorder="1" applyAlignment="1">
      <alignment horizontal="center" vertical="center"/>
    </xf>
    <xf numFmtId="14" fontId="3" fillId="7" borderId="4" xfId="0" applyNumberFormat="1" applyFont="1" applyFill="1" applyBorder="1" applyAlignment="1">
      <alignment horizontal="center" vertical="center"/>
    </xf>
    <xf numFmtId="14" fontId="3" fillId="7" borderId="3" xfId="0" applyNumberFormat="1" applyFont="1" applyFill="1" applyBorder="1" applyAlignment="1">
      <alignment horizontal="center" vertical="center"/>
    </xf>
    <xf numFmtId="14" fontId="3" fillId="7" borderId="2" xfId="0" applyNumberFormat="1" applyFont="1" applyFill="1" applyBorder="1" applyAlignment="1">
      <alignment horizontal="center" vertical="center"/>
    </xf>
    <xf numFmtId="0" fontId="3" fillId="1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FFEC-DDE2-4973-A1C2-26641ACB5F3D}">
  <dimension ref="A1:AA2628"/>
  <sheetViews>
    <sheetView tabSelected="1" zoomScaleNormal="100" workbookViewId="0">
      <pane xSplit="4" ySplit="2" topLeftCell="E2106" activePane="bottomRight" state="frozen"/>
      <selection pane="topRight" activeCell="E1" sqref="E1"/>
      <selection pane="bottomLeft" activeCell="A3" sqref="A3"/>
      <selection pane="bottomRight" activeCell="F2125" sqref="F2125"/>
    </sheetView>
  </sheetViews>
  <sheetFormatPr defaultColWidth="8.88671875" defaultRowHeight="14.4" x14ac:dyDescent="0.3"/>
  <cols>
    <col min="1" max="1" width="5" style="136" bestFit="1" customWidth="1"/>
    <col min="2" max="2" width="13.44140625" style="3" bestFit="1" customWidth="1"/>
    <col min="3" max="3" width="9.5546875" style="3" bestFit="1" customWidth="1"/>
    <col min="4" max="4" width="28.6640625" style="3" bestFit="1" customWidth="1"/>
    <col min="5" max="5" width="11.6640625" style="3" customWidth="1"/>
    <col min="6" max="6" width="53.33203125" style="3" bestFit="1" customWidth="1"/>
    <col min="7" max="7" width="5.33203125" style="3" bestFit="1" customWidth="1"/>
    <col min="8" max="8" width="4.33203125" style="3" bestFit="1" customWidth="1"/>
    <col min="9" max="9" width="9.6640625" style="3" bestFit="1" customWidth="1"/>
    <col min="10" max="10" width="9.5546875" style="3" bestFit="1" customWidth="1"/>
    <col min="11" max="13" width="7.5546875" style="3" bestFit="1" customWidth="1"/>
    <col min="14" max="14" width="9.33203125" style="3" bestFit="1" customWidth="1"/>
    <col min="15" max="15" width="9.109375" style="3" bestFit="1" customWidth="1"/>
    <col min="16" max="16" width="9.88671875" style="3" bestFit="1" customWidth="1"/>
    <col min="17" max="17" width="12.5546875" style="3" bestFit="1" customWidth="1"/>
    <col min="18" max="18" width="4.44140625" style="3" bestFit="1" customWidth="1"/>
    <col min="19" max="19" width="10.6640625" style="3" bestFit="1" customWidth="1"/>
    <col min="20" max="20" width="10.109375" style="3" bestFit="1" customWidth="1"/>
    <col min="21" max="21" width="13.6640625" style="3" bestFit="1" customWidth="1"/>
    <col min="22" max="22" width="9.33203125" style="3" bestFit="1" customWidth="1"/>
    <col min="23" max="23" width="21.5546875" style="136" customWidth="1"/>
    <col min="24" max="24" width="15.6640625" style="3" bestFit="1" customWidth="1"/>
    <col min="25" max="16384" width="8.88671875" style="3"/>
  </cols>
  <sheetData>
    <row r="1" spans="1:23" ht="18" x14ac:dyDescent="0.3">
      <c r="A1" s="212" t="s">
        <v>0</v>
      </c>
      <c r="B1" s="212"/>
      <c r="C1" s="212"/>
      <c r="D1" s="212"/>
      <c r="E1" s="212"/>
      <c r="F1" s="212"/>
      <c r="G1" s="212"/>
      <c r="H1" s="212"/>
      <c r="I1" s="212"/>
      <c r="J1" s="212"/>
      <c r="K1" s="210" t="s">
        <v>1</v>
      </c>
      <c r="L1" s="210"/>
      <c r="M1" s="210"/>
      <c r="N1" s="210"/>
      <c r="O1" s="211" t="s">
        <v>2</v>
      </c>
      <c r="P1" s="211"/>
      <c r="Q1" s="211"/>
      <c r="R1" s="211"/>
      <c r="S1" s="211"/>
      <c r="T1" s="211"/>
      <c r="U1" s="211"/>
      <c r="V1" s="211"/>
    </row>
    <row r="2" spans="1:23" s="9" customFormat="1" ht="27.6" x14ac:dyDescent="0.3">
      <c r="A2" s="15" t="s">
        <v>3</v>
      </c>
      <c r="B2" s="15" t="s">
        <v>4</v>
      </c>
      <c r="C2" s="15" t="s">
        <v>5</v>
      </c>
      <c r="D2" s="15" t="s">
        <v>6</v>
      </c>
      <c r="E2" s="15"/>
      <c r="F2" s="15" t="s">
        <v>8</v>
      </c>
      <c r="G2" s="15" t="s">
        <v>9</v>
      </c>
      <c r="H2" s="15" t="s">
        <v>10</v>
      </c>
      <c r="I2" s="15" t="s">
        <v>11</v>
      </c>
      <c r="J2" s="15" t="s">
        <v>12</v>
      </c>
      <c r="K2" s="15" t="s">
        <v>13</v>
      </c>
      <c r="L2" s="15" t="s">
        <v>14</v>
      </c>
      <c r="M2" s="15" t="s">
        <v>15</v>
      </c>
      <c r="N2" s="15" t="s">
        <v>16</v>
      </c>
      <c r="O2" s="15" t="s">
        <v>17</v>
      </c>
      <c r="P2" s="15" t="s">
        <v>18</v>
      </c>
      <c r="Q2" s="15" t="s">
        <v>19</v>
      </c>
      <c r="R2" s="15" t="s">
        <v>20</v>
      </c>
      <c r="S2" s="15" t="s">
        <v>21</v>
      </c>
      <c r="T2" s="15" t="s">
        <v>22</v>
      </c>
      <c r="U2" s="15" t="s">
        <v>23</v>
      </c>
      <c r="V2" s="134" t="s">
        <v>24</v>
      </c>
      <c r="W2" s="135" t="s">
        <v>25</v>
      </c>
    </row>
    <row r="3" spans="1:23" x14ac:dyDescent="0.3">
      <c r="A3" s="213">
        <v>1</v>
      </c>
      <c r="B3" s="213">
        <v>8100013678</v>
      </c>
      <c r="C3" s="216">
        <v>45633</v>
      </c>
      <c r="D3" s="213" t="s">
        <v>26</v>
      </c>
      <c r="E3" s="130"/>
      <c r="F3" s="16" t="s">
        <v>27</v>
      </c>
      <c r="G3" s="16">
        <v>50</v>
      </c>
      <c r="H3" s="16" t="s">
        <v>28</v>
      </c>
      <c r="I3" s="16">
        <v>760</v>
      </c>
      <c r="J3" s="16">
        <f>G3*I3</f>
        <v>38000</v>
      </c>
      <c r="K3" s="16"/>
      <c r="L3" s="16"/>
      <c r="M3" s="16"/>
      <c r="N3" s="16"/>
      <c r="O3" s="16">
        <v>50</v>
      </c>
      <c r="P3" s="16">
        <v>760</v>
      </c>
      <c r="Q3" s="16">
        <f>O3*P3</f>
        <v>38000</v>
      </c>
      <c r="R3" s="18">
        <v>0.18</v>
      </c>
      <c r="S3" s="16">
        <f>Q3*R3</f>
        <v>6840</v>
      </c>
      <c r="T3" s="16">
        <f>Q3+S3</f>
        <v>44840</v>
      </c>
      <c r="U3" s="16" t="s">
        <v>29</v>
      </c>
      <c r="V3" s="16" t="s">
        <v>30</v>
      </c>
      <c r="W3" s="142"/>
    </row>
    <row r="4" spans="1:23" x14ac:dyDescent="0.3">
      <c r="A4" s="214"/>
      <c r="B4" s="214"/>
      <c r="C4" s="217"/>
      <c r="D4" s="214"/>
      <c r="E4" s="131"/>
      <c r="F4" s="16" t="s">
        <v>31</v>
      </c>
      <c r="G4" s="16">
        <v>50</v>
      </c>
      <c r="H4" s="16" t="s">
        <v>28</v>
      </c>
      <c r="I4" s="16">
        <v>208</v>
      </c>
      <c r="J4" s="16">
        <f t="shared" ref="J4:J72" si="0">G4*I4</f>
        <v>10400</v>
      </c>
      <c r="K4" s="16"/>
      <c r="L4" s="16"/>
      <c r="M4" s="16"/>
      <c r="N4" s="16"/>
      <c r="O4" s="16">
        <v>50</v>
      </c>
      <c r="P4" s="16">
        <v>208</v>
      </c>
      <c r="Q4" s="16">
        <f t="shared" ref="Q4:Q5" si="1">O4*P4</f>
        <v>10400</v>
      </c>
      <c r="R4" s="18">
        <v>0.18</v>
      </c>
      <c r="S4" s="16">
        <f t="shared" ref="S4:S5" si="2">Q4*R4</f>
        <v>1872</v>
      </c>
      <c r="T4" s="16">
        <f t="shared" ref="T4:T5" si="3">Q4+S4</f>
        <v>12272</v>
      </c>
      <c r="U4" s="16" t="s">
        <v>29</v>
      </c>
      <c r="V4" s="16" t="s">
        <v>30</v>
      </c>
      <c r="W4" s="142"/>
    </row>
    <row r="5" spans="1:23" x14ac:dyDescent="0.3">
      <c r="A5" s="214"/>
      <c r="B5" s="214"/>
      <c r="C5" s="217"/>
      <c r="D5" s="214"/>
      <c r="E5" s="131"/>
      <c r="F5" s="16" t="s">
        <v>32</v>
      </c>
      <c r="G5" s="16">
        <v>60</v>
      </c>
      <c r="H5" s="16" t="s">
        <v>28</v>
      </c>
      <c r="I5" s="16">
        <v>470</v>
      </c>
      <c r="J5" s="16">
        <f t="shared" si="0"/>
        <v>28200</v>
      </c>
      <c r="K5" s="16"/>
      <c r="L5" s="16"/>
      <c r="M5" s="16"/>
      <c r="N5" s="16"/>
      <c r="O5" s="16">
        <v>60</v>
      </c>
      <c r="P5" s="16">
        <v>470</v>
      </c>
      <c r="Q5" s="16">
        <f t="shared" si="1"/>
        <v>28200</v>
      </c>
      <c r="R5" s="18">
        <v>0.18</v>
      </c>
      <c r="S5" s="16">
        <f t="shared" si="2"/>
        <v>5076</v>
      </c>
      <c r="T5" s="16">
        <f t="shared" si="3"/>
        <v>33276</v>
      </c>
      <c r="U5" s="16" t="s">
        <v>29</v>
      </c>
      <c r="V5" s="16" t="s">
        <v>30</v>
      </c>
      <c r="W5" s="142"/>
    </row>
    <row r="6" spans="1:23" x14ac:dyDescent="0.3">
      <c r="A6" s="214"/>
      <c r="B6" s="214"/>
      <c r="C6" s="217"/>
      <c r="D6" s="214"/>
      <c r="E6" s="131"/>
      <c r="F6" s="16" t="s">
        <v>33</v>
      </c>
      <c r="G6" s="16">
        <v>50</v>
      </c>
      <c r="H6" s="16" t="s">
        <v>28</v>
      </c>
      <c r="I6" s="16">
        <v>80</v>
      </c>
      <c r="J6" s="16">
        <f t="shared" si="0"/>
        <v>4000</v>
      </c>
      <c r="K6" s="16"/>
      <c r="L6" s="16"/>
      <c r="M6" s="16"/>
      <c r="N6" s="16"/>
      <c r="O6" s="16">
        <v>50</v>
      </c>
      <c r="P6" s="16">
        <v>80</v>
      </c>
      <c r="Q6" s="16">
        <f t="shared" ref="Q6:Q9" si="4">O6*P6</f>
        <v>4000</v>
      </c>
      <c r="R6" s="18">
        <v>0.18</v>
      </c>
      <c r="S6" s="16">
        <f t="shared" ref="S6:S9" si="5">Q6*R6</f>
        <v>720</v>
      </c>
      <c r="T6" s="16">
        <f t="shared" ref="T6:T9" si="6">Q6+S6</f>
        <v>4720</v>
      </c>
      <c r="U6" s="16" t="s">
        <v>34</v>
      </c>
      <c r="V6" s="16" t="s">
        <v>35</v>
      </c>
      <c r="W6" s="142"/>
    </row>
    <row r="7" spans="1:23" x14ac:dyDescent="0.3">
      <c r="A7" s="214"/>
      <c r="B7" s="214"/>
      <c r="C7" s="217"/>
      <c r="D7" s="214"/>
      <c r="E7" s="131"/>
      <c r="F7" s="16" t="s">
        <v>36</v>
      </c>
      <c r="G7" s="16">
        <v>50</v>
      </c>
      <c r="H7" s="16" t="s">
        <v>28</v>
      </c>
      <c r="I7" s="16">
        <v>40</v>
      </c>
      <c r="J7" s="16">
        <f t="shared" si="0"/>
        <v>2000</v>
      </c>
      <c r="K7" s="16"/>
      <c r="L7" s="16"/>
      <c r="M7" s="16"/>
      <c r="N7" s="16"/>
      <c r="O7" s="16">
        <v>50</v>
      </c>
      <c r="P7" s="16">
        <v>40</v>
      </c>
      <c r="Q7" s="16">
        <f t="shared" si="4"/>
        <v>2000</v>
      </c>
      <c r="R7" s="18">
        <v>0.18</v>
      </c>
      <c r="S7" s="16">
        <f t="shared" si="5"/>
        <v>360</v>
      </c>
      <c r="T7" s="16">
        <f t="shared" si="6"/>
        <v>2360</v>
      </c>
      <c r="U7" s="16" t="s">
        <v>34</v>
      </c>
      <c r="V7" s="16" t="s">
        <v>35</v>
      </c>
      <c r="W7" s="142"/>
    </row>
    <row r="8" spans="1:23" x14ac:dyDescent="0.3">
      <c r="A8" s="214"/>
      <c r="B8" s="214"/>
      <c r="C8" s="217"/>
      <c r="D8" s="214"/>
      <c r="E8" s="131"/>
      <c r="F8" s="16" t="s">
        <v>37</v>
      </c>
      <c r="G8" s="16">
        <v>60</v>
      </c>
      <c r="H8" s="16" t="s">
        <v>28</v>
      </c>
      <c r="I8" s="16">
        <v>80</v>
      </c>
      <c r="J8" s="16">
        <f t="shared" si="0"/>
        <v>4800</v>
      </c>
      <c r="K8" s="16"/>
      <c r="L8" s="16"/>
      <c r="M8" s="16"/>
      <c r="N8" s="16"/>
      <c r="O8" s="16">
        <v>60</v>
      </c>
      <c r="P8" s="16">
        <v>80</v>
      </c>
      <c r="Q8" s="16">
        <f t="shared" si="4"/>
        <v>4800</v>
      </c>
      <c r="R8" s="18">
        <v>0.18</v>
      </c>
      <c r="S8" s="16">
        <f t="shared" si="5"/>
        <v>864</v>
      </c>
      <c r="T8" s="16">
        <f t="shared" si="6"/>
        <v>5664</v>
      </c>
      <c r="U8" s="16" t="s">
        <v>34</v>
      </c>
      <c r="V8" s="16" t="s">
        <v>35</v>
      </c>
      <c r="W8" s="142"/>
    </row>
    <row r="9" spans="1:23" x14ac:dyDescent="0.3">
      <c r="A9" s="215"/>
      <c r="B9" s="215"/>
      <c r="C9" s="218"/>
      <c r="D9" s="215"/>
      <c r="E9" s="132"/>
      <c r="F9" s="16" t="s">
        <v>38</v>
      </c>
      <c r="G9" s="16">
        <v>60</v>
      </c>
      <c r="H9" s="16" t="s">
        <v>28</v>
      </c>
      <c r="I9" s="16">
        <v>40</v>
      </c>
      <c r="J9" s="16">
        <f t="shared" si="0"/>
        <v>2400</v>
      </c>
      <c r="K9" s="16"/>
      <c r="L9" s="16"/>
      <c r="M9" s="16"/>
      <c r="N9" s="16"/>
      <c r="O9" s="16">
        <v>60</v>
      </c>
      <c r="P9" s="16">
        <v>40</v>
      </c>
      <c r="Q9" s="16">
        <f t="shared" si="4"/>
        <v>2400</v>
      </c>
      <c r="R9" s="18">
        <v>0.18</v>
      </c>
      <c r="S9" s="16">
        <f t="shared" si="5"/>
        <v>432</v>
      </c>
      <c r="T9" s="16">
        <f t="shared" si="6"/>
        <v>2832</v>
      </c>
      <c r="U9" s="16" t="s">
        <v>34</v>
      </c>
      <c r="V9" s="16" t="s">
        <v>35</v>
      </c>
      <c r="W9" s="142"/>
    </row>
    <row r="10" spans="1:23" x14ac:dyDescent="0.3">
      <c r="A10" s="207" t="s">
        <v>39</v>
      </c>
      <c r="B10" s="208"/>
      <c r="C10" s="208"/>
      <c r="D10" s="208"/>
      <c r="E10" s="208"/>
      <c r="F10" s="208"/>
      <c r="G10" s="208"/>
      <c r="H10" s="208"/>
      <c r="I10" s="209"/>
      <c r="J10" s="133">
        <f>SUM(J3:J9)</f>
        <v>89800</v>
      </c>
      <c r="K10" s="133"/>
      <c r="L10" s="133"/>
      <c r="M10" s="133"/>
      <c r="N10" s="133"/>
      <c r="O10" s="133"/>
      <c r="P10" s="133"/>
      <c r="Q10" s="133"/>
      <c r="R10" s="133"/>
      <c r="S10" s="133"/>
      <c r="T10" s="133"/>
      <c r="U10" s="133"/>
      <c r="V10" s="133"/>
      <c r="W10" s="142"/>
    </row>
    <row r="11" spans="1:23" x14ac:dyDescent="0.3">
      <c r="A11" s="207" t="s">
        <v>40</v>
      </c>
      <c r="B11" s="208"/>
      <c r="C11" s="208"/>
      <c r="D11" s="208"/>
      <c r="E11" s="208"/>
      <c r="F11" s="208"/>
      <c r="G11" s="208"/>
      <c r="H11" s="208"/>
      <c r="I11" s="209"/>
      <c r="J11" s="133">
        <v>16164</v>
      </c>
      <c r="K11" s="133"/>
      <c r="L11" s="133"/>
      <c r="M11" s="133"/>
      <c r="N11" s="133"/>
      <c r="O11" s="133"/>
      <c r="P11" s="133"/>
      <c r="Q11" s="133"/>
      <c r="R11" s="133"/>
      <c r="S11" s="133"/>
      <c r="T11" s="133"/>
      <c r="U11" s="133"/>
      <c r="V11" s="133"/>
      <c r="W11" s="142"/>
    </row>
    <row r="12" spans="1:23" x14ac:dyDescent="0.3">
      <c r="A12" s="207" t="s">
        <v>41</v>
      </c>
      <c r="B12" s="208"/>
      <c r="C12" s="208"/>
      <c r="D12" s="208"/>
      <c r="E12" s="208"/>
      <c r="F12" s="208"/>
      <c r="G12" s="208"/>
      <c r="H12" s="208"/>
      <c r="I12" s="209"/>
      <c r="J12" s="133">
        <f>J11+J10</f>
        <v>105964</v>
      </c>
      <c r="K12" s="133"/>
      <c r="L12" s="133"/>
      <c r="M12" s="133"/>
      <c r="N12" s="133"/>
      <c r="O12" s="133"/>
      <c r="P12" s="133"/>
      <c r="Q12" s="133"/>
      <c r="R12" s="133"/>
      <c r="S12" s="133"/>
      <c r="T12" s="133">
        <f>SUM(T3:T11)</f>
        <v>105964</v>
      </c>
      <c r="U12" s="133"/>
      <c r="V12" s="133"/>
      <c r="W12" s="142"/>
    </row>
    <row r="13" spans="1:23" x14ac:dyDescent="0.3">
      <c r="A13" s="1"/>
      <c r="B13" s="1"/>
      <c r="C13" s="1"/>
      <c r="D13" s="1"/>
      <c r="E13" s="1"/>
      <c r="F13" s="1"/>
      <c r="G13" s="1"/>
      <c r="H13" s="1"/>
      <c r="I13" s="133"/>
      <c r="J13" s="133"/>
      <c r="K13" s="133"/>
      <c r="L13" s="133"/>
      <c r="M13" s="133"/>
      <c r="N13" s="133"/>
      <c r="O13" s="133"/>
      <c r="P13" s="133"/>
      <c r="Q13" s="133"/>
      <c r="R13" s="133"/>
      <c r="S13" s="133"/>
      <c r="T13" s="133"/>
      <c r="U13" s="133"/>
      <c r="V13" s="133"/>
      <c r="W13" s="142"/>
    </row>
    <row r="14" spans="1:23" x14ac:dyDescent="0.3">
      <c r="A14" s="10">
        <v>2</v>
      </c>
      <c r="B14" s="10">
        <v>8500032296</v>
      </c>
      <c r="C14" s="10" t="s">
        <v>42</v>
      </c>
      <c r="D14" s="12" t="s">
        <v>43</v>
      </c>
      <c r="E14" s="12"/>
      <c r="F14" s="10" t="s">
        <v>44</v>
      </c>
      <c r="G14" s="10">
        <v>20</v>
      </c>
      <c r="H14" s="10" t="s">
        <v>28</v>
      </c>
      <c r="I14" s="10">
        <v>3217</v>
      </c>
      <c r="J14" s="10">
        <f t="shared" ref="J14" si="7">G14*I14</f>
        <v>64340</v>
      </c>
      <c r="K14" s="10"/>
      <c r="L14" s="10"/>
      <c r="M14" s="10"/>
      <c r="N14" s="10"/>
      <c r="O14" s="10">
        <v>20</v>
      </c>
      <c r="P14" s="10">
        <v>3217</v>
      </c>
      <c r="Q14" s="10">
        <f>P14*O14</f>
        <v>64340</v>
      </c>
      <c r="R14" s="13">
        <f>Q14*0%</f>
        <v>0</v>
      </c>
      <c r="S14" s="14">
        <f>Q14*R14</f>
        <v>0</v>
      </c>
      <c r="T14" s="10">
        <f>S14+Q14</f>
        <v>64340</v>
      </c>
      <c r="U14" s="10" t="s">
        <v>45</v>
      </c>
      <c r="V14" s="11">
        <v>45497</v>
      </c>
      <c r="W14" s="142"/>
    </row>
    <row r="15" spans="1:23" x14ac:dyDescent="0.3">
      <c r="A15" s="207" t="s">
        <v>39</v>
      </c>
      <c r="B15" s="208"/>
      <c r="C15" s="208"/>
      <c r="D15" s="208"/>
      <c r="E15" s="208"/>
      <c r="F15" s="208"/>
      <c r="G15" s="208"/>
      <c r="H15" s="208"/>
      <c r="I15" s="209"/>
      <c r="J15" s="124">
        <v>64340</v>
      </c>
      <c r="K15" s="124"/>
      <c r="L15" s="124"/>
      <c r="M15" s="124"/>
      <c r="N15" s="1"/>
      <c r="O15" s="1"/>
      <c r="P15" s="1"/>
      <c r="Q15" s="1"/>
      <c r="R15" s="1"/>
      <c r="S15" s="1"/>
      <c r="T15" s="1"/>
      <c r="U15" s="1"/>
      <c r="V15" s="1"/>
      <c r="W15" s="142"/>
    </row>
    <row r="16" spans="1:23" x14ac:dyDescent="0.3">
      <c r="A16" s="207" t="s">
        <v>20</v>
      </c>
      <c r="B16" s="208"/>
      <c r="C16" s="208"/>
      <c r="D16" s="208"/>
      <c r="E16" s="208"/>
      <c r="F16" s="208"/>
      <c r="G16" s="208"/>
      <c r="H16" s="208"/>
      <c r="I16" s="209"/>
      <c r="J16" s="124">
        <v>0</v>
      </c>
      <c r="K16" s="124"/>
      <c r="L16" s="124"/>
      <c r="M16" s="124"/>
      <c r="N16" s="1"/>
      <c r="O16" s="1"/>
      <c r="P16" s="1"/>
      <c r="Q16" s="1"/>
      <c r="R16" s="1"/>
      <c r="S16" s="1"/>
      <c r="T16" s="1"/>
      <c r="U16" s="1"/>
      <c r="V16" s="1"/>
      <c r="W16" s="142"/>
    </row>
    <row r="17" spans="1:23" x14ac:dyDescent="0.3">
      <c r="A17" s="207" t="s">
        <v>41</v>
      </c>
      <c r="B17" s="208"/>
      <c r="C17" s="208"/>
      <c r="D17" s="208"/>
      <c r="E17" s="208"/>
      <c r="F17" s="208"/>
      <c r="G17" s="208"/>
      <c r="H17" s="208"/>
      <c r="I17" s="209"/>
      <c r="J17" s="133">
        <f>J16+J15</f>
        <v>64340</v>
      </c>
      <c r="K17" s="133"/>
      <c r="L17" s="133"/>
      <c r="M17" s="133"/>
      <c r="N17" s="133"/>
      <c r="O17" s="133"/>
      <c r="P17" s="133"/>
      <c r="Q17" s="133"/>
      <c r="R17" s="133"/>
      <c r="S17" s="133"/>
      <c r="T17" s="133"/>
      <c r="U17" s="133"/>
      <c r="V17" s="133"/>
      <c r="W17" s="142"/>
    </row>
    <row r="18" spans="1:23" x14ac:dyDescent="0.3">
      <c r="A18" s="1"/>
      <c r="B18" s="1"/>
      <c r="C18" s="1"/>
      <c r="D18" s="1"/>
      <c r="E18" s="1"/>
      <c r="F18" s="1"/>
      <c r="G18" s="1"/>
      <c r="H18" s="1"/>
      <c r="I18" s="1"/>
      <c r="J18" s="1"/>
      <c r="K18" s="1"/>
      <c r="L18" s="1"/>
      <c r="M18" s="1"/>
      <c r="N18" s="1"/>
      <c r="O18" s="1"/>
      <c r="P18" s="1"/>
      <c r="Q18" s="1"/>
      <c r="R18" s="1"/>
      <c r="S18" s="1"/>
      <c r="T18" s="1"/>
      <c r="U18" s="1"/>
      <c r="V18" s="1"/>
      <c r="W18" s="142"/>
    </row>
    <row r="19" spans="1:23" x14ac:dyDescent="0.3">
      <c r="A19" s="16">
        <v>3</v>
      </c>
      <c r="B19" s="20">
        <v>8600048367</v>
      </c>
      <c r="C19" s="16" t="s">
        <v>46</v>
      </c>
      <c r="D19" s="20" t="s">
        <v>43</v>
      </c>
      <c r="E19" s="20"/>
      <c r="F19" s="20" t="s">
        <v>47</v>
      </c>
      <c r="G19" s="16">
        <v>300</v>
      </c>
      <c r="H19" s="16" t="s">
        <v>28</v>
      </c>
      <c r="I19" s="16">
        <v>940</v>
      </c>
      <c r="J19" s="16">
        <f t="shared" si="0"/>
        <v>282000</v>
      </c>
      <c r="K19" s="16"/>
      <c r="L19" s="16"/>
      <c r="M19" s="16"/>
      <c r="N19" s="16"/>
      <c r="O19" s="16">
        <v>300</v>
      </c>
      <c r="P19" s="16">
        <v>940</v>
      </c>
      <c r="Q19" s="16">
        <f>O19*P19</f>
        <v>282000</v>
      </c>
      <c r="R19" s="18">
        <f>Q19*0%</f>
        <v>0</v>
      </c>
      <c r="S19" s="16">
        <v>0</v>
      </c>
      <c r="T19" s="16">
        <f>SUM(Q19:S19)</f>
        <v>282000</v>
      </c>
      <c r="U19" s="16" t="s">
        <v>48</v>
      </c>
      <c r="V19" s="16" t="s">
        <v>49</v>
      </c>
      <c r="W19" s="142"/>
    </row>
    <row r="20" spans="1:23" x14ac:dyDescent="0.3">
      <c r="A20" s="16"/>
      <c r="B20" s="16"/>
      <c r="C20" s="16"/>
      <c r="D20" s="16"/>
      <c r="E20" s="16"/>
      <c r="F20" s="17" t="s">
        <v>50</v>
      </c>
      <c r="G20" s="16">
        <v>50</v>
      </c>
      <c r="H20" s="16" t="s">
        <v>28</v>
      </c>
      <c r="I20" s="16">
        <v>30</v>
      </c>
      <c r="J20" s="16">
        <f t="shared" si="0"/>
        <v>1500</v>
      </c>
      <c r="K20" s="16"/>
      <c r="L20" s="16"/>
      <c r="M20" s="16"/>
      <c r="N20" s="16"/>
      <c r="O20" s="16">
        <v>50</v>
      </c>
      <c r="P20" s="16">
        <v>30</v>
      </c>
      <c r="Q20" s="16">
        <f>O20*P20</f>
        <v>1500</v>
      </c>
      <c r="R20" s="18">
        <f>Q20*0%</f>
        <v>0</v>
      </c>
      <c r="S20" s="16">
        <f>Q20*R20</f>
        <v>0</v>
      </c>
      <c r="T20" s="16">
        <f>Q20+S20</f>
        <v>1500</v>
      </c>
      <c r="U20" s="16" t="s">
        <v>51</v>
      </c>
      <c r="V20" s="19">
        <v>45497</v>
      </c>
      <c r="W20" s="142"/>
    </row>
    <row r="21" spans="1:23" x14ac:dyDescent="0.3">
      <c r="A21" s="16"/>
      <c r="B21" s="16"/>
      <c r="C21" s="16"/>
      <c r="D21" s="16"/>
      <c r="E21" s="16"/>
      <c r="F21" s="20" t="s">
        <v>52</v>
      </c>
      <c r="G21" s="16">
        <v>100</v>
      </c>
      <c r="H21" s="16" t="s">
        <v>53</v>
      </c>
      <c r="I21" s="16">
        <v>13</v>
      </c>
      <c r="J21" s="16">
        <f t="shared" si="0"/>
        <v>1300</v>
      </c>
      <c r="K21" s="16"/>
      <c r="L21" s="16"/>
      <c r="M21" s="16"/>
      <c r="N21" s="16"/>
      <c r="O21" s="16">
        <v>100</v>
      </c>
      <c r="P21" s="16">
        <v>13</v>
      </c>
      <c r="Q21" s="16">
        <f t="shared" ref="Q21:Q35" si="8">O21*P21</f>
        <v>1300</v>
      </c>
      <c r="R21" s="18">
        <f t="shared" ref="R21:R35" si="9">Q21*0%</f>
        <v>0</v>
      </c>
      <c r="S21" s="16">
        <f t="shared" ref="S21:S35" si="10">Q21*R21</f>
        <v>0</v>
      </c>
      <c r="T21" s="16">
        <f t="shared" ref="T21:T35" si="11">Q21+S21</f>
        <v>1300</v>
      </c>
      <c r="U21" s="16" t="s">
        <v>54</v>
      </c>
      <c r="V21" s="19">
        <v>45497</v>
      </c>
      <c r="W21" s="142"/>
    </row>
    <row r="22" spans="1:23" x14ac:dyDescent="0.3">
      <c r="A22" s="16"/>
      <c r="B22" s="16"/>
      <c r="C22" s="16"/>
      <c r="D22" s="16"/>
      <c r="E22" s="16"/>
      <c r="F22" s="17" t="s">
        <v>55</v>
      </c>
      <c r="G22" s="16">
        <v>500</v>
      </c>
      <c r="H22" s="16" t="s">
        <v>28</v>
      </c>
      <c r="I22" s="16">
        <v>26</v>
      </c>
      <c r="J22" s="16">
        <f t="shared" si="0"/>
        <v>13000</v>
      </c>
      <c r="K22" s="16"/>
      <c r="L22" s="16"/>
      <c r="M22" s="16"/>
      <c r="N22" s="16"/>
      <c r="O22" s="16">
        <v>500</v>
      </c>
      <c r="P22" s="16">
        <v>26</v>
      </c>
      <c r="Q22" s="16">
        <f t="shared" si="8"/>
        <v>13000</v>
      </c>
      <c r="R22" s="18">
        <f t="shared" si="9"/>
        <v>0</v>
      </c>
      <c r="S22" s="16">
        <f t="shared" si="10"/>
        <v>0</v>
      </c>
      <c r="T22" s="16">
        <f t="shared" si="11"/>
        <v>13000</v>
      </c>
      <c r="U22" s="16" t="s">
        <v>48</v>
      </c>
      <c r="V22" s="16" t="s">
        <v>49</v>
      </c>
      <c r="W22" s="142"/>
    </row>
    <row r="23" spans="1:23" x14ac:dyDescent="0.3">
      <c r="A23" s="16"/>
      <c r="B23" s="16"/>
      <c r="C23" s="16"/>
      <c r="D23" s="16"/>
      <c r="E23" s="16"/>
      <c r="F23" s="17" t="s">
        <v>56</v>
      </c>
      <c r="G23" s="16">
        <v>100</v>
      </c>
      <c r="H23" s="16" t="s">
        <v>57</v>
      </c>
      <c r="I23" s="16">
        <v>135</v>
      </c>
      <c r="J23" s="16">
        <f t="shared" si="0"/>
        <v>13500</v>
      </c>
      <c r="K23" s="16"/>
      <c r="L23" s="16"/>
      <c r="M23" s="16"/>
      <c r="N23" s="16"/>
      <c r="O23" s="16">
        <v>100</v>
      </c>
      <c r="P23" s="16">
        <v>135</v>
      </c>
      <c r="Q23" s="16">
        <f t="shared" si="8"/>
        <v>13500</v>
      </c>
      <c r="R23" s="18">
        <f t="shared" si="9"/>
        <v>0</v>
      </c>
      <c r="S23" s="16">
        <f t="shared" si="10"/>
        <v>0</v>
      </c>
      <c r="T23" s="16">
        <f t="shared" si="11"/>
        <v>13500</v>
      </c>
      <c r="U23" s="16" t="s">
        <v>58</v>
      </c>
      <c r="V23" s="19">
        <v>45497</v>
      </c>
      <c r="W23" s="142"/>
    </row>
    <row r="24" spans="1:23" x14ac:dyDescent="0.3">
      <c r="A24" s="16"/>
      <c r="B24" s="16"/>
      <c r="C24" s="16"/>
      <c r="D24" s="16"/>
      <c r="E24" s="16"/>
      <c r="F24" s="16" t="s">
        <v>59</v>
      </c>
      <c r="G24" s="16">
        <v>200</v>
      </c>
      <c r="H24" s="16" t="s">
        <v>60</v>
      </c>
      <c r="I24" s="16">
        <v>72</v>
      </c>
      <c r="J24" s="16">
        <f t="shared" si="0"/>
        <v>14400</v>
      </c>
      <c r="K24" s="16"/>
      <c r="L24" s="16"/>
      <c r="M24" s="16"/>
      <c r="N24" s="16"/>
      <c r="O24" s="16">
        <v>200</v>
      </c>
      <c r="P24" s="16">
        <v>72</v>
      </c>
      <c r="Q24" s="16">
        <f t="shared" si="8"/>
        <v>14400</v>
      </c>
      <c r="R24" s="18">
        <f t="shared" si="9"/>
        <v>0</v>
      </c>
      <c r="S24" s="16">
        <f t="shared" si="10"/>
        <v>0</v>
      </c>
      <c r="T24" s="16">
        <f t="shared" si="11"/>
        <v>14400</v>
      </c>
      <c r="U24" s="16" t="s">
        <v>61</v>
      </c>
      <c r="V24" s="19">
        <v>45497</v>
      </c>
      <c r="W24" s="142"/>
    </row>
    <row r="25" spans="1:23" x14ac:dyDescent="0.3">
      <c r="A25" s="16"/>
      <c r="B25" s="16"/>
      <c r="C25" s="16"/>
      <c r="D25" s="16"/>
      <c r="E25" s="16"/>
      <c r="F25" s="16" t="s">
        <v>62</v>
      </c>
      <c r="G25" s="16">
        <v>50</v>
      </c>
      <c r="H25" s="16" t="s">
        <v>28</v>
      </c>
      <c r="I25" s="16">
        <v>98</v>
      </c>
      <c r="J25" s="16">
        <f t="shared" si="0"/>
        <v>4900</v>
      </c>
      <c r="K25" s="16"/>
      <c r="L25" s="16"/>
      <c r="M25" s="16"/>
      <c r="N25" s="16"/>
      <c r="O25" s="16">
        <v>50</v>
      </c>
      <c r="P25" s="16">
        <v>98</v>
      </c>
      <c r="Q25" s="16">
        <f t="shared" si="8"/>
        <v>4900</v>
      </c>
      <c r="R25" s="18">
        <f t="shared" si="9"/>
        <v>0</v>
      </c>
      <c r="S25" s="16">
        <f t="shared" si="10"/>
        <v>0</v>
      </c>
      <c r="T25" s="16">
        <f t="shared" si="11"/>
        <v>4900</v>
      </c>
      <c r="U25" s="16" t="s">
        <v>63</v>
      </c>
      <c r="V25" s="19">
        <v>45497</v>
      </c>
      <c r="W25" s="142"/>
    </row>
    <row r="26" spans="1:23" x14ac:dyDescent="0.3">
      <c r="A26" s="16"/>
      <c r="B26" s="16"/>
      <c r="C26" s="16"/>
      <c r="D26" s="16"/>
      <c r="E26" s="16"/>
      <c r="F26" s="16" t="s">
        <v>64</v>
      </c>
      <c r="G26" s="16">
        <v>50</v>
      </c>
      <c r="H26" s="16" t="s">
        <v>28</v>
      </c>
      <c r="I26" s="16">
        <v>145</v>
      </c>
      <c r="J26" s="16">
        <f t="shared" si="0"/>
        <v>7250</v>
      </c>
      <c r="K26" s="16"/>
      <c r="L26" s="16"/>
      <c r="M26" s="16"/>
      <c r="N26" s="16"/>
      <c r="O26" s="16">
        <v>50</v>
      </c>
      <c r="P26" s="16">
        <v>145</v>
      </c>
      <c r="Q26" s="16">
        <f t="shared" si="8"/>
        <v>7250</v>
      </c>
      <c r="R26" s="18">
        <f t="shared" si="9"/>
        <v>0</v>
      </c>
      <c r="S26" s="16">
        <f t="shared" si="10"/>
        <v>0</v>
      </c>
      <c r="T26" s="16">
        <f t="shared" si="11"/>
        <v>7250</v>
      </c>
      <c r="U26" s="16" t="s">
        <v>65</v>
      </c>
      <c r="V26" s="19">
        <v>45497</v>
      </c>
      <c r="W26" s="142"/>
    </row>
    <row r="27" spans="1:23" x14ac:dyDescent="0.3">
      <c r="A27" s="16"/>
      <c r="B27" s="16"/>
      <c r="C27" s="16"/>
      <c r="D27" s="16"/>
      <c r="E27" s="16"/>
      <c r="F27" s="16" t="s">
        <v>66</v>
      </c>
      <c r="G27" s="16">
        <v>360</v>
      </c>
      <c r="H27" s="16" t="s">
        <v>28</v>
      </c>
      <c r="I27" s="16">
        <v>24</v>
      </c>
      <c r="J27" s="16">
        <f t="shared" si="0"/>
        <v>8640</v>
      </c>
      <c r="K27" s="16"/>
      <c r="L27" s="16"/>
      <c r="M27" s="16"/>
      <c r="N27" s="16"/>
      <c r="O27" s="16">
        <v>360</v>
      </c>
      <c r="P27" s="16">
        <v>24</v>
      </c>
      <c r="Q27" s="16">
        <f t="shared" si="8"/>
        <v>8640</v>
      </c>
      <c r="R27" s="18">
        <f t="shared" si="9"/>
        <v>0</v>
      </c>
      <c r="S27" s="16">
        <f t="shared" si="10"/>
        <v>0</v>
      </c>
      <c r="T27" s="16">
        <f t="shared" si="11"/>
        <v>8640</v>
      </c>
      <c r="U27" s="16" t="s">
        <v>67</v>
      </c>
      <c r="V27" s="19">
        <v>45497</v>
      </c>
      <c r="W27" s="142"/>
    </row>
    <row r="28" spans="1:23" x14ac:dyDescent="0.3">
      <c r="A28" s="16"/>
      <c r="B28" s="16"/>
      <c r="C28" s="16"/>
      <c r="D28" s="16"/>
      <c r="E28" s="16"/>
      <c r="F28" s="16" t="s">
        <v>68</v>
      </c>
      <c r="G28" s="16">
        <v>180</v>
      </c>
      <c r="H28" s="16" t="s">
        <v>60</v>
      </c>
      <c r="I28" s="16">
        <v>36</v>
      </c>
      <c r="J28" s="16">
        <f t="shared" si="0"/>
        <v>6480</v>
      </c>
      <c r="K28" s="16"/>
      <c r="L28" s="16"/>
      <c r="M28" s="16"/>
      <c r="N28" s="16"/>
      <c r="O28" s="16">
        <v>180</v>
      </c>
      <c r="P28" s="16">
        <v>36</v>
      </c>
      <c r="Q28" s="16">
        <f t="shared" si="8"/>
        <v>6480</v>
      </c>
      <c r="R28" s="18">
        <f t="shared" si="9"/>
        <v>0</v>
      </c>
      <c r="S28" s="16">
        <f t="shared" si="10"/>
        <v>0</v>
      </c>
      <c r="T28" s="16">
        <f t="shared" si="11"/>
        <v>6480</v>
      </c>
      <c r="U28" s="16" t="s">
        <v>69</v>
      </c>
      <c r="V28" s="19">
        <v>45497</v>
      </c>
      <c r="W28" s="142"/>
    </row>
    <row r="29" spans="1:23" x14ac:dyDescent="0.3">
      <c r="A29" s="16"/>
      <c r="B29" s="16"/>
      <c r="C29" s="16"/>
      <c r="D29" s="16"/>
      <c r="E29" s="16"/>
      <c r="F29" s="16" t="s">
        <v>70</v>
      </c>
      <c r="G29" s="16">
        <v>20</v>
      </c>
      <c r="H29" s="16" t="s">
        <v>28</v>
      </c>
      <c r="I29" s="16">
        <v>450</v>
      </c>
      <c r="J29" s="16">
        <f t="shared" si="0"/>
        <v>9000</v>
      </c>
      <c r="K29" s="16"/>
      <c r="L29" s="16"/>
      <c r="M29" s="16"/>
      <c r="N29" s="16"/>
      <c r="O29" s="16">
        <v>20</v>
      </c>
      <c r="P29" s="16">
        <v>450</v>
      </c>
      <c r="Q29" s="16">
        <f t="shared" si="8"/>
        <v>9000</v>
      </c>
      <c r="R29" s="18">
        <f t="shared" si="9"/>
        <v>0</v>
      </c>
      <c r="S29" s="16">
        <f t="shared" si="10"/>
        <v>0</v>
      </c>
      <c r="T29" s="16">
        <f t="shared" si="11"/>
        <v>9000</v>
      </c>
      <c r="U29" s="16" t="s">
        <v>71</v>
      </c>
      <c r="V29" s="19">
        <v>45497</v>
      </c>
      <c r="W29" s="142"/>
    </row>
    <row r="30" spans="1:23" x14ac:dyDescent="0.3">
      <c r="A30" s="16"/>
      <c r="B30" s="16"/>
      <c r="C30" s="16"/>
      <c r="D30" s="16"/>
      <c r="E30" s="16"/>
      <c r="F30" s="16" t="s">
        <v>72</v>
      </c>
      <c r="G30" s="16">
        <v>50</v>
      </c>
      <c r="H30" s="16" t="s">
        <v>28</v>
      </c>
      <c r="I30" s="16">
        <v>52</v>
      </c>
      <c r="J30" s="16">
        <f t="shared" si="0"/>
        <v>2600</v>
      </c>
      <c r="K30" s="16"/>
      <c r="L30" s="16"/>
      <c r="M30" s="16"/>
      <c r="N30" s="16"/>
      <c r="O30" s="16">
        <v>50</v>
      </c>
      <c r="P30" s="16">
        <v>52</v>
      </c>
      <c r="Q30" s="16">
        <f t="shared" si="8"/>
        <v>2600</v>
      </c>
      <c r="R30" s="18">
        <f t="shared" si="9"/>
        <v>0</v>
      </c>
      <c r="S30" s="16">
        <f t="shared" si="10"/>
        <v>0</v>
      </c>
      <c r="T30" s="16">
        <f t="shared" si="11"/>
        <v>2600</v>
      </c>
      <c r="U30" s="16" t="s">
        <v>73</v>
      </c>
      <c r="V30" s="19">
        <v>45497</v>
      </c>
      <c r="W30" s="142"/>
    </row>
    <row r="31" spans="1:23" x14ac:dyDescent="0.3">
      <c r="A31" s="16"/>
      <c r="B31" s="16"/>
      <c r="C31" s="16"/>
      <c r="D31" s="16"/>
      <c r="E31" s="16"/>
      <c r="F31" s="16" t="s">
        <v>74</v>
      </c>
      <c r="G31" s="16">
        <v>50</v>
      </c>
      <c r="H31" s="16" t="s">
        <v>28</v>
      </c>
      <c r="I31" s="16">
        <v>62</v>
      </c>
      <c r="J31" s="16">
        <f t="shared" si="0"/>
        <v>3100</v>
      </c>
      <c r="K31" s="16"/>
      <c r="L31" s="16"/>
      <c r="M31" s="16"/>
      <c r="N31" s="16"/>
      <c r="O31" s="16">
        <v>50</v>
      </c>
      <c r="P31" s="16">
        <v>62</v>
      </c>
      <c r="Q31" s="16">
        <f t="shared" si="8"/>
        <v>3100</v>
      </c>
      <c r="R31" s="18">
        <f t="shared" si="9"/>
        <v>0</v>
      </c>
      <c r="S31" s="16">
        <f t="shared" si="10"/>
        <v>0</v>
      </c>
      <c r="T31" s="16">
        <f t="shared" si="11"/>
        <v>3100</v>
      </c>
      <c r="U31" s="16" t="s">
        <v>75</v>
      </c>
      <c r="V31" s="19">
        <v>45497</v>
      </c>
      <c r="W31" s="142"/>
    </row>
    <row r="32" spans="1:23" x14ac:dyDescent="0.3">
      <c r="A32" s="16"/>
      <c r="B32" s="16"/>
      <c r="C32" s="16"/>
      <c r="D32" s="16"/>
      <c r="E32" s="16"/>
      <c r="F32" s="16" t="s">
        <v>76</v>
      </c>
      <c r="G32" s="16">
        <v>200</v>
      </c>
      <c r="H32" s="16" t="s">
        <v>28</v>
      </c>
      <c r="I32" s="16">
        <v>10</v>
      </c>
      <c r="J32" s="16">
        <f t="shared" si="0"/>
        <v>2000</v>
      </c>
      <c r="K32" s="16"/>
      <c r="L32" s="16"/>
      <c r="M32" s="16"/>
      <c r="N32" s="16"/>
      <c r="O32" s="16">
        <v>200</v>
      </c>
      <c r="P32" s="16">
        <v>10</v>
      </c>
      <c r="Q32" s="16">
        <f t="shared" si="8"/>
        <v>2000</v>
      </c>
      <c r="R32" s="18">
        <f t="shared" si="9"/>
        <v>0</v>
      </c>
      <c r="S32" s="16">
        <f t="shared" si="10"/>
        <v>0</v>
      </c>
      <c r="T32" s="16">
        <f t="shared" si="11"/>
        <v>2000</v>
      </c>
      <c r="U32" s="16" t="s">
        <v>77</v>
      </c>
      <c r="V32" s="19">
        <v>45497</v>
      </c>
      <c r="W32" s="142"/>
    </row>
    <row r="33" spans="1:23" x14ac:dyDescent="0.3">
      <c r="A33" s="16"/>
      <c r="B33" s="16"/>
      <c r="C33" s="16"/>
      <c r="D33" s="16"/>
      <c r="E33" s="16"/>
      <c r="F33" s="16" t="s">
        <v>78</v>
      </c>
      <c r="G33" s="16">
        <v>50</v>
      </c>
      <c r="H33" s="16" t="s">
        <v>28</v>
      </c>
      <c r="I33" s="16">
        <v>152</v>
      </c>
      <c r="J33" s="16">
        <f t="shared" si="0"/>
        <v>7600</v>
      </c>
      <c r="K33" s="16"/>
      <c r="L33" s="16"/>
      <c r="M33" s="16"/>
      <c r="N33" s="16"/>
      <c r="O33" s="16">
        <v>50</v>
      </c>
      <c r="P33" s="16">
        <v>152</v>
      </c>
      <c r="Q33" s="16">
        <f t="shared" si="8"/>
        <v>7600</v>
      </c>
      <c r="R33" s="16">
        <f t="shared" si="9"/>
        <v>0</v>
      </c>
      <c r="S33" s="16">
        <f t="shared" si="10"/>
        <v>0</v>
      </c>
      <c r="T33" s="16">
        <f t="shared" si="11"/>
        <v>7600</v>
      </c>
      <c r="U33" s="16" t="s">
        <v>48</v>
      </c>
      <c r="V33" s="16" t="s">
        <v>49</v>
      </c>
      <c r="W33" s="142"/>
    </row>
    <row r="34" spans="1:23" x14ac:dyDescent="0.3">
      <c r="A34" s="16"/>
      <c r="B34" s="16"/>
      <c r="C34" s="16"/>
      <c r="D34" s="16"/>
      <c r="E34" s="16"/>
      <c r="F34" s="16" t="s">
        <v>79</v>
      </c>
      <c r="G34" s="16">
        <v>50</v>
      </c>
      <c r="H34" s="16" t="s">
        <v>28</v>
      </c>
      <c r="I34" s="16">
        <v>88</v>
      </c>
      <c r="J34" s="16">
        <f t="shared" si="0"/>
        <v>4400</v>
      </c>
      <c r="K34" s="16"/>
      <c r="L34" s="16"/>
      <c r="M34" s="16"/>
      <c r="N34" s="16"/>
      <c r="O34" s="16">
        <v>50</v>
      </c>
      <c r="P34" s="16">
        <v>88</v>
      </c>
      <c r="Q34" s="16">
        <f t="shared" si="8"/>
        <v>4400</v>
      </c>
      <c r="R34" s="16">
        <f t="shared" si="9"/>
        <v>0</v>
      </c>
      <c r="S34" s="16">
        <f t="shared" si="10"/>
        <v>0</v>
      </c>
      <c r="T34" s="16">
        <f t="shared" si="11"/>
        <v>4400</v>
      </c>
      <c r="U34" s="16" t="s">
        <v>48</v>
      </c>
      <c r="V34" s="16" t="s">
        <v>49</v>
      </c>
      <c r="W34" s="142"/>
    </row>
    <row r="35" spans="1:23" x14ac:dyDescent="0.3">
      <c r="A35" s="16"/>
      <c r="B35" s="16"/>
      <c r="C35" s="16"/>
      <c r="D35" s="16"/>
      <c r="E35" s="16"/>
      <c r="F35" s="16" t="s">
        <v>80</v>
      </c>
      <c r="G35" s="16">
        <v>50</v>
      </c>
      <c r="H35" s="16" t="s">
        <v>28</v>
      </c>
      <c r="I35" s="16">
        <v>232</v>
      </c>
      <c r="J35" s="16">
        <f t="shared" si="0"/>
        <v>11600</v>
      </c>
      <c r="K35" s="16"/>
      <c r="L35" s="16"/>
      <c r="M35" s="16"/>
      <c r="N35" s="16"/>
      <c r="O35" s="16">
        <v>50</v>
      </c>
      <c r="P35" s="16">
        <v>232</v>
      </c>
      <c r="Q35" s="16">
        <f t="shared" si="8"/>
        <v>11600</v>
      </c>
      <c r="R35" s="16">
        <f t="shared" si="9"/>
        <v>0</v>
      </c>
      <c r="S35" s="16">
        <f t="shared" si="10"/>
        <v>0</v>
      </c>
      <c r="T35" s="16">
        <f t="shared" si="11"/>
        <v>11600</v>
      </c>
      <c r="U35" s="16" t="s">
        <v>48</v>
      </c>
      <c r="V35" s="16" t="s">
        <v>49</v>
      </c>
      <c r="W35" s="142" t="s">
        <v>81</v>
      </c>
    </row>
    <row r="36" spans="1:23" x14ac:dyDescent="0.3">
      <c r="A36" s="207" t="s">
        <v>39</v>
      </c>
      <c r="B36" s="208"/>
      <c r="C36" s="208"/>
      <c r="D36" s="208"/>
      <c r="E36" s="208"/>
      <c r="F36" s="208"/>
      <c r="G36" s="208"/>
      <c r="H36" s="208"/>
      <c r="I36" s="209"/>
      <c r="J36" s="133">
        <f>SUM(J19:J35)</f>
        <v>393270</v>
      </c>
      <c r="K36" s="133"/>
      <c r="L36" s="133"/>
      <c r="M36" s="133"/>
      <c r="N36" s="124"/>
      <c r="O36" s="124"/>
      <c r="P36" s="124"/>
      <c r="Q36" s="124"/>
      <c r="R36" s="124"/>
      <c r="S36" s="124"/>
      <c r="T36" s="124"/>
      <c r="U36" s="124"/>
      <c r="V36" s="124"/>
      <c r="W36" s="142"/>
    </row>
    <row r="37" spans="1:23" x14ac:dyDescent="0.3">
      <c r="A37" s="207" t="s">
        <v>82</v>
      </c>
      <c r="B37" s="208"/>
      <c r="C37" s="208"/>
      <c r="D37" s="208"/>
      <c r="E37" s="208"/>
      <c r="F37" s="208"/>
      <c r="G37" s="208"/>
      <c r="H37" s="208"/>
      <c r="I37" s="209"/>
      <c r="J37" s="133">
        <v>0</v>
      </c>
      <c r="K37" s="133"/>
      <c r="L37" s="133"/>
      <c r="M37" s="133"/>
      <c r="N37" s="124"/>
      <c r="O37" s="124"/>
      <c r="P37" s="124"/>
      <c r="Q37" s="124"/>
      <c r="R37" s="124"/>
      <c r="S37" s="124"/>
      <c r="T37" s="124">
        <f>SUM(T19:T36)</f>
        <v>393270</v>
      </c>
      <c r="U37" s="124"/>
      <c r="V37" s="124"/>
      <c r="W37" s="142"/>
    </row>
    <row r="38" spans="1:23" x14ac:dyDescent="0.3">
      <c r="A38" s="207" t="s">
        <v>41</v>
      </c>
      <c r="B38" s="208"/>
      <c r="C38" s="208"/>
      <c r="D38" s="208"/>
      <c r="E38" s="208"/>
      <c r="F38" s="208"/>
      <c r="G38" s="208"/>
      <c r="H38" s="208"/>
      <c r="I38" s="209"/>
      <c r="J38" s="133">
        <f>SUM(J36:J37)</f>
        <v>393270</v>
      </c>
      <c r="K38" s="133"/>
      <c r="L38" s="133"/>
      <c r="M38" s="133"/>
      <c r="N38" s="124"/>
      <c r="O38" s="124"/>
      <c r="P38" s="124"/>
      <c r="Q38" s="124"/>
      <c r="R38" s="124"/>
      <c r="S38" s="124"/>
      <c r="T38" s="124"/>
      <c r="U38" s="124"/>
      <c r="V38" s="124"/>
      <c r="W38" s="142"/>
    </row>
    <row r="39" spans="1:23" x14ac:dyDescent="0.3">
      <c r="A39" s="127"/>
      <c r="B39" s="128"/>
      <c r="C39" s="128"/>
      <c r="D39" s="128"/>
      <c r="E39" s="128"/>
      <c r="F39" s="128"/>
      <c r="G39" s="128"/>
      <c r="H39" s="128"/>
      <c r="I39" s="129"/>
      <c r="J39" s="133"/>
      <c r="K39" s="133"/>
      <c r="L39" s="133"/>
      <c r="M39" s="133"/>
      <c r="N39" s="124"/>
      <c r="O39" s="124"/>
      <c r="P39" s="124"/>
      <c r="Q39" s="124"/>
      <c r="R39" s="124"/>
      <c r="S39" s="124"/>
      <c r="T39" s="124"/>
      <c r="U39" s="124"/>
      <c r="V39" s="124"/>
      <c r="W39" s="142"/>
    </row>
    <row r="40" spans="1:23" x14ac:dyDescent="0.3">
      <c r="A40" s="16">
        <v>4</v>
      </c>
      <c r="B40" s="16">
        <v>8600048368</v>
      </c>
      <c r="C40" s="16" t="s">
        <v>46</v>
      </c>
      <c r="D40" s="20" t="s">
        <v>43</v>
      </c>
      <c r="E40" s="20"/>
      <c r="F40" s="16" t="s">
        <v>83</v>
      </c>
      <c r="G40" s="16">
        <v>200</v>
      </c>
      <c r="H40" s="16" t="s">
        <v>28</v>
      </c>
      <c r="I40" s="16">
        <v>940</v>
      </c>
      <c r="J40" s="16">
        <f t="shared" si="0"/>
        <v>188000</v>
      </c>
      <c r="K40" s="16"/>
      <c r="L40" s="16"/>
      <c r="M40" s="16"/>
      <c r="N40" s="16"/>
      <c r="O40" s="16">
        <v>200</v>
      </c>
      <c r="P40" s="16">
        <v>940</v>
      </c>
      <c r="Q40" s="16">
        <f>O40*P40</f>
        <v>188000</v>
      </c>
      <c r="R40" s="16">
        <v>0</v>
      </c>
      <c r="S40" s="16">
        <v>0</v>
      </c>
      <c r="T40" s="16">
        <f>SUM(Q40:S40)</f>
        <v>188000</v>
      </c>
      <c r="U40" s="16" t="s">
        <v>1617</v>
      </c>
      <c r="V40" s="16" t="s">
        <v>49</v>
      </c>
      <c r="W40" s="142" t="s">
        <v>81</v>
      </c>
    </row>
    <row r="41" spans="1:23" x14ac:dyDescent="0.3">
      <c r="A41" s="207" t="s">
        <v>39</v>
      </c>
      <c r="B41" s="208"/>
      <c r="C41" s="208"/>
      <c r="D41" s="208"/>
      <c r="E41" s="208"/>
      <c r="F41" s="208"/>
      <c r="G41" s="208"/>
      <c r="H41" s="208"/>
      <c r="I41" s="209"/>
      <c r="J41" s="124">
        <f>SUM(J40)</f>
        <v>188000</v>
      </c>
      <c r="K41" s="124"/>
      <c r="L41" s="124"/>
      <c r="M41" s="124"/>
      <c r="N41" s="1"/>
      <c r="O41" s="1"/>
      <c r="P41" s="1"/>
      <c r="Q41" s="1"/>
      <c r="R41" s="1"/>
      <c r="S41" s="1"/>
      <c r="T41" s="1"/>
      <c r="U41" s="1"/>
      <c r="V41" s="1"/>
      <c r="W41" s="142"/>
    </row>
    <row r="42" spans="1:23" x14ac:dyDescent="0.3">
      <c r="A42" s="207" t="s">
        <v>82</v>
      </c>
      <c r="B42" s="208"/>
      <c r="C42" s="208"/>
      <c r="D42" s="208"/>
      <c r="E42" s="208"/>
      <c r="F42" s="208"/>
      <c r="G42" s="208"/>
      <c r="H42" s="208"/>
      <c r="I42" s="209"/>
      <c r="J42" s="124">
        <v>0</v>
      </c>
      <c r="K42" s="124"/>
      <c r="L42" s="124"/>
      <c r="M42" s="124"/>
      <c r="N42" s="1"/>
      <c r="O42" s="1"/>
      <c r="P42" s="1"/>
      <c r="Q42" s="1"/>
      <c r="R42" s="1"/>
      <c r="S42" s="1"/>
      <c r="T42" s="1"/>
      <c r="U42" s="1"/>
      <c r="V42" s="1"/>
      <c r="W42" s="142"/>
    </row>
    <row r="43" spans="1:23" x14ac:dyDescent="0.3">
      <c r="A43" s="207" t="s">
        <v>41</v>
      </c>
      <c r="B43" s="208"/>
      <c r="C43" s="208"/>
      <c r="D43" s="208"/>
      <c r="E43" s="208"/>
      <c r="F43" s="208"/>
      <c r="G43" s="208"/>
      <c r="H43" s="208"/>
      <c r="I43" s="209"/>
      <c r="J43" s="124">
        <f>SUM(J41:J42)</f>
        <v>188000</v>
      </c>
      <c r="K43" s="1"/>
      <c r="L43" s="1"/>
      <c r="M43" s="1"/>
      <c r="N43" s="1"/>
      <c r="O43" s="1"/>
      <c r="P43" s="1"/>
      <c r="Q43" s="1"/>
      <c r="R43" s="1"/>
      <c r="S43" s="1"/>
      <c r="T43" s="1"/>
      <c r="U43" s="1"/>
      <c r="V43" s="1"/>
      <c r="W43" s="142"/>
    </row>
    <row r="44" spans="1:23" x14ac:dyDescent="0.3">
      <c r="A44" s="127"/>
      <c r="B44" s="128"/>
      <c r="C44" s="128"/>
      <c r="D44" s="128"/>
      <c r="E44" s="128"/>
      <c r="F44" s="128"/>
      <c r="G44" s="128"/>
      <c r="H44" s="128"/>
      <c r="I44" s="129"/>
      <c r="J44" s="124"/>
      <c r="K44" s="1"/>
      <c r="L44" s="1"/>
      <c r="M44" s="1"/>
      <c r="N44" s="1"/>
      <c r="O44" s="1"/>
      <c r="P44" s="1"/>
      <c r="Q44" s="1"/>
      <c r="R44" s="1"/>
      <c r="S44" s="1"/>
      <c r="T44" s="1"/>
      <c r="U44" s="1"/>
      <c r="V44" s="1"/>
      <c r="W44" s="142"/>
    </row>
    <row r="45" spans="1:23" x14ac:dyDescent="0.3">
      <c r="A45" s="16">
        <v>5</v>
      </c>
      <c r="B45" s="20">
        <v>8100013791</v>
      </c>
      <c r="C45" s="16" t="s">
        <v>84</v>
      </c>
      <c r="D45" s="20" t="s">
        <v>43</v>
      </c>
      <c r="E45" s="20"/>
      <c r="F45" s="17" t="s">
        <v>85</v>
      </c>
      <c r="G45" s="16">
        <v>1</v>
      </c>
      <c r="H45" s="16" t="s">
        <v>28</v>
      </c>
      <c r="I45" s="16">
        <v>160500</v>
      </c>
      <c r="J45" s="16">
        <f t="shared" si="0"/>
        <v>160500</v>
      </c>
      <c r="K45" s="16"/>
      <c r="L45" s="16"/>
      <c r="M45" s="16"/>
      <c r="N45" s="16"/>
      <c r="O45" s="16">
        <v>1</v>
      </c>
      <c r="P45" s="16">
        <v>160500</v>
      </c>
      <c r="Q45" s="16">
        <f>O45*P45</f>
        <v>160500</v>
      </c>
      <c r="R45" s="18">
        <v>0</v>
      </c>
      <c r="S45" s="16">
        <f>Q45*R45</f>
        <v>0</v>
      </c>
      <c r="T45" s="16">
        <f>Q45+S45</f>
        <v>160500</v>
      </c>
      <c r="U45" s="16" t="s">
        <v>1616</v>
      </c>
      <c r="V45" s="19">
        <v>45543</v>
      </c>
      <c r="W45" s="142"/>
    </row>
    <row r="46" spans="1:23" ht="25.2" x14ac:dyDescent="0.3">
      <c r="A46" s="1"/>
      <c r="B46" s="1"/>
      <c r="C46" s="1"/>
      <c r="D46" s="1"/>
      <c r="E46" s="1"/>
      <c r="F46" s="17" t="s">
        <v>86</v>
      </c>
      <c r="G46" s="16">
        <v>1</v>
      </c>
      <c r="H46" s="16" t="s">
        <v>87</v>
      </c>
      <c r="I46" s="16">
        <v>11000</v>
      </c>
      <c r="J46" s="16">
        <f t="shared" si="0"/>
        <v>11000</v>
      </c>
      <c r="K46" s="16"/>
      <c r="L46" s="16"/>
      <c r="M46" s="16"/>
      <c r="N46" s="16"/>
      <c r="O46" s="16">
        <v>1</v>
      </c>
      <c r="P46" s="16">
        <v>11000</v>
      </c>
      <c r="Q46" s="16">
        <f>O46*P46</f>
        <v>11000</v>
      </c>
      <c r="R46" s="18">
        <v>0</v>
      </c>
      <c r="S46" s="16">
        <v>0</v>
      </c>
      <c r="T46" s="16">
        <f>Q46+S46</f>
        <v>11000</v>
      </c>
      <c r="U46" s="16" t="s">
        <v>1616</v>
      </c>
      <c r="V46" s="19" t="s">
        <v>88</v>
      </c>
      <c r="W46" s="142"/>
    </row>
    <row r="47" spans="1:23" x14ac:dyDescent="0.3">
      <c r="A47" s="207" t="s">
        <v>39</v>
      </c>
      <c r="B47" s="208"/>
      <c r="C47" s="208"/>
      <c r="D47" s="208"/>
      <c r="E47" s="208"/>
      <c r="F47" s="208"/>
      <c r="G47" s="208"/>
      <c r="H47" s="208"/>
      <c r="I47" s="209"/>
      <c r="J47" s="124">
        <f>SUM(J45:J46)</f>
        <v>171500</v>
      </c>
      <c r="K47" s="124"/>
      <c r="L47" s="124"/>
      <c r="M47" s="124"/>
      <c r="N47" s="1"/>
      <c r="O47" s="1"/>
      <c r="P47" s="1"/>
      <c r="Q47" s="1"/>
      <c r="R47" s="1"/>
      <c r="S47" s="1"/>
      <c r="T47" s="1"/>
      <c r="U47" s="1"/>
      <c r="V47" s="1"/>
      <c r="W47" s="142"/>
    </row>
    <row r="48" spans="1:23" x14ac:dyDescent="0.3">
      <c r="A48" s="207" t="s">
        <v>82</v>
      </c>
      <c r="B48" s="208"/>
      <c r="C48" s="208"/>
      <c r="D48" s="208"/>
      <c r="E48" s="208"/>
      <c r="F48" s="208"/>
      <c r="G48" s="208"/>
      <c r="H48" s="208"/>
      <c r="I48" s="209"/>
      <c r="J48" s="124">
        <v>0</v>
      </c>
      <c r="K48" s="124"/>
      <c r="L48" s="124"/>
      <c r="M48" s="124"/>
      <c r="N48" s="1"/>
      <c r="O48" s="1"/>
      <c r="P48" s="1"/>
      <c r="Q48" s="1"/>
      <c r="R48" s="1"/>
      <c r="S48" s="1"/>
      <c r="T48" s="1"/>
      <c r="U48" s="1"/>
      <c r="V48" s="1"/>
      <c r="W48" s="142"/>
    </row>
    <row r="49" spans="1:23" x14ac:dyDescent="0.3">
      <c r="A49" s="207" t="s">
        <v>41</v>
      </c>
      <c r="B49" s="208"/>
      <c r="C49" s="208"/>
      <c r="D49" s="208"/>
      <c r="E49" s="208"/>
      <c r="F49" s="208"/>
      <c r="G49" s="208"/>
      <c r="H49" s="208"/>
      <c r="I49" s="209"/>
      <c r="J49" s="7">
        <f>SUM(J47:J48)</f>
        <v>171500</v>
      </c>
      <c r="K49" s="7"/>
      <c r="L49" s="7"/>
      <c r="M49" s="7"/>
      <c r="N49" s="4"/>
      <c r="O49" s="4"/>
      <c r="P49" s="4"/>
      <c r="Q49" s="4"/>
      <c r="R49" s="4"/>
      <c r="S49" s="4"/>
      <c r="T49" s="4"/>
      <c r="U49" s="4"/>
      <c r="V49" s="4"/>
      <c r="W49" s="142"/>
    </row>
    <row r="50" spans="1:23" x14ac:dyDescent="0.3">
      <c r="A50" s="127"/>
      <c r="B50" s="128"/>
      <c r="C50" s="128"/>
      <c r="D50" s="128"/>
      <c r="E50" s="128"/>
      <c r="F50" s="128"/>
      <c r="G50" s="128"/>
      <c r="H50" s="128"/>
      <c r="I50" s="129"/>
      <c r="J50" s="7"/>
      <c r="K50" s="7"/>
      <c r="L50" s="7"/>
      <c r="M50" s="7"/>
      <c r="N50" s="4"/>
      <c r="O50" s="4"/>
      <c r="P50" s="4"/>
      <c r="Q50" s="4"/>
      <c r="R50" s="4"/>
      <c r="S50" s="4"/>
      <c r="T50" s="4"/>
      <c r="U50" s="4"/>
      <c r="V50" s="4"/>
      <c r="W50" s="142"/>
    </row>
    <row r="51" spans="1:23" ht="57.6" customHeight="1" x14ac:dyDescent="0.3">
      <c r="A51" s="16">
        <v>6</v>
      </c>
      <c r="B51" s="20">
        <v>9200119081</v>
      </c>
      <c r="C51" s="16" t="s">
        <v>89</v>
      </c>
      <c r="D51" s="20" t="s">
        <v>43</v>
      </c>
      <c r="E51" s="20"/>
      <c r="F51" s="17" t="s">
        <v>90</v>
      </c>
      <c r="G51" s="16">
        <v>1</v>
      </c>
      <c r="H51" s="16" t="s">
        <v>87</v>
      </c>
      <c r="I51" s="16">
        <v>21240</v>
      </c>
      <c r="J51" s="16">
        <f t="shared" si="0"/>
        <v>21240</v>
      </c>
      <c r="K51" s="16">
        <v>90</v>
      </c>
      <c r="L51" s="16" t="s">
        <v>60</v>
      </c>
      <c r="M51" s="16" t="s">
        <v>91</v>
      </c>
      <c r="N51" s="30" t="s">
        <v>92</v>
      </c>
      <c r="O51" s="16">
        <v>90</v>
      </c>
      <c r="P51" s="16">
        <v>236</v>
      </c>
      <c r="Q51" s="16">
        <f>O51*P51</f>
        <v>21240</v>
      </c>
      <c r="R51" s="18">
        <v>0</v>
      </c>
      <c r="S51" s="16">
        <f>Q51*R51</f>
        <v>0</v>
      </c>
      <c r="T51" s="16">
        <f>Q51+S51</f>
        <v>21240</v>
      </c>
      <c r="U51" s="16" t="s">
        <v>1615</v>
      </c>
      <c r="V51" s="19" t="s">
        <v>88</v>
      </c>
      <c r="W51" s="142"/>
    </row>
    <row r="52" spans="1:23" ht="31.95" customHeight="1" x14ac:dyDescent="0.3">
      <c r="A52" s="1"/>
      <c r="B52" s="1"/>
      <c r="C52" s="1"/>
      <c r="D52" s="1"/>
      <c r="E52" s="1"/>
      <c r="F52" s="17" t="s">
        <v>93</v>
      </c>
      <c r="G52" s="16">
        <v>1</v>
      </c>
      <c r="H52" s="16" t="s">
        <v>28</v>
      </c>
      <c r="I52" s="16">
        <v>35400</v>
      </c>
      <c r="J52" s="16">
        <f t="shared" si="0"/>
        <v>35400</v>
      </c>
      <c r="K52" s="16">
        <v>100</v>
      </c>
      <c r="L52" s="16" t="s">
        <v>94</v>
      </c>
      <c r="M52" s="16" t="s">
        <v>91</v>
      </c>
      <c r="N52" s="30" t="s">
        <v>95</v>
      </c>
      <c r="O52" s="16">
        <v>100</v>
      </c>
      <c r="P52" s="16">
        <v>354</v>
      </c>
      <c r="Q52" s="16">
        <f t="shared" ref="Q52:Q72" si="12">O52*P52</f>
        <v>35400</v>
      </c>
      <c r="R52" s="18">
        <v>0</v>
      </c>
      <c r="S52" s="16">
        <f t="shared" ref="S52:S72" si="13">Q52*R52</f>
        <v>0</v>
      </c>
      <c r="T52" s="16">
        <f t="shared" ref="T52:T72" si="14">Q52+S52</f>
        <v>35400</v>
      </c>
      <c r="U52" s="16" t="s">
        <v>1615</v>
      </c>
      <c r="V52" s="19" t="s">
        <v>88</v>
      </c>
      <c r="W52" s="142"/>
    </row>
    <row r="53" spans="1:23" ht="22.2" customHeight="1" x14ac:dyDescent="0.3">
      <c r="A53" s="1"/>
      <c r="B53" s="1"/>
      <c r="C53" s="1"/>
      <c r="D53" s="1"/>
      <c r="E53" s="1"/>
      <c r="F53" s="20" t="s">
        <v>96</v>
      </c>
      <c r="G53" s="16">
        <v>1</v>
      </c>
      <c r="H53" s="16" t="s">
        <v>28</v>
      </c>
      <c r="I53" s="16">
        <v>1593</v>
      </c>
      <c r="J53" s="16">
        <f t="shared" si="0"/>
        <v>1593</v>
      </c>
      <c r="K53" s="16">
        <v>1</v>
      </c>
      <c r="L53" s="16" t="s">
        <v>28</v>
      </c>
      <c r="M53" s="16" t="s">
        <v>91</v>
      </c>
      <c r="N53" s="30" t="s">
        <v>95</v>
      </c>
      <c r="O53" s="16">
        <v>1</v>
      </c>
      <c r="P53" s="16">
        <v>1593</v>
      </c>
      <c r="Q53" s="16">
        <f t="shared" si="12"/>
        <v>1593</v>
      </c>
      <c r="R53" s="18">
        <v>0</v>
      </c>
      <c r="S53" s="16">
        <f t="shared" si="13"/>
        <v>0</v>
      </c>
      <c r="T53" s="16">
        <f t="shared" si="14"/>
        <v>1593</v>
      </c>
      <c r="U53" s="16" t="s">
        <v>1615</v>
      </c>
      <c r="V53" s="19" t="s">
        <v>88</v>
      </c>
      <c r="W53" s="142"/>
    </row>
    <row r="54" spans="1:23" ht="22.2" customHeight="1" x14ac:dyDescent="0.3">
      <c r="A54" s="1"/>
      <c r="B54" s="1"/>
      <c r="C54" s="1"/>
      <c r="D54" s="1"/>
      <c r="E54" s="1"/>
      <c r="F54" s="20" t="s">
        <v>97</v>
      </c>
      <c r="G54" s="16">
        <v>1</v>
      </c>
      <c r="H54" s="16" t="s">
        <v>28</v>
      </c>
      <c r="I54" s="16">
        <v>1950</v>
      </c>
      <c r="J54" s="16">
        <f t="shared" si="0"/>
        <v>1950</v>
      </c>
      <c r="K54" s="16">
        <v>3</v>
      </c>
      <c r="L54" s="16" t="s">
        <v>28</v>
      </c>
      <c r="M54" s="16" t="s">
        <v>91</v>
      </c>
      <c r="N54" s="30" t="s">
        <v>95</v>
      </c>
      <c r="O54" s="16">
        <v>3</v>
      </c>
      <c r="P54" s="16">
        <v>650</v>
      </c>
      <c r="Q54" s="16">
        <f t="shared" si="12"/>
        <v>1950</v>
      </c>
      <c r="R54" s="18">
        <v>0</v>
      </c>
      <c r="S54" s="16">
        <f t="shared" si="13"/>
        <v>0</v>
      </c>
      <c r="T54" s="16">
        <f t="shared" si="14"/>
        <v>1950</v>
      </c>
      <c r="U54" s="16" t="s">
        <v>1615</v>
      </c>
      <c r="V54" s="19" t="s">
        <v>88</v>
      </c>
      <c r="W54" s="142"/>
    </row>
    <row r="55" spans="1:23" ht="30" customHeight="1" x14ac:dyDescent="0.3">
      <c r="A55" s="1"/>
      <c r="B55" s="1"/>
      <c r="C55" s="1"/>
      <c r="D55" s="1"/>
      <c r="E55" s="1"/>
      <c r="F55" s="17" t="s">
        <v>98</v>
      </c>
      <c r="G55" s="16">
        <v>1</v>
      </c>
      <c r="H55" s="16" t="s">
        <v>87</v>
      </c>
      <c r="I55" s="16">
        <v>5310</v>
      </c>
      <c r="J55" s="16">
        <f t="shared" si="0"/>
        <v>5310</v>
      </c>
      <c r="K55" s="16"/>
      <c r="L55" s="16"/>
      <c r="M55" s="16"/>
      <c r="N55" s="16"/>
      <c r="O55" s="16">
        <v>3</v>
      </c>
      <c r="P55" s="16">
        <v>1770</v>
      </c>
      <c r="Q55" s="16">
        <f t="shared" si="12"/>
        <v>5310</v>
      </c>
      <c r="R55" s="18">
        <v>0</v>
      </c>
      <c r="S55" s="16">
        <f t="shared" si="13"/>
        <v>0</v>
      </c>
      <c r="T55" s="16">
        <f t="shared" si="14"/>
        <v>5310</v>
      </c>
      <c r="U55" s="16" t="s">
        <v>1615</v>
      </c>
      <c r="V55" s="19" t="s">
        <v>88</v>
      </c>
      <c r="W55" s="142"/>
    </row>
    <row r="56" spans="1:23" ht="22.2" customHeight="1" x14ac:dyDescent="0.3">
      <c r="A56" s="1"/>
      <c r="B56" s="1"/>
      <c r="C56" s="1"/>
      <c r="D56" s="1"/>
      <c r="E56" s="1"/>
      <c r="F56" s="20" t="s">
        <v>99</v>
      </c>
      <c r="G56" s="16">
        <v>1</v>
      </c>
      <c r="H56" s="16" t="s">
        <v>28</v>
      </c>
      <c r="I56" s="16">
        <v>11800</v>
      </c>
      <c r="J56" s="16">
        <f t="shared" si="0"/>
        <v>11800</v>
      </c>
      <c r="K56" s="16">
        <v>1</v>
      </c>
      <c r="L56" s="16" t="s">
        <v>28</v>
      </c>
      <c r="M56" s="16" t="s">
        <v>91</v>
      </c>
      <c r="N56" s="30" t="s">
        <v>95</v>
      </c>
      <c r="O56" s="16">
        <v>1</v>
      </c>
      <c r="P56" s="16">
        <v>11800</v>
      </c>
      <c r="Q56" s="16">
        <f t="shared" si="12"/>
        <v>11800</v>
      </c>
      <c r="R56" s="18">
        <v>0</v>
      </c>
      <c r="S56" s="16">
        <f t="shared" si="13"/>
        <v>0</v>
      </c>
      <c r="T56" s="16">
        <f t="shared" si="14"/>
        <v>11800</v>
      </c>
      <c r="U56" s="16" t="s">
        <v>1615</v>
      </c>
      <c r="V56" s="19" t="s">
        <v>88</v>
      </c>
      <c r="W56" s="142"/>
    </row>
    <row r="57" spans="1:23" ht="22.2" customHeight="1" x14ac:dyDescent="0.3">
      <c r="A57" s="1"/>
      <c r="B57" s="2"/>
      <c r="C57" s="2"/>
      <c r="D57" s="2"/>
      <c r="E57" s="2"/>
      <c r="F57" s="20" t="s">
        <v>100</v>
      </c>
      <c r="G57" s="16">
        <v>1</v>
      </c>
      <c r="H57" s="16" t="s">
        <v>87</v>
      </c>
      <c r="I57" s="16">
        <v>9545</v>
      </c>
      <c r="J57" s="16">
        <f t="shared" si="0"/>
        <v>9545</v>
      </c>
      <c r="K57" s="16"/>
      <c r="L57" s="16"/>
      <c r="M57" s="16"/>
      <c r="N57" s="55"/>
      <c r="O57" s="55">
        <v>1</v>
      </c>
      <c r="P57" s="55">
        <v>9545</v>
      </c>
      <c r="Q57" s="16">
        <f t="shared" si="12"/>
        <v>9545</v>
      </c>
      <c r="R57" s="18">
        <v>0</v>
      </c>
      <c r="S57" s="16">
        <f t="shared" si="13"/>
        <v>0</v>
      </c>
      <c r="T57" s="16">
        <f t="shared" si="14"/>
        <v>9545</v>
      </c>
      <c r="U57" s="16" t="s">
        <v>1615</v>
      </c>
      <c r="V57" s="19" t="s">
        <v>88</v>
      </c>
      <c r="W57" s="142"/>
    </row>
    <row r="58" spans="1:23" ht="22.2" customHeight="1" x14ac:dyDescent="0.3">
      <c r="A58" s="1"/>
      <c r="B58" s="2"/>
      <c r="C58" s="2"/>
      <c r="D58" s="2"/>
      <c r="E58" s="2"/>
      <c r="F58" s="20" t="s">
        <v>101</v>
      </c>
      <c r="G58" s="16">
        <v>1</v>
      </c>
      <c r="H58" s="16" t="s">
        <v>87</v>
      </c>
      <c r="I58" s="16">
        <v>1000</v>
      </c>
      <c r="J58" s="16">
        <f t="shared" si="0"/>
        <v>1000</v>
      </c>
      <c r="K58" s="16">
        <v>1</v>
      </c>
      <c r="L58" s="16" t="s">
        <v>28</v>
      </c>
      <c r="M58" s="16" t="s">
        <v>91</v>
      </c>
      <c r="N58" s="30" t="s">
        <v>95</v>
      </c>
      <c r="O58" s="55">
        <v>2</v>
      </c>
      <c r="P58" s="55">
        <v>500</v>
      </c>
      <c r="Q58" s="16">
        <f t="shared" si="12"/>
        <v>1000</v>
      </c>
      <c r="R58" s="18">
        <v>0</v>
      </c>
      <c r="S58" s="16">
        <f t="shared" si="13"/>
        <v>0</v>
      </c>
      <c r="T58" s="16">
        <f t="shared" si="14"/>
        <v>1000</v>
      </c>
      <c r="U58" s="16" t="s">
        <v>1615</v>
      </c>
      <c r="V58" s="19" t="s">
        <v>88</v>
      </c>
      <c r="W58" s="142"/>
    </row>
    <row r="59" spans="1:23" ht="22.2" customHeight="1" x14ac:dyDescent="0.3">
      <c r="A59" s="1"/>
      <c r="B59" s="2"/>
      <c r="C59" s="2"/>
      <c r="D59" s="2"/>
      <c r="E59" s="2"/>
      <c r="F59" s="20" t="s">
        <v>102</v>
      </c>
      <c r="G59" s="16">
        <v>1</v>
      </c>
      <c r="H59" s="16" t="s">
        <v>87</v>
      </c>
      <c r="I59" s="16">
        <v>1770</v>
      </c>
      <c r="J59" s="16">
        <f t="shared" si="0"/>
        <v>1770</v>
      </c>
      <c r="K59" s="16"/>
      <c r="L59" s="16"/>
      <c r="M59" s="16"/>
      <c r="N59" s="55"/>
      <c r="O59" s="55">
        <v>1</v>
      </c>
      <c r="P59" s="55">
        <v>1770</v>
      </c>
      <c r="Q59" s="16">
        <f t="shared" si="12"/>
        <v>1770</v>
      </c>
      <c r="R59" s="18">
        <v>0</v>
      </c>
      <c r="S59" s="16">
        <f t="shared" si="13"/>
        <v>0</v>
      </c>
      <c r="T59" s="16">
        <f t="shared" si="14"/>
        <v>1770</v>
      </c>
      <c r="U59" s="16" t="s">
        <v>1615</v>
      </c>
      <c r="V59" s="19" t="s">
        <v>88</v>
      </c>
      <c r="W59" s="142"/>
    </row>
    <row r="60" spans="1:23" ht="37.799999999999997" x14ac:dyDescent="0.3">
      <c r="A60" s="1"/>
      <c r="B60" s="2"/>
      <c r="C60" s="2"/>
      <c r="D60" s="2"/>
      <c r="E60" s="2"/>
      <c r="F60" s="17" t="s">
        <v>103</v>
      </c>
      <c r="G60" s="16">
        <v>1</v>
      </c>
      <c r="H60" s="16" t="s">
        <v>87</v>
      </c>
      <c r="I60" s="16">
        <v>15400</v>
      </c>
      <c r="J60" s="16">
        <f t="shared" si="0"/>
        <v>15400</v>
      </c>
      <c r="K60" s="16">
        <v>1</v>
      </c>
      <c r="L60" s="16" t="s">
        <v>28</v>
      </c>
      <c r="M60" s="16" t="s">
        <v>91</v>
      </c>
      <c r="N60" s="30" t="s">
        <v>95</v>
      </c>
      <c r="O60" s="55">
        <v>1</v>
      </c>
      <c r="P60" s="55">
        <v>15400</v>
      </c>
      <c r="Q60" s="16">
        <f t="shared" si="12"/>
        <v>15400</v>
      </c>
      <c r="R60" s="18">
        <v>0</v>
      </c>
      <c r="S60" s="16">
        <f t="shared" si="13"/>
        <v>0</v>
      </c>
      <c r="T60" s="16">
        <f t="shared" si="14"/>
        <v>15400</v>
      </c>
      <c r="U60" s="16" t="s">
        <v>1615</v>
      </c>
      <c r="V60" s="19" t="s">
        <v>88</v>
      </c>
      <c r="W60" s="142"/>
    </row>
    <row r="61" spans="1:23" ht="22.2" customHeight="1" x14ac:dyDescent="0.3">
      <c r="A61" s="1"/>
      <c r="B61" s="2"/>
      <c r="C61" s="2"/>
      <c r="D61" s="2"/>
      <c r="E61" s="2"/>
      <c r="F61" s="20" t="s">
        <v>104</v>
      </c>
      <c r="G61" s="16">
        <v>1</v>
      </c>
      <c r="H61" s="16" t="s">
        <v>28</v>
      </c>
      <c r="I61" s="16">
        <v>7400</v>
      </c>
      <c r="J61" s="16">
        <f t="shared" si="0"/>
        <v>7400</v>
      </c>
      <c r="K61" s="16">
        <v>50</v>
      </c>
      <c r="L61" s="16" t="s">
        <v>60</v>
      </c>
      <c r="M61" s="16" t="s">
        <v>91</v>
      </c>
      <c r="N61" s="30" t="s">
        <v>95</v>
      </c>
      <c r="O61" s="55">
        <v>50</v>
      </c>
      <c r="P61" s="55">
        <v>148</v>
      </c>
      <c r="Q61" s="16">
        <f t="shared" si="12"/>
        <v>7400</v>
      </c>
      <c r="R61" s="18">
        <v>0</v>
      </c>
      <c r="S61" s="16">
        <f t="shared" si="13"/>
        <v>0</v>
      </c>
      <c r="T61" s="16">
        <f t="shared" si="14"/>
        <v>7400</v>
      </c>
      <c r="U61" s="16" t="s">
        <v>1615</v>
      </c>
      <c r="V61" s="19" t="s">
        <v>88</v>
      </c>
      <c r="W61" s="142"/>
    </row>
    <row r="62" spans="1:23" ht="22.2" customHeight="1" x14ac:dyDescent="0.3">
      <c r="A62" s="1"/>
      <c r="B62" s="2"/>
      <c r="C62" s="2"/>
      <c r="D62" s="2"/>
      <c r="E62" s="2"/>
      <c r="F62" s="20" t="s">
        <v>105</v>
      </c>
      <c r="G62" s="16">
        <v>1</v>
      </c>
      <c r="H62" s="16" t="s">
        <v>87</v>
      </c>
      <c r="I62" s="16">
        <v>5900</v>
      </c>
      <c r="J62" s="16">
        <f t="shared" si="0"/>
        <v>5900</v>
      </c>
      <c r="K62" s="16"/>
      <c r="L62" s="16"/>
      <c r="M62" s="16"/>
      <c r="N62" s="55"/>
      <c r="O62" s="55">
        <v>2</v>
      </c>
      <c r="P62" s="55">
        <v>2950</v>
      </c>
      <c r="Q62" s="16">
        <f t="shared" si="12"/>
        <v>5900</v>
      </c>
      <c r="R62" s="18">
        <v>0</v>
      </c>
      <c r="S62" s="16">
        <f t="shared" si="13"/>
        <v>0</v>
      </c>
      <c r="T62" s="16">
        <f t="shared" si="14"/>
        <v>5900</v>
      </c>
      <c r="U62" s="16" t="s">
        <v>1615</v>
      </c>
      <c r="V62" s="19" t="s">
        <v>88</v>
      </c>
      <c r="W62" s="142"/>
    </row>
    <row r="63" spans="1:23" ht="22.2" customHeight="1" x14ac:dyDescent="0.3">
      <c r="A63" s="1"/>
      <c r="B63" s="2"/>
      <c r="C63" s="2"/>
      <c r="D63" s="2"/>
      <c r="E63" s="2"/>
      <c r="F63" s="16" t="s">
        <v>106</v>
      </c>
      <c r="G63" s="16">
        <v>1</v>
      </c>
      <c r="H63" s="16" t="s">
        <v>87</v>
      </c>
      <c r="I63" s="16">
        <v>960</v>
      </c>
      <c r="J63" s="16">
        <f t="shared" si="0"/>
        <v>960</v>
      </c>
      <c r="K63" s="16"/>
      <c r="L63" s="16"/>
      <c r="M63" s="16"/>
      <c r="N63" s="55"/>
      <c r="O63" s="55">
        <v>20</v>
      </c>
      <c r="P63" s="55">
        <v>48</v>
      </c>
      <c r="Q63" s="16">
        <f t="shared" si="12"/>
        <v>960</v>
      </c>
      <c r="R63" s="18">
        <v>0</v>
      </c>
      <c r="S63" s="16">
        <f t="shared" si="13"/>
        <v>0</v>
      </c>
      <c r="T63" s="16">
        <f t="shared" si="14"/>
        <v>960</v>
      </c>
      <c r="U63" s="16" t="s">
        <v>1615</v>
      </c>
      <c r="V63" s="19" t="s">
        <v>88</v>
      </c>
      <c r="W63" s="142"/>
    </row>
    <row r="64" spans="1:23" ht="22.2" customHeight="1" x14ac:dyDescent="0.3">
      <c r="A64" s="1"/>
      <c r="B64" s="2"/>
      <c r="C64" s="2"/>
      <c r="D64" s="2"/>
      <c r="E64" s="2"/>
      <c r="F64" s="20" t="s">
        <v>107</v>
      </c>
      <c r="G64" s="16">
        <v>1</v>
      </c>
      <c r="H64" s="16" t="s">
        <v>87</v>
      </c>
      <c r="I64" s="16">
        <v>6400</v>
      </c>
      <c r="J64" s="16">
        <f t="shared" si="0"/>
        <v>6400</v>
      </c>
      <c r="K64" s="16"/>
      <c r="L64" s="16"/>
      <c r="M64" s="16"/>
      <c r="N64" s="55"/>
      <c r="O64" s="55">
        <v>20</v>
      </c>
      <c r="P64" s="55">
        <v>320</v>
      </c>
      <c r="Q64" s="16">
        <f t="shared" si="12"/>
        <v>6400</v>
      </c>
      <c r="R64" s="18">
        <v>0</v>
      </c>
      <c r="S64" s="16">
        <f t="shared" si="13"/>
        <v>0</v>
      </c>
      <c r="T64" s="16">
        <f t="shared" si="14"/>
        <v>6400</v>
      </c>
      <c r="U64" s="16" t="s">
        <v>1615</v>
      </c>
      <c r="V64" s="19" t="s">
        <v>88</v>
      </c>
      <c r="W64" s="142"/>
    </row>
    <row r="65" spans="1:23" ht="22.2" customHeight="1" x14ac:dyDescent="0.3">
      <c r="A65" s="1"/>
      <c r="B65" s="2"/>
      <c r="C65" s="2"/>
      <c r="D65" s="2"/>
      <c r="E65" s="2"/>
      <c r="F65" s="20" t="s">
        <v>108</v>
      </c>
      <c r="G65" s="16">
        <v>1</v>
      </c>
      <c r="H65" s="16" t="s">
        <v>87</v>
      </c>
      <c r="I65" s="16">
        <v>1652</v>
      </c>
      <c r="J65" s="16">
        <f t="shared" si="0"/>
        <v>1652</v>
      </c>
      <c r="K65" s="16"/>
      <c r="L65" s="16"/>
      <c r="M65" s="16"/>
      <c r="N65" s="55"/>
      <c r="O65" s="55">
        <v>2</v>
      </c>
      <c r="P65" s="55">
        <v>826</v>
      </c>
      <c r="Q65" s="16">
        <f t="shared" si="12"/>
        <v>1652</v>
      </c>
      <c r="R65" s="18">
        <v>0</v>
      </c>
      <c r="S65" s="16">
        <f t="shared" si="13"/>
        <v>0</v>
      </c>
      <c r="T65" s="16">
        <f t="shared" si="14"/>
        <v>1652</v>
      </c>
      <c r="U65" s="16" t="s">
        <v>1615</v>
      </c>
      <c r="V65" s="19" t="s">
        <v>88</v>
      </c>
      <c r="W65" s="142"/>
    </row>
    <row r="66" spans="1:23" ht="22.2" customHeight="1" x14ac:dyDescent="0.3">
      <c r="A66" s="1"/>
      <c r="B66" s="2"/>
      <c r="C66" s="2"/>
      <c r="D66" s="2"/>
      <c r="E66" s="2"/>
      <c r="F66" s="20" t="s">
        <v>109</v>
      </c>
      <c r="G66" s="16">
        <v>1</v>
      </c>
      <c r="H66" s="16" t="s">
        <v>87</v>
      </c>
      <c r="I66" s="16">
        <v>14160</v>
      </c>
      <c r="J66" s="16">
        <f t="shared" si="0"/>
        <v>14160</v>
      </c>
      <c r="K66" s="16"/>
      <c r="L66" s="16"/>
      <c r="M66" s="16"/>
      <c r="N66" s="55"/>
      <c r="O66" s="55">
        <v>2</v>
      </c>
      <c r="P66" s="55">
        <v>7080</v>
      </c>
      <c r="Q66" s="16">
        <f t="shared" si="12"/>
        <v>14160</v>
      </c>
      <c r="R66" s="18">
        <v>0</v>
      </c>
      <c r="S66" s="16">
        <f t="shared" si="13"/>
        <v>0</v>
      </c>
      <c r="T66" s="16">
        <f t="shared" si="14"/>
        <v>14160</v>
      </c>
      <c r="U66" s="16" t="s">
        <v>1615</v>
      </c>
      <c r="V66" s="19" t="s">
        <v>88</v>
      </c>
      <c r="W66" s="142"/>
    </row>
    <row r="67" spans="1:23" ht="22.2" customHeight="1" x14ac:dyDescent="0.3">
      <c r="A67" s="1"/>
      <c r="B67" s="2"/>
      <c r="C67" s="2"/>
      <c r="D67" s="2"/>
      <c r="E67" s="2"/>
      <c r="F67" s="20" t="s">
        <v>110</v>
      </c>
      <c r="G67" s="16">
        <v>1</v>
      </c>
      <c r="H67" s="16" t="s">
        <v>87</v>
      </c>
      <c r="I67" s="16">
        <v>17700</v>
      </c>
      <c r="J67" s="16">
        <f t="shared" si="0"/>
        <v>17700</v>
      </c>
      <c r="K67" s="16">
        <v>100</v>
      </c>
      <c r="L67" s="16" t="s">
        <v>111</v>
      </c>
      <c r="M67" s="16" t="s">
        <v>91</v>
      </c>
      <c r="N67" s="30" t="s">
        <v>95</v>
      </c>
      <c r="O67" s="55">
        <v>100</v>
      </c>
      <c r="P67" s="55">
        <v>177</v>
      </c>
      <c r="Q67" s="16">
        <f t="shared" si="12"/>
        <v>17700</v>
      </c>
      <c r="R67" s="18">
        <v>0</v>
      </c>
      <c r="S67" s="16">
        <f t="shared" si="13"/>
        <v>0</v>
      </c>
      <c r="T67" s="16">
        <f t="shared" si="14"/>
        <v>17700</v>
      </c>
      <c r="U67" s="16" t="s">
        <v>1615</v>
      </c>
      <c r="V67" s="19" t="s">
        <v>88</v>
      </c>
      <c r="W67" s="142"/>
    </row>
    <row r="68" spans="1:23" ht="22.2" customHeight="1" x14ac:dyDescent="0.3">
      <c r="A68" s="1"/>
      <c r="B68" s="2"/>
      <c r="C68" s="2"/>
      <c r="D68" s="2"/>
      <c r="E68" s="2"/>
      <c r="F68" s="16" t="s">
        <v>112</v>
      </c>
      <c r="G68" s="16">
        <v>1</v>
      </c>
      <c r="H68" s="16" t="s">
        <v>87</v>
      </c>
      <c r="I68" s="16">
        <v>2360</v>
      </c>
      <c r="J68" s="16">
        <f t="shared" si="0"/>
        <v>2360</v>
      </c>
      <c r="K68" s="16"/>
      <c r="L68" s="16"/>
      <c r="M68" s="16"/>
      <c r="N68" s="55"/>
      <c r="O68" s="55">
        <v>2</v>
      </c>
      <c r="P68" s="55">
        <v>1180</v>
      </c>
      <c r="Q68" s="16">
        <f t="shared" si="12"/>
        <v>2360</v>
      </c>
      <c r="R68" s="18">
        <v>0</v>
      </c>
      <c r="S68" s="16">
        <f t="shared" si="13"/>
        <v>0</v>
      </c>
      <c r="T68" s="16">
        <f t="shared" si="14"/>
        <v>2360</v>
      </c>
      <c r="U68" s="16" t="s">
        <v>1615</v>
      </c>
      <c r="V68" s="19" t="s">
        <v>88</v>
      </c>
      <c r="W68" s="142"/>
    </row>
    <row r="69" spans="1:23" ht="22.2" customHeight="1" x14ac:dyDescent="0.3">
      <c r="A69" s="1"/>
      <c r="B69" s="2"/>
      <c r="C69" s="2"/>
      <c r="D69" s="2"/>
      <c r="E69" s="2"/>
      <c r="F69" s="20" t="s">
        <v>113</v>
      </c>
      <c r="G69" s="16">
        <v>1</v>
      </c>
      <c r="H69" s="16" t="s">
        <v>87</v>
      </c>
      <c r="I69" s="16">
        <v>1800</v>
      </c>
      <c r="J69" s="16">
        <f t="shared" si="0"/>
        <v>1800</v>
      </c>
      <c r="K69" s="16"/>
      <c r="L69" s="16"/>
      <c r="M69" s="16"/>
      <c r="N69" s="55"/>
      <c r="O69" s="55">
        <v>2</v>
      </c>
      <c r="P69" s="55">
        <v>900</v>
      </c>
      <c r="Q69" s="16">
        <f t="shared" si="12"/>
        <v>1800</v>
      </c>
      <c r="R69" s="18">
        <v>0</v>
      </c>
      <c r="S69" s="16">
        <f t="shared" si="13"/>
        <v>0</v>
      </c>
      <c r="T69" s="16">
        <f t="shared" si="14"/>
        <v>1800</v>
      </c>
      <c r="U69" s="16" t="s">
        <v>1615</v>
      </c>
      <c r="V69" s="19" t="s">
        <v>88</v>
      </c>
      <c r="W69" s="142"/>
    </row>
    <row r="70" spans="1:23" ht="22.2" customHeight="1" x14ac:dyDescent="0.3">
      <c r="A70" s="1"/>
      <c r="B70" s="2"/>
      <c r="C70" s="2"/>
      <c r="D70" s="2"/>
      <c r="E70" s="2"/>
      <c r="F70" s="16" t="s">
        <v>114</v>
      </c>
      <c r="G70" s="16">
        <v>1</v>
      </c>
      <c r="H70" s="16" t="s">
        <v>87</v>
      </c>
      <c r="I70" s="16">
        <v>14100</v>
      </c>
      <c r="J70" s="16">
        <f t="shared" si="0"/>
        <v>14100</v>
      </c>
      <c r="K70" s="16"/>
      <c r="L70" s="16"/>
      <c r="M70" s="16"/>
      <c r="N70" s="55"/>
      <c r="O70" s="55">
        <v>150</v>
      </c>
      <c r="P70" s="55">
        <v>94</v>
      </c>
      <c r="Q70" s="16">
        <f t="shared" si="12"/>
        <v>14100</v>
      </c>
      <c r="R70" s="18">
        <v>0</v>
      </c>
      <c r="S70" s="16">
        <f t="shared" si="13"/>
        <v>0</v>
      </c>
      <c r="T70" s="16">
        <f t="shared" si="14"/>
        <v>14100</v>
      </c>
      <c r="U70" s="16" t="s">
        <v>1615</v>
      </c>
      <c r="V70" s="19" t="s">
        <v>88</v>
      </c>
      <c r="W70" s="142"/>
    </row>
    <row r="71" spans="1:23" ht="22.2" customHeight="1" x14ac:dyDescent="0.3">
      <c r="A71" s="1"/>
      <c r="B71" s="2"/>
      <c r="C71" s="2"/>
      <c r="D71" s="2"/>
      <c r="E71" s="2"/>
      <c r="F71" s="16" t="s">
        <v>115</v>
      </c>
      <c r="G71" s="16">
        <v>2</v>
      </c>
      <c r="H71" s="16" t="s">
        <v>28</v>
      </c>
      <c r="I71" s="16">
        <v>2250</v>
      </c>
      <c r="J71" s="16">
        <f t="shared" si="0"/>
        <v>4500</v>
      </c>
      <c r="K71" s="16">
        <v>2</v>
      </c>
      <c r="L71" s="16" t="s">
        <v>28</v>
      </c>
      <c r="M71" s="16" t="s">
        <v>91</v>
      </c>
      <c r="N71" s="30" t="s">
        <v>116</v>
      </c>
      <c r="O71" s="55">
        <v>2</v>
      </c>
      <c r="P71" s="55">
        <v>2250</v>
      </c>
      <c r="Q71" s="16">
        <f t="shared" si="12"/>
        <v>4500</v>
      </c>
      <c r="R71" s="18">
        <v>0</v>
      </c>
      <c r="S71" s="16">
        <f t="shared" si="13"/>
        <v>0</v>
      </c>
      <c r="T71" s="16">
        <f t="shared" si="14"/>
        <v>4500</v>
      </c>
      <c r="U71" s="16" t="s">
        <v>1615</v>
      </c>
      <c r="V71" s="19" t="s">
        <v>88</v>
      </c>
      <c r="W71" s="142"/>
    </row>
    <row r="72" spans="1:23" ht="22.2" customHeight="1" x14ac:dyDescent="0.3">
      <c r="A72" s="1"/>
      <c r="B72" s="2"/>
      <c r="C72" s="2"/>
      <c r="D72" s="2"/>
      <c r="E72" s="2"/>
      <c r="F72" s="20" t="s">
        <v>117</v>
      </c>
      <c r="G72" s="16">
        <v>1</v>
      </c>
      <c r="H72" s="16" t="s">
        <v>28</v>
      </c>
      <c r="I72" s="16">
        <v>2460</v>
      </c>
      <c r="J72" s="16">
        <f t="shared" si="0"/>
        <v>2460</v>
      </c>
      <c r="K72" s="16">
        <v>1</v>
      </c>
      <c r="L72" s="16" t="s">
        <v>28</v>
      </c>
      <c r="M72" s="16" t="s">
        <v>91</v>
      </c>
      <c r="N72" s="30" t="s">
        <v>116</v>
      </c>
      <c r="O72" s="55">
        <v>1</v>
      </c>
      <c r="P72" s="55">
        <v>2460</v>
      </c>
      <c r="Q72" s="16">
        <f t="shared" si="12"/>
        <v>2460</v>
      </c>
      <c r="R72" s="18">
        <v>0</v>
      </c>
      <c r="S72" s="16">
        <f t="shared" si="13"/>
        <v>0</v>
      </c>
      <c r="T72" s="16">
        <f t="shared" si="14"/>
        <v>2460</v>
      </c>
      <c r="U72" s="16" t="s">
        <v>1615</v>
      </c>
      <c r="V72" s="19" t="s">
        <v>88</v>
      </c>
      <c r="W72" s="142"/>
    </row>
    <row r="73" spans="1:23" x14ac:dyDescent="0.3">
      <c r="A73" s="207" t="s">
        <v>39</v>
      </c>
      <c r="B73" s="208"/>
      <c r="C73" s="208"/>
      <c r="D73" s="208"/>
      <c r="E73" s="208"/>
      <c r="F73" s="208"/>
      <c r="G73" s="208"/>
      <c r="H73" s="208"/>
      <c r="I73" s="209"/>
      <c r="J73" s="133">
        <f>SUM(J51:J72)</f>
        <v>184400</v>
      </c>
      <c r="K73" s="133"/>
      <c r="L73" s="133"/>
      <c r="M73" s="133"/>
      <c r="N73" s="2"/>
      <c r="O73" s="2"/>
      <c r="P73" s="2"/>
      <c r="Q73" s="2"/>
      <c r="R73" s="2"/>
      <c r="S73" s="2"/>
      <c r="T73" s="2"/>
      <c r="U73" s="2"/>
      <c r="V73" s="2"/>
      <c r="W73" s="142"/>
    </row>
    <row r="74" spans="1:23" x14ac:dyDescent="0.3">
      <c r="A74" s="207" t="s">
        <v>82</v>
      </c>
      <c r="B74" s="208"/>
      <c r="C74" s="208"/>
      <c r="D74" s="208"/>
      <c r="E74" s="208"/>
      <c r="F74" s="208"/>
      <c r="G74" s="208"/>
      <c r="H74" s="208"/>
      <c r="I74" s="209"/>
      <c r="J74" s="124">
        <v>0</v>
      </c>
      <c r="K74" s="124"/>
      <c r="L74" s="124"/>
      <c r="M74" s="124"/>
      <c r="N74" s="1"/>
      <c r="O74" s="1"/>
      <c r="P74" s="1"/>
      <c r="Q74" s="1"/>
      <c r="R74" s="1"/>
      <c r="S74" s="1"/>
      <c r="T74" s="1"/>
      <c r="U74" s="1"/>
      <c r="V74" s="1"/>
      <c r="W74" s="142"/>
    </row>
    <row r="75" spans="1:23" x14ac:dyDescent="0.3">
      <c r="A75" s="207" t="s">
        <v>41</v>
      </c>
      <c r="B75" s="208"/>
      <c r="C75" s="208"/>
      <c r="D75" s="208"/>
      <c r="E75" s="208"/>
      <c r="F75" s="208"/>
      <c r="G75" s="208"/>
      <c r="H75" s="208"/>
      <c r="I75" s="209"/>
      <c r="J75" s="124">
        <f>SUM(J73:J74)</f>
        <v>184400</v>
      </c>
      <c r="K75" s="124"/>
      <c r="L75" s="124"/>
      <c r="M75" s="124"/>
      <c r="N75" s="1"/>
      <c r="O75" s="1"/>
      <c r="P75" s="1"/>
      <c r="Q75" s="1"/>
      <c r="R75" s="1"/>
      <c r="S75" s="1"/>
      <c r="T75" s="1"/>
      <c r="U75" s="1"/>
      <c r="V75" s="1"/>
      <c r="W75" s="142"/>
    </row>
    <row r="76" spans="1:23" x14ac:dyDescent="0.3">
      <c r="A76" s="127"/>
      <c r="B76" s="128"/>
      <c r="C76" s="128"/>
      <c r="D76" s="128"/>
      <c r="E76" s="128"/>
      <c r="F76" s="128"/>
      <c r="G76" s="128"/>
      <c r="H76" s="128"/>
      <c r="I76" s="129"/>
      <c r="J76" s="124"/>
      <c r="K76" s="124"/>
      <c r="L76" s="124"/>
      <c r="M76" s="124"/>
      <c r="N76" s="1"/>
      <c r="O76" s="1"/>
      <c r="P76" s="1"/>
      <c r="Q76" s="1"/>
      <c r="R76" s="1"/>
      <c r="S76" s="1"/>
      <c r="T76" s="1"/>
      <c r="U76" s="1"/>
      <c r="V76" s="1"/>
      <c r="W76" s="142"/>
    </row>
    <row r="77" spans="1:23" ht="16.2" customHeight="1" x14ac:dyDescent="0.3">
      <c r="A77" s="16">
        <v>7</v>
      </c>
      <c r="B77" s="20">
        <v>9200119141</v>
      </c>
      <c r="C77" s="16" t="s">
        <v>89</v>
      </c>
      <c r="D77" s="20" t="s">
        <v>43</v>
      </c>
      <c r="E77" s="20"/>
      <c r="F77" s="20" t="s">
        <v>118</v>
      </c>
      <c r="G77" s="16">
        <v>1</v>
      </c>
      <c r="H77" s="16" t="s">
        <v>28</v>
      </c>
      <c r="I77" s="16">
        <v>10685</v>
      </c>
      <c r="J77" s="16">
        <f t="shared" ref="J77:J98" si="15">G77*I77</f>
        <v>10685</v>
      </c>
      <c r="K77" s="16">
        <v>1</v>
      </c>
      <c r="L77" s="16" t="s">
        <v>28</v>
      </c>
      <c r="M77" s="38" t="s">
        <v>119</v>
      </c>
      <c r="N77" s="16" t="s">
        <v>120</v>
      </c>
      <c r="O77" s="16">
        <v>1</v>
      </c>
      <c r="P77" s="16">
        <v>10685</v>
      </c>
      <c r="Q77" s="16">
        <f>O77*P77</f>
        <v>10685</v>
      </c>
      <c r="R77" s="18">
        <v>0</v>
      </c>
      <c r="S77" s="16">
        <f t="shared" ref="S77" si="16">Q77*R77</f>
        <v>0</v>
      </c>
      <c r="T77" s="16">
        <f>Q77+S77</f>
        <v>10685</v>
      </c>
      <c r="U77" s="16" t="s">
        <v>1614</v>
      </c>
      <c r="V77" s="19" t="s">
        <v>88</v>
      </c>
      <c r="W77" s="142"/>
    </row>
    <row r="78" spans="1:23" ht="25.2" x14ac:dyDescent="0.3">
      <c r="A78" s="1"/>
      <c r="B78" s="1"/>
      <c r="C78" s="1"/>
      <c r="D78" s="1"/>
      <c r="E78" s="1"/>
      <c r="F78" s="17" t="s">
        <v>121</v>
      </c>
      <c r="G78" s="16">
        <v>1</v>
      </c>
      <c r="H78" s="16" t="s">
        <v>87</v>
      </c>
      <c r="I78" s="16">
        <v>5175</v>
      </c>
      <c r="J78" s="16">
        <f t="shared" si="15"/>
        <v>5175</v>
      </c>
      <c r="K78" s="16"/>
      <c r="L78" s="16"/>
      <c r="M78" s="16"/>
      <c r="N78" s="16"/>
      <c r="O78" s="16">
        <v>1</v>
      </c>
      <c r="P78" s="16">
        <v>5175</v>
      </c>
      <c r="Q78" s="16">
        <f t="shared" ref="Q78:Q79" si="17">O78*P78</f>
        <v>5175</v>
      </c>
      <c r="R78" s="18">
        <v>0</v>
      </c>
      <c r="S78" s="16">
        <f t="shared" ref="S78:S79" si="18">Q78*R78</f>
        <v>0</v>
      </c>
      <c r="T78" s="16">
        <f t="shared" ref="T78:T79" si="19">Q78+S78</f>
        <v>5175</v>
      </c>
      <c r="U78" s="16" t="s">
        <v>1614</v>
      </c>
      <c r="V78" s="19" t="s">
        <v>88</v>
      </c>
      <c r="W78" s="142"/>
    </row>
    <row r="79" spans="1:23" ht="25.2" x14ac:dyDescent="0.3">
      <c r="A79" s="1"/>
      <c r="B79" s="1"/>
      <c r="C79" s="1"/>
      <c r="D79" s="1"/>
      <c r="E79" s="1"/>
      <c r="F79" s="17" t="s">
        <v>122</v>
      </c>
      <c r="G79" s="16">
        <v>1</v>
      </c>
      <c r="H79" s="16" t="s">
        <v>87</v>
      </c>
      <c r="I79" s="16">
        <v>4700</v>
      </c>
      <c r="J79" s="16">
        <f t="shared" si="15"/>
        <v>4700</v>
      </c>
      <c r="K79" s="16"/>
      <c r="L79" s="16"/>
      <c r="M79" s="16"/>
      <c r="N79" s="16"/>
      <c r="O79" s="16">
        <v>1</v>
      </c>
      <c r="P79" s="16">
        <v>4700</v>
      </c>
      <c r="Q79" s="16">
        <f t="shared" si="17"/>
        <v>4700</v>
      </c>
      <c r="R79" s="18">
        <v>0</v>
      </c>
      <c r="S79" s="16">
        <f t="shared" si="18"/>
        <v>0</v>
      </c>
      <c r="T79" s="16">
        <f t="shared" si="19"/>
        <v>4700</v>
      </c>
      <c r="U79" s="16" t="s">
        <v>1614</v>
      </c>
      <c r="V79" s="19" t="s">
        <v>88</v>
      </c>
      <c r="W79" s="142"/>
    </row>
    <row r="80" spans="1:23" x14ac:dyDescent="0.3">
      <c r="A80" s="207" t="s">
        <v>39</v>
      </c>
      <c r="B80" s="208"/>
      <c r="C80" s="208"/>
      <c r="D80" s="208"/>
      <c r="E80" s="208"/>
      <c r="F80" s="208"/>
      <c r="G80" s="208"/>
      <c r="H80" s="208"/>
      <c r="I80" s="209"/>
      <c r="J80" s="124">
        <f>SUM(J77:J79)</f>
        <v>20560</v>
      </c>
      <c r="K80" s="124"/>
      <c r="L80" s="124"/>
      <c r="M80" s="124"/>
      <c r="N80" s="1"/>
      <c r="O80" s="1"/>
      <c r="P80" s="1"/>
      <c r="Q80" s="1"/>
      <c r="R80" s="1"/>
      <c r="S80" s="1"/>
      <c r="T80" s="1"/>
      <c r="U80" s="1"/>
      <c r="V80" s="1"/>
      <c r="W80" s="142"/>
    </row>
    <row r="81" spans="1:23" x14ac:dyDescent="0.3">
      <c r="A81" s="207" t="s">
        <v>82</v>
      </c>
      <c r="B81" s="208"/>
      <c r="C81" s="208"/>
      <c r="D81" s="208"/>
      <c r="E81" s="208"/>
      <c r="F81" s="208"/>
      <c r="G81" s="208"/>
      <c r="H81" s="208"/>
      <c r="I81" s="209"/>
      <c r="J81" s="124">
        <v>0</v>
      </c>
      <c r="K81" s="124"/>
      <c r="L81" s="124"/>
      <c r="M81" s="124"/>
      <c r="N81" s="8"/>
      <c r="O81" s="8"/>
      <c r="P81" s="8"/>
      <c r="Q81" s="8"/>
      <c r="R81" s="8"/>
      <c r="S81" s="8"/>
      <c r="T81" s="8"/>
      <c r="U81" s="8"/>
      <c r="V81" s="8"/>
      <c r="W81" s="142"/>
    </row>
    <row r="82" spans="1:23" x14ac:dyDescent="0.3">
      <c r="A82" s="207" t="s">
        <v>41</v>
      </c>
      <c r="B82" s="208"/>
      <c r="C82" s="208"/>
      <c r="D82" s="208"/>
      <c r="E82" s="208"/>
      <c r="F82" s="208"/>
      <c r="G82" s="208"/>
      <c r="H82" s="208"/>
      <c r="I82" s="209"/>
      <c r="J82" s="124">
        <f>SUM(J80:J81)</f>
        <v>20560</v>
      </c>
      <c r="K82" s="1"/>
      <c r="L82" s="1"/>
      <c r="M82" s="1"/>
      <c r="N82" s="8"/>
      <c r="O82" s="8"/>
      <c r="P82" s="8"/>
      <c r="Q82" s="8"/>
      <c r="R82" s="8"/>
      <c r="S82" s="8"/>
      <c r="T82" s="8"/>
      <c r="U82" s="8"/>
      <c r="V82" s="8"/>
      <c r="W82" s="142"/>
    </row>
    <row r="83" spans="1:23" x14ac:dyDescent="0.3">
      <c r="A83" s="62"/>
      <c r="B83" s="8"/>
      <c r="C83" s="8"/>
      <c r="D83" s="8"/>
      <c r="E83" s="8"/>
      <c r="F83" s="8"/>
      <c r="G83" s="8"/>
      <c r="H83" s="8"/>
      <c r="I83" s="8"/>
      <c r="J83" s="1"/>
      <c r="K83" s="1"/>
      <c r="L83" s="1"/>
      <c r="M83" s="1"/>
      <c r="N83" s="8"/>
      <c r="O83" s="8"/>
      <c r="P83" s="8"/>
      <c r="Q83" s="8"/>
      <c r="R83" s="8"/>
      <c r="S83" s="8"/>
      <c r="T83" s="8"/>
      <c r="U83" s="8"/>
      <c r="V83" s="8"/>
      <c r="W83" s="142"/>
    </row>
    <row r="84" spans="1:23" ht="16.95" customHeight="1" x14ac:dyDescent="0.3">
      <c r="A84" s="1">
        <v>8</v>
      </c>
      <c r="B84" s="20">
        <v>8100013990</v>
      </c>
      <c r="C84" s="16" t="s">
        <v>49</v>
      </c>
      <c r="D84" s="20" t="s">
        <v>43</v>
      </c>
      <c r="E84" s="20" t="s">
        <v>123</v>
      </c>
      <c r="F84" s="20" t="s">
        <v>124</v>
      </c>
      <c r="G84" s="16">
        <v>14</v>
      </c>
      <c r="H84" s="16" t="s">
        <v>87</v>
      </c>
      <c r="I84" s="16">
        <v>7000</v>
      </c>
      <c r="J84" s="16">
        <f t="shared" si="15"/>
        <v>98000</v>
      </c>
      <c r="K84" s="16"/>
      <c r="L84" s="16"/>
      <c r="M84" s="16"/>
      <c r="N84" s="16"/>
      <c r="O84" s="97">
        <v>14</v>
      </c>
      <c r="P84" s="97">
        <v>7000</v>
      </c>
      <c r="Q84" s="97">
        <f>O84*P84</f>
        <v>98000</v>
      </c>
      <c r="R84" s="111">
        <v>0</v>
      </c>
      <c r="S84" s="97"/>
      <c r="T84" s="97">
        <f>O84*P84</f>
        <v>98000</v>
      </c>
      <c r="U84" s="97" t="s">
        <v>125</v>
      </c>
      <c r="V84" s="110" t="s">
        <v>126</v>
      </c>
      <c r="W84" s="142" t="s">
        <v>1047</v>
      </c>
    </row>
    <row r="85" spans="1:23" ht="25.2" x14ac:dyDescent="0.3">
      <c r="A85" s="1"/>
      <c r="B85" s="1"/>
      <c r="C85" s="1"/>
      <c r="D85" s="1"/>
      <c r="E85" s="16" t="s">
        <v>127</v>
      </c>
      <c r="F85" s="39" t="s">
        <v>128</v>
      </c>
      <c r="G85" s="16">
        <v>20</v>
      </c>
      <c r="H85" s="16" t="s">
        <v>28</v>
      </c>
      <c r="I85" s="16">
        <v>3310</v>
      </c>
      <c r="J85" s="16">
        <f t="shared" si="15"/>
        <v>66200</v>
      </c>
      <c r="K85" s="16"/>
      <c r="L85" s="16"/>
      <c r="M85" s="16"/>
      <c r="N85" s="16"/>
      <c r="O85" s="16">
        <v>20</v>
      </c>
      <c r="P85" s="16">
        <v>3310</v>
      </c>
      <c r="Q85" s="16">
        <f>O85*P85</f>
        <v>66200</v>
      </c>
      <c r="R85" s="18">
        <v>0</v>
      </c>
      <c r="S85" s="16"/>
      <c r="T85" s="16">
        <f>O85*P85</f>
        <v>66200</v>
      </c>
      <c r="U85" s="16" t="s">
        <v>129</v>
      </c>
      <c r="V85" s="19" t="s">
        <v>130</v>
      </c>
      <c r="W85" s="142"/>
    </row>
    <row r="86" spans="1:23" ht="16.95" customHeight="1" x14ac:dyDescent="0.3">
      <c r="A86" s="1"/>
      <c r="B86" s="1"/>
      <c r="C86" s="1"/>
      <c r="D86" s="1"/>
      <c r="E86" s="16" t="s">
        <v>127</v>
      </c>
      <c r="F86" s="20" t="s">
        <v>131</v>
      </c>
      <c r="G86" s="16">
        <v>20</v>
      </c>
      <c r="H86" s="16" t="s">
        <v>28</v>
      </c>
      <c r="I86" s="16">
        <v>135</v>
      </c>
      <c r="J86" s="16">
        <f t="shared" si="15"/>
        <v>2700</v>
      </c>
      <c r="K86" s="16"/>
      <c r="L86" s="16"/>
      <c r="M86" s="16"/>
      <c r="N86" s="16"/>
      <c r="O86" s="16">
        <v>20</v>
      </c>
      <c r="P86" s="16">
        <v>135</v>
      </c>
      <c r="Q86" s="16">
        <f>O86*P86</f>
        <v>2700</v>
      </c>
      <c r="R86" s="18">
        <v>0</v>
      </c>
      <c r="S86" s="16"/>
      <c r="T86" s="16">
        <f>O86*P86</f>
        <v>2700</v>
      </c>
      <c r="U86" s="16" t="s">
        <v>132</v>
      </c>
      <c r="V86" s="19">
        <v>45574</v>
      </c>
      <c r="W86" s="142"/>
    </row>
    <row r="87" spans="1:23" ht="16.95" customHeight="1" x14ac:dyDescent="0.3">
      <c r="A87" s="1"/>
      <c r="B87" s="1"/>
      <c r="C87" s="1"/>
      <c r="D87" s="1"/>
      <c r="E87" s="16" t="s">
        <v>127</v>
      </c>
      <c r="F87" s="20" t="s">
        <v>133</v>
      </c>
      <c r="G87" s="16">
        <v>25</v>
      </c>
      <c r="H87" s="16" t="s">
        <v>28</v>
      </c>
      <c r="I87" s="16">
        <v>1495</v>
      </c>
      <c r="J87" s="16">
        <f t="shared" si="15"/>
        <v>37375</v>
      </c>
      <c r="K87" s="16"/>
      <c r="L87" s="16"/>
      <c r="M87" s="16"/>
      <c r="N87" s="16"/>
      <c r="O87" s="16">
        <v>25</v>
      </c>
      <c r="P87" s="16">
        <v>1495</v>
      </c>
      <c r="Q87" s="16">
        <f t="shared" ref="Q87:Q96" si="20">O87*P87</f>
        <v>37375</v>
      </c>
      <c r="R87" s="18">
        <v>0</v>
      </c>
      <c r="S87" s="16"/>
      <c r="T87" s="16">
        <f t="shared" ref="T87:T96" si="21">O87*P87</f>
        <v>37375</v>
      </c>
      <c r="U87" s="16" t="s">
        <v>132</v>
      </c>
      <c r="V87" s="19">
        <v>45574</v>
      </c>
      <c r="W87" s="142"/>
    </row>
    <row r="88" spans="1:23" ht="16.95" customHeight="1" x14ac:dyDescent="0.3">
      <c r="A88" s="1"/>
      <c r="B88" s="1"/>
      <c r="C88" s="1"/>
      <c r="D88" s="1"/>
      <c r="E88" s="16" t="s">
        <v>127</v>
      </c>
      <c r="F88" s="20" t="s">
        <v>134</v>
      </c>
      <c r="G88" s="16">
        <v>12</v>
      </c>
      <c r="H88" s="16" t="s">
        <v>28</v>
      </c>
      <c r="I88" s="16">
        <v>582</v>
      </c>
      <c r="J88" s="16">
        <f t="shared" si="15"/>
        <v>6984</v>
      </c>
      <c r="K88" s="16"/>
      <c r="L88" s="16"/>
      <c r="M88" s="16"/>
      <c r="N88" s="16"/>
      <c r="O88" s="16">
        <v>12</v>
      </c>
      <c r="P88" s="16">
        <v>582</v>
      </c>
      <c r="Q88" s="16">
        <f t="shared" si="20"/>
        <v>6984</v>
      </c>
      <c r="R88" s="18">
        <v>0</v>
      </c>
      <c r="S88" s="16"/>
      <c r="T88" s="16">
        <f t="shared" si="21"/>
        <v>6984</v>
      </c>
      <c r="U88" s="16" t="s">
        <v>132</v>
      </c>
      <c r="V88" s="19">
        <v>45574</v>
      </c>
      <c r="W88" s="142"/>
    </row>
    <row r="89" spans="1:23" ht="16.95" customHeight="1" x14ac:dyDescent="0.3">
      <c r="A89" s="1"/>
      <c r="B89" s="1"/>
      <c r="C89" s="1"/>
      <c r="D89" s="1"/>
      <c r="E89" s="16" t="s">
        <v>127</v>
      </c>
      <c r="F89" s="20" t="s">
        <v>135</v>
      </c>
      <c r="G89" s="16">
        <v>12</v>
      </c>
      <c r="H89" s="16" t="s">
        <v>28</v>
      </c>
      <c r="I89" s="16">
        <v>298</v>
      </c>
      <c r="J89" s="16">
        <f t="shared" si="15"/>
        <v>3576</v>
      </c>
      <c r="K89" s="16"/>
      <c r="L89" s="16"/>
      <c r="M89" s="16"/>
      <c r="N89" s="16"/>
      <c r="O89" s="16">
        <v>12</v>
      </c>
      <c r="P89" s="16">
        <v>298</v>
      </c>
      <c r="Q89" s="16">
        <f t="shared" si="20"/>
        <v>3576</v>
      </c>
      <c r="R89" s="18">
        <v>0</v>
      </c>
      <c r="S89" s="16"/>
      <c r="T89" s="16">
        <f t="shared" si="21"/>
        <v>3576</v>
      </c>
      <c r="U89" s="16" t="s">
        <v>132</v>
      </c>
      <c r="V89" s="19">
        <v>45574</v>
      </c>
      <c r="W89" s="142"/>
    </row>
    <row r="90" spans="1:23" ht="16.95" customHeight="1" x14ac:dyDescent="0.3">
      <c r="A90" s="1"/>
      <c r="B90" s="1"/>
      <c r="C90" s="1"/>
      <c r="D90" s="1"/>
      <c r="E90" s="16" t="s">
        <v>127</v>
      </c>
      <c r="F90" s="20" t="s">
        <v>136</v>
      </c>
      <c r="G90" s="16">
        <v>8</v>
      </c>
      <c r="H90" s="16" t="s">
        <v>28</v>
      </c>
      <c r="I90" s="16">
        <v>200</v>
      </c>
      <c r="J90" s="16">
        <f t="shared" si="15"/>
        <v>1600</v>
      </c>
      <c r="K90" s="16"/>
      <c r="L90" s="16"/>
      <c r="M90" s="16"/>
      <c r="N90" s="16"/>
      <c r="O90" s="16">
        <v>8</v>
      </c>
      <c r="P90" s="16">
        <v>200</v>
      </c>
      <c r="Q90" s="16">
        <f t="shared" si="20"/>
        <v>1600</v>
      </c>
      <c r="R90" s="18">
        <v>0</v>
      </c>
      <c r="S90" s="16"/>
      <c r="T90" s="16">
        <f t="shared" si="21"/>
        <v>1600</v>
      </c>
      <c r="U90" s="16" t="s">
        <v>132</v>
      </c>
      <c r="V90" s="19">
        <v>45574</v>
      </c>
      <c r="W90" s="142"/>
    </row>
    <row r="91" spans="1:23" ht="16.95" customHeight="1" x14ac:dyDescent="0.3">
      <c r="A91" s="1"/>
      <c r="B91" s="1"/>
      <c r="C91" s="1"/>
      <c r="D91" s="1"/>
      <c r="E91" s="16" t="s">
        <v>127</v>
      </c>
      <c r="F91" s="20" t="s">
        <v>137</v>
      </c>
      <c r="G91" s="16">
        <v>10</v>
      </c>
      <c r="H91" s="16" t="s">
        <v>28</v>
      </c>
      <c r="I91" s="16">
        <v>144</v>
      </c>
      <c r="J91" s="16">
        <f t="shared" si="15"/>
        <v>1440</v>
      </c>
      <c r="K91" s="16"/>
      <c r="L91" s="16"/>
      <c r="M91" s="16"/>
      <c r="N91" s="16"/>
      <c r="O91" s="16">
        <v>10</v>
      </c>
      <c r="P91" s="16">
        <v>144</v>
      </c>
      <c r="Q91" s="16">
        <f t="shared" si="20"/>
        <v>1440</v>
      </c>
      <c r="R91" s="18">
        <v>0</v>
      </c>
      <c r="S91" s="16"/>
      <c r="T91" s="16">
        <f t="shared" si="21"/>
        <v>1440</v>
      </c>
      <c r="U91" s="16" t="s">
        <v>132</v>
      </c>
      <c r="V91" s="19">
        <v>45574</v>
      </c>
      <c r="W91" s="142"/>
    </row>
    <row r="92" spans="1:23" ht="16.95" customHeight="1" x14ac:dyDescent="0.3">
      <c r="A92" s="1"/>
      <c r="B92" s="1"/>
      <c r="C92" s="1"/>
      <c r="D92" s="1"/>
      <c r="E92" s="16" t="s">
        <v>127</v>
      </c>
      <c r="F92" s="20" t="s">
        <v>138</v>
      </c>
      <c r="G92" s="16">
        <v>10</v>
      </c>
      <c r="H92" s="16" t="s">
        <v>28</v>
      </c>
      <c r="I92" s="16">
        <v>132</v>
      </c>
      <c r="J92" s="16">
        <f t="shared" si="15"/>
        <v>1320</v>
      </c>
      <c r="K92" s="16"/>
      <c r="L92" s="16"/>
      <c r="M92" s="16"/>
      <c r="N92" s="16"/>
      <c r="O92" s="16">
        <v>10</v>
      </c>
      <c r="P92" s="16">
        <v>132</v>
      </c>
      <c r="Q92" s="16">
        <f t="shared" si="20"/>
        <v>1320</v>
      </c>
      <c r="R92" s="18">
        <v>0</v>
      </c>
      <c r="S92" s="16"/>
      <c r="T92" s="16">
        <f t="shared" si="21"/>
        <v>1320</v>
      </c>
      <c r="U92" s="16" t="s">
        <v>132</v>
      </c>
      <c r="V92" s="19">
        <v>45574</v>
      </c>
      <c r="W92" s="142"/>
    </row>
    <row r="93" spans="1:23" ht="16.95" customHeight="1" x14ac:dyDescent="0.3">
      <c r="A93" s="1"/>
      <c r="B93" s="1"/>
      <c r="C93" s="1"/>
      <c r="D93" s="1"/>
      <c r="E93" s="16" t="s">
        <v>127</v>
      </c>
      <c r="F93" s="17" t="s">
        <v>139</v>
      </c>
      <c r="G93" s="16">
        <v>10</v>
      </c>
      <c r="H93" s="16" t="s">
        <v>28</v>
      </c>
      <c r="I93" s="16">
        <v>174</v>
      </c>
      <c r="J93" s="16">
        <f t="shared" si="15"/>
        <v>1740</v>
      </c>
      <c r="K93" s="16"/>
      <c r="L93" s="16"/>
      <c r="M93" s="16"/>
      <c r="N93" s="16"/>
      <c r="O93" s="16">
        <v>10</v>
      </c>
      <c r="P93" s="16">
        <v>174</v>
      </c>
      <c r="Q93" s="16">
        <f t="shared" si="20"/>
        <v>1740</v>
      </c>
      <c r="R93" s="18">
        <v>0</v>
      </c>
      <c r="S93" s="16"/>
      <c r="T93" s="16">
        <f t="shared" si="21"/>
        <v>1740</v>
      </c>
      <c r="U93" s="16" t="s">
        <v>132</v>
      </c>
      <c r="V93" s="19">
        <v>45574</v>
      </c>
      <c r="W93" s="142"/>
    </row>
    <row r="94" spans="1:23" ht="16.95" customHeight="1" x14ac:dyDescent="0.3">
      <c r="A94" s="1"/>
      <c r="B94" s="1"/>
      <c r="C94" s="1"/>
      <c r="D94" s="1"/>
      <c r="E94" s="16" t="s">
        <v>127</v>
      </c>
      <c r="F94" s="20" t="s">
        <v>140</v>
      </c>
      <c r="G94" s="16">
        <v>15</v>
      </c>
      <c r="H94" s="16" t="s">
        <v>141</v>
      </c>
      <c r="I94" s="16">
        <v>156</v>
      </c>
      <c r="J94" s="16">
        <f t="shared" si="15"/>
        <v>2340</v>
      </c>
      <c r="K94" s="16"/>
      <c r="L94" s="16"/>
      <c r="M94" s="16"/>
      <c r="N94" s="16"/>
      <c r="O94" s="16">
        <v>15</v>
      </c>
      <c r="P94" s="16">
        <v>156</v>
      </c>
      <c r="Q94" s="16">
        <f t="shared" si="20"/>
        <v>2340</v>
      </c>
      <c r="R94" s="18">
        <v>0</v>
      </c>
      <c r="S94" s="16"/>
      <c r="T94" s="16">
        <f t="shared" si="21"/>
        <v>2340</v>
      </c>
      <c r="U94" s="16" t="s">
        <v>142</v>
      </c>
      <c r="V94" s="19">
        <v>45635</v>
      </c>
      <c r="W94" s="142"/>
    </row>
    <row r="95" spans="1:23" ht="16.95" customHeight="1" x14ac:dyDescent="0.3">
      <c r="A95" s="1"/>
      <c r="B95" s="1"/>
      <c r="C95" s="1"/>
      <c r="D95" s="1"/>
      <c r="E95" s="16" t="s">
        <v>127</v>
      </c>
      <c r="F95" s="17" t="s">
        <v>143</v>
      </c>
      <c r="G95" s="16">
        <v>5</v>
      </c>
      <c r="H95" s="16" t="s">
        <v>141</v>
      </c>
      <c r="I95" s="16">
        <v>805</v>
      </c>
      <c r="J95" s="16">
        <f t="shared" si="15"/>
        <v>4025</v>
      </c>
      <c r="K95" s="16"/>
      <c r="L95" s="16"/>
      <c r="M95" s="16"/>
      <c r="N95" s="16"/>
      <c r="O95" s="16">
        <v>5</v>
      </c>
      <c r="P95" s="16">
        <v>805</v>
      </c>
      <c r="Q95" s="16">
        <f t="shared" si="20"/>
        <v>4025</v>
      </c>
      <c r="R95" s="18">
        <v>0</v>
      </c>
      <c r="S95" s="16"/>
      <c r="T95" s="16">
        <f t="shared" si="21"/>
        <v>4025</v>
      </c>
      <c r="U95" s="16" t="s">
        <v>132</v>
      </c>
      <c r="V95" s="19">
        <v>45574</v>
      </c>
      <c r="W95" s="142"/>
    </row>
    <row r="96" spans="1:23" ht="16.95" customHeight="1" x14ac:dyDescent="0.3">
      <c r="A96" s="1"/>
      <c r="B96" s="1"/>
      <c r="C96" s="1"/>
      <c r="D96" s="1"/>
      <c r="E96" s="16" t="s">
        <v>127</v>
      </c>
      <c r="F96" s="20" t="s">
        <v>144</v>
      </c>
      <c r="G96" s="16">
        <v>50</v>
      </c>
      <c r="H96" s="16" t="s">
        <v>28</v>
      </c>
      <c r="I96" s="16">
        <v>2534</v>
      </c>
      <c r="J96" s="16">
        <f t="shared" si="15"/>
        <v>126700</v>
      </c>
      <c r="K96" s="16"/>
      <c r="L96" s="16"/>
      <c r="M96" s="16"/>
      <c r="N96" s="16"/>
      <c r="O96" s="16">
        <v>50</v>
      </c>
      <c r="P96" s="16">
        <v>2534</v>
      </c>
      <c r="Q96" s="16">
        <f t="shared" si="20"/>
        <v>126700</v>
      </c>
      <c r="R96" s="18">
        <v>0</v>
      </c>
      <c r="S96" s="16"/>
      <c r="T96" s="16">
        <f t="shared" si="21"/>
        <v>126700</v>
      </c>
      <c r="U96" s="16" t="s">
        <v>129</v>
      </c>
      <c r="V96" s="19" t="s">
        <v>130</v>
      </c>
      <c r="W96" s="142"/>
    </row>
    <row r="97" spans="1:23" x14ac:dyDescent="0.3">
      <c r="A97" s="207" t="s">
        <v>39</v>
      </c>
      <c r="B97" s="208"/>
      <c r="C97" s="208"/>
      <c r="D97" s="208"/>
      <c r="E97" s="208"/>
      <c r="F97" s="208"/>
      <c r="G97" s="208"/>
      <c r="H97" s="208"/>
      <c r="I97" s="209"/>
      <c r="J97" s="133">
        <f>SUM(J84:J96)</f>
        <v>354000</v>
      </c>
      <c r="K97" s="1"/>
      <c r="L97" s="1"/>
      <c r="M97" s="1"/>
      <c r="N97" s="1"/>
      <c r="O97" s="1"/>
      <c r="P97" s="1"/>
      <c r="Q97" s="1"/>
      <c r="R97" s="1"/>
      <c r="S97" s="1"/>
      <c r="T97" s="1"/>
      <c r="U97" s="1"/>
      <c r="V97" s="1"/>
      <c r="W97" s="142"/>
    </row>
    <row r="98" spans="1:23" x14ac:dyDescent="0.3">
      <c r="A98" s="207" t="s">
        <v>82</v>
      </c>
      <c r="B98" s="208"/>
      <c r="C98" s="208"/>
      <c r="D98" s="208"/>
      <c r="E98" s="208"/>
      <c r="F98" s="208"/>
      <c r="G98" s="208"/>
      <c r="H98" s="208"/>
      <c r="I98" s="209"/>
      <c r="J98" s="133">
        <f t="shared" si="15"/>
        <v>0</v>
      </c>
      <c r="K98" s="1"/>
      <c r="L98" s="1"/>
      <c r="M98" s="1"/>
      <c r="N98" s="8"/>
      <c r="O98" s="8"/>
      <c r="P98" s="8"/>
      <c r="Q98" s="8"/>
      <c r="R98" s="8"/>
      <c r="S98" s="8"/>
      <c r="T98" s="8"/>
      <c r="U98" s="8"/>
      <c r="V98" s="8"/>
      <c r="W98" s="142"/>
    </row>
    <row r="99" spans="1:23" x14ac:dyDescent="0.3">
      <c r="A99" s="207" t="s">
        <v>41</v>
      </c>
      <c r="B99" s="208"/>
      <c r="C99" s="208"/>
      <c r="D99" s="208"/>
      <c r="E99" s="208"/>
      <c r="F99" s="208"/>
      <c r="G99" s="208"/>
      <c r="H99" s="208"/>
      <c r="I99" s="209"/>
      <c r="J99" s="133">
        <f>SUM(J97:J98)</f>
        <v>354000</v>
      </c>
      <c r="K99" s="1"/>
      <c r="L99" s="1"/>
      <c r="M99" s="1"/>
      <c r="N99" s="8"/>
      <c r="O99" s="8"/>
      <c r="P99" s="8"/>
      <c r="Q99" s="8"/>
      <c r="R99" s="8"/>
      <c r="S99" s="8"/>
      <c r="T99" s="8">
        <f>SUM(T84:T98)</f>
        <v>354000</v>
      </c>
      <c r="U99" s="8"/>
      <c r="V99" s="8"/>
      <c r="W99" s="142"/>
    </row>
    <row r="100" spans="1:23" x14ac:dyDescent="0.3">
      <c r="A100" s="62"/>
      <c r="B100" s="8"/>
      <c r="C100" s="8"/>
      <c r="D100" s="8"/>
      <c r="E100" s="8"/>
      <c r="F100" s="8"/>
      <c r="G100" s="8"/>
      <c r="H100" s="8"/>
      <c r="I100" s="8"/>
      <c r="J100" s="1"/>
      <c r="K100" s="1"/>
      <c r="L100" s="1"/>
      <c r="M100" s="1"/>
      <c r="N100" s="8"/>
      <c r="O100" s="8"/>
      <c r="P100" s="8"/>
      <c r="Q100" s="8"/>
      <c r="R100" s="8"/>
      <c r="S100" s="8"/>
      <c r="T100" s="8"/>
      <c r="U100" s="8"/>
      <c r="V100" s="8"/>
      <c r="W100" s="142"/>
    </row>
    <row r="101" spans="1:23" ht="25.2" x14ac:dyDescent="0.25">
      <c r="A101" s="84">
        <v>9</v>
      </c>
      <c r="B101" s="54" t="s">
        <v>145</v>
      </c>
      <c r="C101" s="19">
        <v>45420</v>
      </c>
      <c r="D101" s="55" t="s">
        <v>146</v>
      </c>
      <c r="E101" s="55"/>
      <c r="F101" s="39" t="s">
        <v>147</v>
      </c>
      <c r="G101" s="55">
        <v>2</v>
      </c>
      <c r="H101" s="55" t="s">
        <v>28</v>
      </c>
      <c r="I101" s="55">
        <v>78473.62</v>
      </c>
      <c r="J101" s="16">
        <f>G101*I101</f>
        <v>156947.24</v>
      </c>
      <c r="K101" s="16"/>
      <c r="L101" s="16"/>
      <c r="M101" s="16"/>
      <c r="N101" s="55"/>
      <c r="O101" s="55">
        <v>2</v>
      </c>
      <c r="P101" s="55">
        <v>78473.62</v>
      </c>
      <c r="Q101" s="55">
        <f>O101*P101</f>
        <v>156947.24</v>
      </c>
      <c r="R101" s="18">
        <v>0.18</v>
      </c>
      <c r="S101" s="55">
        <f>Q101*R101</f>
        <v>28250.503199999996</v>
      </c>
      <c r="T101" s="55">
        <f>Q101+S101</f>
        <v>185197.7432</v>
      </c>
      <c r="U101" s="16" t="s">
        <v>148</v>
      </c>
      <c r="V101" s="19" t="s">
        <v>149</v>
      </c>
      <c r="W101" s="142"/>
    </row>
    <row r="102" spans="1:23" x14ac:dyDescent="0.3">
      <c r="A102" s="1"/>
      <c r="B102" s="2"/>
      <c r="C102" s="2"/>
      <c r="D102" s="2"/>
      <c r="E102" s="2"/>
      <c r="F102" s="16" t="s">
        <v>150</v>
      </c>
      <c r="G102" s="55">
        <v>2</v>
      </c>
      <c r="H102" s="55" t="s">
        <v>87</v>
      </c>
      <c r="I102" s="55">
        <v>27937.7</v>
      </c>
      <c r="J102" s="16">
        <f t="shared" ref="J102:J103" si="22">G102*I102</f>
        <v>55875.4</v>
      </c>
      <c r="K102" s="16"/>
      <c r="L102" s="16"/>
      <c r="M102" s="16"/>
      <c r="N102" s="55"/>
      <c r="O102" s="55">
        <v>2</v>
      </c>
      <c r="P102" s="55">
        <v>27937.7</v>
      </c>
      <c r="Q102" s="55">
        <f t="shared" ref="Q102:Q103" si="23">O102*P102</f>
        <v>55875.4</v>
      </c>
      <c r="R102" s="18">
        <v>0.18</v>
      </c>
      <c r="S102" s="55">
        <f t="shared" ref="S102:S103" si="24">Q102*R102</f>
        <v>10057.572</v>
      </c>
      <c r="T102" s="55">
        <f t="shared" ref="T102:T103" si="25">Q102+S102</f>
        <v>65932.972000000009</v>
      </c>
      <c r="U102" s="16" t="s">
        <v>151</v>
      </c>
      <c r="V102" s="19" t="s">
        <v>152</v>
      </c>
      <c r="W102" s="142"/>
    </row>
    <row r="103" spans="1:23" x14ac:dyDescent="0.3">
      <c r="A103" s="1"/>
      <c r="B103" s="2"/>
      <c r="C103" s="2"/>
      <c r="D103" s="2"/>
      <c r="E103" s="2"/>
      <c r="F103" s="16" t="s">
        <v>153</v>
      </c>
      <c r="G103" s="55">
        <v>1</v>
      </c>
      <c r="H103" s="55" t="s">
        <v>87</v>
      </c>
      <c r="I103" s="55">
        <v>21633.07</v>
      </c>
      <c r="J103" s="16">
        <f t="shared" si="22"/>
        <v>21633.07</v>
      </c>
      <c r="K103" s="16"/>
      <c r="L103" s="16"/>
      <c r="M103" s="16"/>
      <c r="N103" s="55"/>
      <c r="O103" s="55">
        <v>1</v>
      </c>
      <c r="P103" s="55">
        <v>21633.07</v>
      </c>
      <c r="Q103" s="55">
        <f t="shared" si="23"/>
        <v>21633.07</v>
      </c>
      <c r="R103" s="18">
        <v>0.18</v>
      </c>
      <c r="S103" s="55">
        <f t="shared" si="24"/>
        <v>3893.9525999999996</v>
      </c>
      <c r="T103" s="55">
        <f t="shared" si="25"/>
        <v>25527.0226</v>
      </c>
      <c r="U103" s="16" t="s">
        <v>151</v>
      </c>
      <c r="V103" s="19" t="s">
        <v>152</v>
      </c>
      <c r="W103" s="142"/>
    </row>
    <row r="104" spans="1:23" x14ac:dyDescent="0.3">
      <c r="A104" s="62"/>
      <c r="B104" s="8"/>
      <c r="C104" s="8"/>
      <c r="D104" s="8"/>
      <c r="E104" s="8"/>
      <c r="F104" s="8"/>
      <c r="G104" s="8"/>
      <c r="H104" s="8"/>
      <c r="I104" s="8"/>
      <c r="J104" s="1"/>
      <c r="K104" s="1"/>
      <c r="L104" s="1"/>
      <c r="M104" s="1"/>
      <c r="N104" s="8"/>
      <c r="O104" s="8"/>
      <c r="P104" s="8"/>
      <c r="Q104" s="8"/>
      <c r="R104" s="8"/>
      <c r="S104" s="8"/>
      <c r="T104" s="8"/>
      <c r="U104" s="8"/>
      <c r="V104" s="8"/>
      <c r="W104" s="142"/>
    </row>
    <row r="105" spans="1:23" x14ac:dyDescent="0.3">
      <c r="A105" s="62"/>
      <c r="B105" s="8"/>
      <c r="C105" s="8"/>
      <c r="D105" s="8"/>
      <c r="E105" s="8"/>
      <c r="F105" s="8"/>
      <c r="G105" s="8"/>
      <c r="H105" s="8"/>
      <c r="I105" s="8"/>
      <c r="J105" s="1">
        <f>SUM(J101:J104)</f>
        <v>234455.71</v>
      </c>
      <c r="K105" s="1"/>
      <c r="L105" s="1"/>
      <c r="M105" s="1"/>
      <c r="N105" s="8"/>
      <c r="O105" s="8"/>
      <c r="P105" s="8"/>
      <c r="Q105" s="8"/>
      <c r="R105" s="8"/>
      <c r="S105" s="8"/>
      <c r="T105" s="8"/>
      <c r="U105" s="8"/>
      <c r="V105" s="8"/>
      <c r="W105" s="142"/>
    </row>
    <row r="106" spans="1:23" x14ac:dyDescent="0.3">
      <c r="A106" s="207" t="s">
        <v>39</v>
      </c>
      <c r="B106" s="208"/>
      <c r="C106" s="208"/>
      <c r="D106" s="208"/>
      <c r="E106" s="208"/>
      <c r="F106" s="208"/>
      <c r="G106" s="208"/>
      <c r="H106" s="208"/>
      <c r="I106" s="209"/>
      <c r="J106" s="1">
        <f>J105*18/100</f>
        <v>42202.027800000003</v>
      </c>
      <c r="K106" s="1"/>
      <c r="L106" s="1"/>
      <c r="M106" s="1"/>
      <c r="N106" s="8"/>
      <c r="O106" s="8"/>
      <c r="P106" s="8"/>
      <c r="Q106" s="8"/>
      <c r="R106" s="8"/>
      <c r="S106" s="8"/>
      <c r="T106" s="8"/>
      <c r="U106" s="8"/>
      <c r="V106" s="8"/>
      <c r="W106" s="142"/>
    </row>
    <row r="107" spans="1:23" x14ac:dyDescent="0.3">
      <c r="A107" s="207" t="s">
        <v>82</v>
      </c>
      <c r="B107" s="208"/>
      <c r="C107" s="208"/>
      <c r="D107" s="208"/>
      <c r="E107" s="208"/>
      <c r="F107" s="208"/>
      <c r="G107" s="208"/>
      <c r="H107" s="208"/>
      <c r="I107" s="209"/>
      <c r="J107" s="1"/>
      <c r="K107" s="1"/>
      <c r="L107" s="1"/>
      <c r="M107" s="1"/>
      <c r="N107" s="8"/>
      <c r="O107" s="8"/>
      <c r="P107" s="8"/>
      <c r="Q107" s="8"/>
      <c r="R107" s="8"/>
      <c r="S107" s="8"/>
      <c r="T107" s="8">
        <f>SUM(T101:T106)</f>
        <v>276657.7378</v>
      </c>
      <c r="U107" s="8"/>
      <c r="V107" s="8"/>
      <c r="W107" s="142"/>
    </row>
    <row r="108" spans="1:23" x14ac:dyDescent="0.3">
      <c r="A108" s="207" t="s">
        <v>41</v>
      </c>
      <c r="B108" s="208"/>
      <c r="C108" s="208"/>
      <c r="D108" s="208"/>
      <c r="E108" s="208"/>
      <c r="F108" s="208"/>
      <c r="G108" s="208"/>
      <c r="H108" s="208"/>
      <c r="I108" s="209"/>
      <c r="J108" s="1">
        <f>SUM(J105:J107)</f>
        <v>276657.7378</v>
      </c>
      <c r="K108" s="1"/>
      <c r="L108" s="1"/>
      <c r="M108" s="1"/>
      <c r="N108" s="8"/>
      <c r="O108" s="8"/>
      <c r="P108" s="8"/>
      <c r="Q108" s="8"/>
      <c r="R108" s="8"/>
      <c r="S108" s="8"/>
      <c r="T108" s="8"/>
      <c r="U108" s="8"/>
      <c r="V108" s="8"/>
      <c r="W108" s="142"/>
    </row>
    <row r="109" spans="1:23" x14ac:dyDescent="0.3">
      <c r="A109" s="62"/>
      <c r="B109" s="8"/>
      <c r="C109" s="8"/>
      <c r="D109" s="8"/>
      <c r="E109" s="8"/>
      <c r="F109" s="8"/>
      <c r="G109" s="8"/>
      <c r="H109" s="8"/>
      <c r="I109" s="8"/>
      <c r="J109" s="1"/>
      <c r="K109" s="1"/>
      <c r="L109" s="1"/>
      <c r="M109" s="1"/>
      <c r="N109" s="8"/>
      <c r="O109" s="8"/>
      <c r="P109" s="8"/>
      <c r="Q109" s="8"/>
      <c r="R109" s="8"/>
      <c r="S109" s="8"/>
      <c r="T109" s="8"/>
      <c r="U109" s="8"/>
      <c r="V109" s="8"/>
      <c r="W109" s="142"/>
    </row>
    <row r="110" spans="1:23" ht="60" x14ac:dyDescent="0.3">
      <c r="A110" s="21">
        <v>10</v>
      </c>
      <c r="B110" s="25">
        <v>8100014093</v>
      </c>
      <c r="C110" s="23">
        <v>45512</v>
      </c>
      <c r="D110" s="24" t="s">
        <v>154</v>
      </c>
      <c r="E110" s="56" t="s">
        <v>123</v>
      </c>
      <c r="F110" s="56" t="s">
        <v>155</v>
      </c>
      <c r="G110" s="30">
        <v>100</v>
      </c>
      <c r="H110" s="30" t="s">
        <v>156</v>
      </c>
      <c r="I110" s="30">
        <v>1725</v>
      </c>
      <c r="J110" s="30">
        <f>G110*I110</f>
        <v>172500</v>
      </c>
      <c r="K110" s="30">
        <v>28</v>
      </c>
      <c r="L110" s="30" t="s">
        <v>156</v>
      </c>
      <c r="M110" s="30" t="s">
        <v>91</v>
      </c>
      <c r="N110" s="43" t="s">
        <v>157</v>
      </c>
      <c r="O110" s="30">
        <v>28</v>
      </c>
      <c r="P110" s="30">
        <v>1725</v>
      </c>
      <c r="Q110" s="30">
        <f>O110*P110</f>
        <v>48300</v>
      </c>
      <c r="R110" s="52">
        <v>0.18</v>
      </c>
      <c r="S110" s="30">
        <f>Q110*R110</f>
        <v>8694</v>
      </c>
      <c r="T110" s="30">
        <f>Q110+S110</f>
        <v>56994</v>
      </c>
      <c r="U110" s="16" t="s">
        <v>158</v>
      </c>
      <c r="V110" s="19" t="s">
        <v>159</v>
      </c>
      <c r="W110" s="142"/>
    </row>
    <row r="111" spans="1:23" x14ac:dyDescent="0.3">
      <c r="A111" s="21"/>
      <c r="B111" s="21">
        <v>8100014093</v>
      </c>
      <c r="C111" s="21" t="s">
        <v>160</v>
      </c>
      <c r="D111" s="21" t="s">
        <v>161</v>
      </c>
      <c r="E111" s="30" t="s">
        <v>123</v>
      </c>
      <c r="F111" s="56" t="s">
        <v>162</v>
      </c>
      <c r="G111" s="30">
        <v>100</v>
      </c>
      <c r="H111" s="30" t="s">
        <v>156</v>
      </c>
      <c r="I111" s="30">
        <v>575</v>
      </c>
      <c r="J111" s="30">
        <f t="shared" ref="J111:J128" si="26">G111*I111</f>
        <v>57500</v>
      </c>
      <c r="K111" s="30"/>
      <c r="L111" s="30"/>
      <c r="M111" s="30"/>
      <c r="N111" s="43"/>
      <c r="O111" s="30">
        <v>28</v>
      </c>
      <c r="P111" s="30">
        <v>575</v>
      </c>
      <c r="Q111" s="30">
        <f t="shared" ref="Q111:Q128" si="27">O111*P111</f>
        <v>16100</v>
      </c>
      <c r="R111" s="52">
        <v>0.18</v>
      </c>
      <c r="S111" s="30">
        <f t="shared" ref="S111:S128" si="28">Q111*R111</f>
        <v>2898</v>
      </c>
      <c r="T111" s="30">
        <f t="shared" ref="T111:T128" si="29">Q111+S111</f>
        <v>18998</v>
      </c>
      <c r="U111" s="16" t="s">
        <v>158</v>
      </c>
      <c r="V111" s="19" t="s">
        <v>159</v>
      </c>
      <c r="W111" s="142"/>
    </row>
    <row r="112" spans="1:23" ht="24" x14ac:dyDescent="0.3">
      <c r="A112" s="21"/>
      <c r="B112" s="21"/>
      <c r="C112" s="21"/>
      <c r="D112" s="21"/>
      <c r="E112" s="30" t="s">
        <v>123</v>
      </c>
      <c r="F112" s="56" t="s">
        <v>163</v>
      </c>
      <c r="G112" s="30">
        <v>100</v>
      </c>
      <c r="H112" s="30" t="s">
        <v>60</v>
      </c>
      <c r="I112" s="30">
        <v>57</v>
      </c>
      <c r="J112" s="30">
        <f t="shared" si="26"/>
        <v>5700</v>
      </c>
      <c r="K112" s="30"/>
      <c r="L112" s="30"/>
      <c r="M112" s="30"/>
      <c r="N112" s="43"/>
      <c r="O112" s="30">
        <v>46.5</v>
      </c>
      <c r="P112" s="30">
        <v>57</v>
      </c>
      <c r="Q112" s="30">
        <f t="shared" si="27"/>
        <v>2650.5</v>
      </c>
      <c r="R112" s="52">
        <v>0.18</v>
      </c>
      <c r="S112" s="30">
        <f t="shared" si="28"/>
        <v>477.09</v>
      </c>
      <c r="T112" s="30">
        <f t="shared" si="29"/>
        <v>3127.59</v>
      </c>
      <c r="U112" s="16" t="s">
        <v>158</v>
      </c>
      <c r="V112" s="19" t="s">
        <v>159</v>
      </c>
      <c r="W112" s="142"/>
    </row>
    <row r="113" spans="1:23" ht="24" x14ac:dyDescent="0.3">
      <c r="A113" s="21"/>
      <c r="B113" s="21"/>
      <c r="C113" s="21"/>
      <c r="D113" s="21"/>
      <c r="E113" s="115" t="s">
        <v>123</v>
      </c>
      <c r="F113" s="116" t="s">
        <v>164</v>
      </c>
      <c r="G113" s="115">
        <v>1</v>
      </c>
      <c r="H113" s="115" t="s">
        <v>87</v>
      </c>
      <c r="I113" s="115">
        <v>9500</v>
      </c>
      <c r="J113" s="115">
        <f t="shared" si="26"/>
        <v>9500</v>
      </c>
      <c r="K113" s="115"/>
      <c r="L113" s="115"/>
      <c r="M113" s="115"/>
      <c r="N113" s="117"/>
      <c r="O113" s="115"/>
      <c r="P113" s="115">
        <v>9500</v>
      </c>
      <c r="Q113" s="115">
        <f t="shared" si="27"/>
        <v>0</v>
      </c>
      <c r="R113" s="118">
        <v>0.18</v>
      </c>
      <c r="S113" s="115">
        <f t="shared" si="28"/>
        <v>0</v>
      </c>
      <c r="T113" s="115">
        <f t="shared" si="29"/>
        <v>0</v>
      </c>
      <c r="U113" s="85"/>
      <c r="V113" s="94"/>
      <c r="W113" s="142"/>
    </row>
    <row r="114" spans="1:23" ht="36" x14ac:dyDescent="0.3">
      <c r="A114" s="21"/>
      <c r="B114" s="21"/>
      <c r="C114" s="21"/>
      <c r="D114" s="21"/>
      <c r="E114" s="115" t="s">
        <v>123</v>
      </c>
      <c r="F114" s="116" t="s">
        <v>165</v>
      </c>
      <c r="G114" s="115">
        <v>1</v>
      </c>
      <c r="H114" s="115" t="s">
        <v>87</v>
      </c>
      <c r="I114" s="115">
        <v>11500</v>
      </c>
      <c r="J114" s="115">
        <f t="shared" si="26"/>
        <v>11500</v>
      </c>
      <c r="K114" s="115"/>
      <c r="L114" s="115"/>
      <c r="M114" s="115"/>
      <c r="N114" s="117"/>
      <c r="O114" s="115"/>
      <c r="P114" s="115">
        <v>11500</v>
      </c>
      <c r="Q114" s="115">
        <f t="shared" si="27"/>
        <v>0</v>
      </c>
      <c r="R114" s="118">
        <v>0.18</v>
      </c>
      <c r="S114" s="115">
        <f t="shared" si="28"/>
        <v>0</v>
      </c>
      <c r="T114" s="115">
        <f t="shared" si="29"/>
        <v>0</v>
      </c>
      <c r="U114" s="85"/>
      <c r="V114" s="94"/>
      <c r="W114" s="142"/>
    </row>
    <row r="115" spans="1:23" x14ac:dyDescent="0.3">
      <c r="A115" s="21"/>
      <c r="B115" s="21"/>
      <c r="C115" s="21"/>
      <c r="D115" s="21"/>
      <c r="E115" s="30" t="s">
        <v>123</v>
      </c>
      <c r="F115" s="30" t="s">
        <v>166</v>
      </c>
      <c r="G115" s="30">
        <v>1</v>
      </c>
      <c r="H115" s="30" t="s">
        <v>87</v>
      </c>
      <c r="I115" s="30">
        <v>23000</v>
      </c>
      <c r="J115" s="30">
        <f t="shared" si="26"/>
        <v>23000</v>
      </c>
      <c r="K115" s="30"/>
      <c r="L115" s="30"/>
      <c r="M115" s="30"/>
      <c r="N115" s="43"/>
      <c r="O115" s="30">
        <v>1</v>
      </c>
      <c r="P115" s="30">
        <v>23000</v>
      </c>
      <c r="Q115" s="30">
        <f t="shared" si="27"/>
        <v>23000</v>
      </c>
      <c r="R115" s="52">
        <v>0.18</v>
      </c>
      <c r="S115" s="30">
        <f t="shared" si="28"/>
        <v>4140</v>
      </c>
      <c r="T115" s="30">
        <f t="shared" si="29"/>
        <v>27140</v>
      </c>
      <c r="U115" s="16" t="s">
        <v>158</v>
      </c>
      <c r="V115" s="19" t="s">
        <v>159</v>
      </c>
      <c r="W115" s="142"/>
    </row>
    <row r="116" spans="1:23" x14ac:dyDescent="0.3">
      <c r="A116" s="21"/>
      <c r="B116" s="21"/>
      <c r="C116" s="21"/>
      <c r="D116" s="21"/>
      <c r="E116" s="30" t="s">
        <v>123</v>
      </c>
      <c r="F116" s="30" t="s">
        <v>167</v>
      </c>
      <c r="G116" s="30">
        <v>1</v>
      </c>
      <c r="H116" s="30" t="s">
        <v>87</v>
      </c>
      <c r="I116" s="30">
        <v>5000</v>
      </c>
      <c r="J116" s="30">
        <f t="shared" si="26"/>
        <v>5000</v>
      </c>
      <c r="K116" s="30"/>
      <c r="L116" s="30"/>
      <c r="M116" s="30"/>
      <c r="N116" s="43"/>
      <c r="O116" s="30">
        <v>1</v>
      </c>
      <c r="P116" s="30">
        <v>5000</v>
      </c>
      <c r="Q116" s="30">
        <f t="shared" si="27"/>
        <v>5000</v>
      </c>
      <c r="R116" s="52">
        <v>0.18</v>
      </c>
      <c r="S116" s="30">
        <f t="shared" si="28"/>
        <v>900</v>
      </c>
      <c r="T116" s="30">
        <f t="shared" si="29"/>
        <v>5900</v>
      </c>
      <c r="U116" s="16" t="s">
        <v>158</v>
      </c>
      <c r="V116" s="19" t="s">
        <v>159</v>
      </c>
      <c r="W116" s="142"/>
    </row>
    <row r="117" spans="1:23" x14ac:dyDescent="0.3">
      <c r="A117" s="21"/>
      <c r="B117" s="21"/>
      <c r="C117" s="21"/>
      <c r="D117" s="21"/>
      <c r="E117" s="30" t="s">
        <v>123</v>
      </c>
      <c r="F117" s="30" t="s">
        <v>168</v>
      </c>
      <c r="G117" s="30">
        <v>1</v>
      </c>
      <c r="H117" s="30" t="s">
        <v>28</v>
      </c>
      <c r="I117" s="30">
        <v>8141</v>
      </c>
      <c r="J117" s="30">
        <f t="shared" si="26"/>
        <v>8141</v>
      </c>
      <c r="K117" s="30">
        <v>1</v>
      </c>
      <c r="L117" s="30" t="s">
        <v>28</v>
      </c>
      <c r="M117" s="30" t="s">
        <v>91</v>
      </c>
      <c r="N117" s="43" t="s">
        <v>169</v>
      </c>
      <c r="O117" s="30">
        <v>1</v>
      </c>
      <c r="P117" s="30">
        <v>8141</v>
      </c>
      <c r="Q117" s="30">
        <f t="shared" si="27"/>
        <v>8141</v>
      </c>
      <c r="R117" s="52">
        <v>0.18</v>
      </c>
      <c r="S117" s="30">
        <f t="shared" si="28"/>
        <v>1465.3799999999999</v>
      </c>
      <c r="T117" s="30">
        <f t="shared" si="29"/>
        <v>9606.3799999999992</v>
      </c>
      <c r="U117" s="16" t="s">
        <v>158</v>
      </c>
      <c r="V117" s="19" t="s">
        <v>159</v>
      </c>
      <c r="W117" s="142"/>
    </row>
    <row r="118" spans="1:23" ht="36" x14ac:dyDescent="0.3">
      <c r="A118" s="21"/>
      <c r="B118" s="21"/>
      <c r="C118" s="21"/>
      <c r="D118" s="21"/>
      <c r="E118" s="30" t="s">
        <v>123</v>
      </c>
      <c r="F118" s="56" t="s">
        <v>170</v>
      </c>
      <c r="G118" s="30">
        <v>1</v>
      </c>
      <c r="H118" s="30" t="s">
        <v>87</v>
      </c>
      <c r="I118" s="30">
        <v>17550</v>
      </c>
      <c r="J118" s="30">
        <f t="shared" si="26"/>
        <v>17550</v>
      </c>
      <c r="K118" s="30"/>
      <c r="L118" s="30"/>
      <c r="M118" s="30"/>
      <c r="N118" s="43"/>
      <c r="O118" s="30">
        <v>1</v>
      </c>
      <c r="P118" s="30">
        <v>17550</v>
      </c>
      <c r="Q118" s="30">
        <f t="shared" si="27"/>
        <v>17550</v>
      </c>
      <c r="R118" s="52">
        <v>0.18</v>
      </c>
      <c r="S118" s="30">
        <f t="shared" si="28"/>
        <v>3159</v>
      </c>
      <c r="T118" s="30">
        <f t="shared" si="29"/>
        <v>20709</v>
      </c>
      <c r="U118" s="16" t="s">
        <v>158</v>
      </c>
      <c r="V118" s="19" t="s">
        <v>159</v>
      </c>
      <c r="W118" s="142"/>
    </row>
    <row r="119" spans="1:23" ht="24" x14ac:dyDescent="0.3">
      <c r="A119" s="21"/>
      <c r="B119" s="21"/>
      <c r="C119" s="21"/>
      <c r="D119" s="21"/>
      <c r="E119" s="30" t="s">
        <v>123</v>
      </c>
      <c r="F119" s="56" t="s">
        <v>171</v>
      </c>
      <c r="G119" s="30">
        <v>12</v>
      </c>
      <c r="H119" s="30" t="s">
        <v>87</v>
      </c>
      <c r="I119" s="30">
        <v>3450</v>
      </c>
      <c r="J119" s="30">
        <f t="shared" si="26"/>
        <v>41400</v>
      </c>
      <c r="K119" s="30"/>
      <c r="L119" s="30"/>
      <c r="M119" s="30"/>
      <c r="N119" s="43"/>
      <c r="O119" s="30">
        <v>12</v>
      </c>
      <c r="P119" s="30">
        <v>3450</v>
      </c>
      <c r="Q119" s="30">
        <f t="shared" si="27"/>
        <v>41400</v>
      </c>
      <c r="R119" s="52">
        <v>0.18</v>
      </c>
      <c r="S119" s="30">
        <f t="shared" si="28"/>
        <v>7452</v>
      </c>
      <c r="T119" s="30">
        <f t="shared" si="29"/>
        <v>48852</v>
      </c>
      <c r="U119" s="16" t="s">
        <v>158</v>
      </c>
      <c r="V119" s="19" t="s">
        <v>159</v>
      </c>
      <c r="W119" s="142"/>
    </row>
    <row r="120" spans="1:23" ht="36" x14ac:dyDescent="0.3">
      <c r="A120" s="21"/>
      <c r="B120" s="21"/>
      <c r="C120" s="21"/>
      <c r="D120" s="21"/>
      <c r="E120" s="30" t="s">
        <v>123</v>
      </c>
      <c r="F120" s="56" t="s">
        <v>172</v>
      </c>
      <c r="G120" s="30">
        <v>20</v>
      </c>
      <c r="H120" s="30" t="s">
        <v>87</v>
      </c>
      <c r="I120" s="30">
        <v>445</v>
      </c>
      <c r="J120" s="30">
        <f t="shared" si="26"/>
        <v>8900</v>
      </c>
      <c r="K120" s="30"/>
      <c r="L120" s="30"/>
      <c r="M120" s="30"/>
      <c r="N120" s="43"/>
      <c r="O120" s="30">
        <v>17.5</v>
      </c>
      <c r="P120" s="30">
        <v>445</v>
      </c>
      <c r="Q120" s="30">
        <f t="shared" si="27"/>
        <v>7787.5</v>
      </c>
      <c r="R120" s="52">
        <v>0.18</v>
      </c>
      <c r="S120" s="30">
        <f t="shared" si="28"/>
        <v>1401.75</v>
      </c>
      <c r="T120" s="30">
        <f t="shared" si="29"/>
        <v>9189.25</v>
      </c>
      <c r="U120" s="16" t="s">
        <v>158</v>
      </c>
      <c r="V120" s="19" t="s">
        <v>159</v>
      </c>
      <c r="W120" s="142"/>
    </row>
    <row r="121" spans="1:23" ht="24" x14ac:dyDescent="0.3">
      <c r="A121" s="21"/>
      <c r="B121" s="21"/>
      <c r="C121" s="21"/>
      <c r="D121" s="21"/>
      <c r="E121" s="115" t="s">
        <v>123</v>
      </c>
      <c r="F121" s="116" t="s">
        <v>173</v>
      </c>
      <c r="G121" s="115">
        <v>4</v>
      </c>
      <c r="H121" s="115" t="s">
        <v>87</v>
      </c>
      <c r="I121" s="115">
        <v>2800</v>
      </c>
      <c r="J121" s="115">
        <f t="shared" si="26"/>
        <v>11200</v>
      </c>
      <c r="K121" s="115"/>
      <c r="L121" s="115"/>
      <c r="M121" s="115"/>
      <c r="N121" s="117"/>
      <c r="O121" s="115"/>
      <c r="P121" s="115">
        <v>2800</v>
      </c>
      <c r="Q121" s="115">
        <f t="shared" si="27"/>
        <v>0</v>
      </c>
      <c r="R121" s="118">
        <v>0.18</v>
      </c>
      <c r="S121" s="115">
        <f t="shared" si="28"/>
        <v>0</v>
      </c>
      <c r="T121" s="115">
        <f t="shared" si="29"/>
        <v>0</v>
      </c>
      <c r="U121" s="85"/>
      <c r="V121" s="94"/>
      <c r="W121" s="142"/>
    </row>
    <row r="122" spans="1:23" ht="24" x14ac:dyDescent="0.3">
      <c r="A122" s="21"/>
      <c r="B122" s="21"/>
      <c r="C122" s="21"/>
      <c r="D122" s="21"/>
      <c r="E122" s="30" t="s">
        <v>123</v>
      </c>
      <c r="F122" s="56" t="s">
        <v>174</v>
      </c>
      <c r="G122" s="30">
        <v>2</v>
      </c>
      <c r="H122" s="30" t="s">
        <v>87</v>
      </c>
      <c r="I122" s="30">
        <v>11500</v>
      </c>
      <c r="J122" s="30">
        <f t="shared" si="26"/>
        <v>23000</v>
      </c>
      <c r="K122" s="30">
        <v>2</v>
      </c>
      <c r="L122" s="30" t="s">
        <v>28</v>
      </c>
      <c r="M122" s="30" t="s">
        <v>91</v>
      </c>
      <c r="N122" s="43" t="s">
        <v>175</v>
      </c>
      <c r="O122" s="30">
        <v>1</v>
      </c>
      <c r="P122" s="30">
        <v>11500</v>
      </c>
      <c r="Q122" s="30">
        <f t="shared" si="27"/>
        <v>11500</v>
      </c>
      <c r="R122" s="52">
        <v>0.18</v>
      </c>
      <c r="S122" s="30">
        <f t="shared" si="28"/>
        <v>2070</v>
      </c>
      <c r="T122" s="30">
        <f t="shared" si="29"/>
        <v>13570</v>
      </c>
      <c r="U122" s="16" t="s">
        <v>158</v>
      </c>
      <c r="V122" s="19" t="s">
        <v>159</v>
      </c>
      <c r="W122" s="142"/>
    </row>
    <row r="123" spans="1:23" ht="48" x14ac:dyDescent="0.3">
      <c r="A123" s="21"/>
      <c r="B123" s="21"/>
      <c r="C123" s="21"/>
      <c r="D123" s="21"/>
      <c r="E123" s="30" t="s">
        <v>127</v>
      </c>
      <c r="F123" s="56" t="s">
        <v>176</v>
      </c>
      <c r="G123" s="30">
        <v>350</v>
      </c>
      <c r="H123" s="30" t="s">
        <v>60</v>
      </c>
      <c r="I123" s="30">
        <v>940</v>
      </c>
      <c r="J123" s="30">
        <f t="shared" si="26"/>
        <v>329000</v>
      </c>
      <c r="K123" s="30"/>
      <c r="L123" s="30"/>
      <c r="M123" s="30" t="s">
        <v>91</v>
      </c>
      <c r="N123" s="43" t="s">
        <v>177</v>
      </c>
      <c r="O123" s="30">
        <v>335</v>
      </c>
      <c r="P123" s="30">
        <v>940</v>
      </c>
      <c r="Q123" s="30">
        <f t="shared" si="27"/>
        <v>314900</v>
      </c>
      <c r="R123" s="52">
        <v>0.18</v>
      </c>
      <c r="S123" s="30">
        <f t="shared" si="28"/>
        <v>56682</v>
      </c>
      <c r="T123" s="30">
        <f t="shared" si="29"/>
        <v>371582</v>
      </c>
      <c r="U123" s="16" t="s">
        <v>158</v>
      </c>
      <c r="V123" s="19" t="s">
        <v>159</v>
      </c>
      <c r="W123" s="142"/>
    </row>
    <row r="124" spans="1:23" ht="48" x14ac:dyDescent="0.3">
      <c r="A124" s="21"/>
      <c r="B124" s="21"/>
      <c r="C124" s="21"/>
      <c r="D124" s="21"/>
      <c r="E124" s="30" t="s">
        <v>127</v>
      </c>
      <c r="F124" s="56" t="s">
        <v>178</v>
      </c>
      <c r="G124" s="30">
        <v>100</v>
      </c>
      <c r="H124" s="30" t="s">
        <v>60</v>
      </c>
      <c r="I124" s="30">
        <v>405</v>
      </c>
      <c r="J124" s="30">
        <f t="shared" si="26"/>
        <v>40500</v>
      </c>
      <c r="K124" s="30">
        <v>150</v>
      </c>
      <c r="L124" s="30" t="s">
        <v>60</v>
      </c>
      <c r="M124" s="30" t="s">
        <v>91</v>
      </c>
      <c r="N124" s="43" t="s">
        <v>179</v>
      </c>
      <c r="O124" s="30">
        <v>85</v>
      </c>
      <c r="P124" s="30">
        <v>405</v>
      </c>
      <c r="Q124" s="30">
        <f t="shared" si="27"/>
        <v>34425</v>
      </c>
      <c r="R124" s="52">
        <v>0.18</v>
      </c>
      <c r="S124" s="30">
        <f t="shared" si="28"/>
        <v>6196.5</v>
      </c>
      <c r="T124" s="30">
        <f t="shared" si="29"/>
        <v>40621.5</v>
      </c>
      <c r="U124" s="16" t="s">
        <v>158</v>
      </c>
      <c r="V124" s="19" t="s">
        <v>159</v>
      </c>
      <c r="W124" s="142"/>
    </row>
    <row r="125" spans="1:23" ht="72" x14ac:dyDescent="0.3">
      <c r="A125" s="21"/>
      <c r="B125" s="21"/>
      <c r="C125" s="21"/>
      <c r="D125" s="21"/>
      <c r="E125" s="30" t="s">
        <v>127</v>
      </c>
      <c r="F125" s="56" t="s">
        <v>180</v>
      </c>
      <c r="G125" s="30">
        <v>1</v>
      </c>
      <c r="H125" s="30" t="s">
        <v>181</v>
      </c>
      <c r="I125" s="30">
        <v>738705</v>
      </c>
      <c r="J125" s="30">
        <f t="shared" si="26"/>
        <v>738705</v>
      </c>
      <c r="K125" s="30">
        <v>1</v>
      </c>
      <c r="L125" s="30" t="s">
        <v>181</v>
      </c>
      <c r="M125" s="30" t="s">
        <v>91</v>
      </c>
      <c r="N125" s="43" t="s">
        <v>182</v>
      </c>
      <c r="O125" s="30">
        <v>1</v>
      </c>
      <c r="P125" s="30">
        <v>738705</v>
      </c>
      <c r="Q125" s="30">
        <f t="shared" si="27"/>
        <v>738705</v>
      </c>
      <c r="R125" s="52">
        <v>0.18</v>
      </c>
      <c r="S125" s="30">
        <f t="shared" si="28"/>
        <v>132966.9</v>
      </c>
      <c r="T125" s="30">
        <f t="shared" si="29"/>
        <v>871671.9</v>
      </c>
      <c r="U125" s="16" t="s">
        <v>158</v>
      </c>
      <c r="V125" s="19" t="s">
        <v>159</v>
      </c>
      <c r="W125" s="142"/>
    </row>
    <row r="126" spans="1:23" x14ac:dyDescent="0.3">
      <c r="A126" s="21"/>
      <c r="B126" s="21"/>
      <c r="C126" s="21"/>
      <c r="D126" s="21"/>
      <c r="E126" s="30" t="s">
        <v>127</v>
      </c>
      <c r="F126" s="30" t="s">
        <v>183</v>
      </c>
      <c r="G126" s="30">
        <v>1</v>
      </c>
      <c r="H126" s="30" t="s">
        <v>28</v>
      </c>
      <c r="I126" s="30">
        <v>35264</v>
      </c>
      <c r="J126" s="30">
        <f t="shared" si="26"/>
        <v>35264</v>
      </c>
      <c r="K126" s="30">
        <v>1</v>
      </c>
      <c r="L126" s="30" t="s">
        <v>28</v>
      </c>
      <c r="M126" s="30" t="s">
        <v>91</v>
      </c>
      <c r="N126" s="43" t="s">
        <v>182</v>
      </c>
      <c r="O126" s="30">
        <v>1</v>
      </c>
      <c r="P126" s="30">
        <v>35264</v>
      </c>
      <c r="Q126" s="30">
        <f t="shared" si="27"/>
        <v>35264</v>
      </c>
      <c r="R126" s="52">
        <v>0.18</v>
      </c>
      <c r="S126" s="30">
        <f t="shared" si="28"/>
        <v>6347.5199999999995</v>
      </c>
      <c r="T126" s="30">
        <f t="shared" si="29"/>
        <v>41611.519999999997</v>
      </c>
      <c r="U126" s="16" t="s">
        <v>158</v>
      </c>
      <c r="V126" s="19" t="s">
        <v>159</v>
      </c>
      <c r="W126" s="142"/>
    </row>
    <row r="127" spans="1:23" ht="96" x14ac:dyDescent="0.3">
      <c r="A127" s="21"/>
      <c r="B127" s="21"/>
      <c r="C127" s="21"/>
      <c r="D127" s="21"/>
      <c r="E127" s="30" t="s">
        <v>127</v>
      </c>
      <c r="F127" s="56" t="s">
        <v>184</v>
      </c>
      <c r="G127" s="30">
        <v>100</v>
      </c>
      <c r="H127" s="30" t="s">
        <v>60</v>
      </c>
      <c r="I127" s="30">
        <v>410</v>
      </c>
      <c r="J127" s="30">
        <f t="shared" si="26"/>
        <v>41000</v>
      </c>
      <c r="K127" s="30">
        <v>100</v>
      </c>
      <c r="L127" s="30" t="s">
        <v>60</v>
      </c>
      <c r="M127" s="30" t="s">
        <v>91</v>
      </c>
      <c r="N127" s="43" t="s">
        <v>185</v>
      </c>
      <c r="O127" s="30">
        <v>85</v>
      </c>
      <c r="P127" s="30">
        <v>410</v>
      </c>
      <c r="Q127" s="30">
        <f t="shared" si="27"/>
        <v>34850</v>
      </c>
      <c r="R127" s="52">
        <v>0.18</v>
      </c>
      <c r="S127" s="30">
        <f t="shared" si="28"/>
        <v>6273</v>
      </c>
      <c r="T127" s="30">
        <f t="shared" si="29"/>
        <v>41123</v>
      </c>
      <c r="U127" s="16" t="s">
        <v>158</v>
      </c>
      <c r="V127" s="19" t="s">
        <v>159</v>
      </c>
      <c r="W127" s="142"/>
    </row>
    <row r="128" spans="1:23" ht="84" x14ac:dyDescent="0.3">
      <c r="A128" s="21"/>
      <c r="B128" s="21"/>
      <c r="C128" s="21"/>
      <c r="D128" s="21"/>
      <c r="E128" s="30" t="s">
        <v>127</v>
      </c>
      <c r="F128" s="56" t="s">
        <v>186</v>
      </c>
      <c r="G128" s="30">
        <v>20</v>
      </c>
      <c r="H128" s="30" t="s">
        <v>60</v>
      </c>
      <c r="I128" s="30">
        <v>282</v>
      </c>
      <c r="J128" s="30">
        <f t="shared" si="26"/>
        <v>5640</v>
      </c>
      <c r="K128" s="30"/>
      <c r="L128" s="30"/>
      <c r="M128" s="30"/>
      <c r="N128" s="43"/>
      <c r="O128" s="30">
        <v>20</v>
      </c>
      <c r="P128" s="30">
        <v>282</v>
      </c>
      <c r="Q128" s="30">
        <f t="shared" si="27"/>
        <v>5640</v>
      </c>
      <c r="R128" s="52">
        <v>0.18</v>
      </c>
      <c r="S128" s="30">
        <f t="shared" si="28"/>
        <v>1015.1999999999999</v>
      </c>
      <c r="T128" s="30">
        <f t="shared" si="29"/>
        <v>6655.2</v>
      </c>
      <c r="U128" s="16" t="s">
        <v>158</v>
      </c>
      <c r="V128" s="19" t="s">
        <v>159</v>
      </c>
      <c r="W128" s="142"/>
    </row>
    <row r="129" spans="1:23" x14ac:dyDescent="0.3">
      <c r="A129" s="207" t="s">
        <v>39</v>
      </c>
      <c r="B129" s="208"/>
      <c r="C129" s="208"/>
      <c r="D129" s="208"/>
      <c r="E129" s="208"/>
      <c r="F129" s="208"/>
      <c r="G129" s="208"/>
      <c r="H129" s="208"/>
      <c r="I129" s="209"/>
      <c r="J129" s="124">
        <f>SUM(J110:J128)</f>
        <v>1585000</v>
      </c>
      <c r="K129" s="1"/>
      <c r="L129" s="1"/>
      <c r="M129" s="1"/>
      <c r="N129" s="8"/>
      <c r="O129" s="8"/>
      <c r="P129" s="8"/>
      <c r="Q129" s="124">
        <f>SUM(Q110:Q128)</f>
        <v>1345213</v>
      </c>
      <c r="R129" s="8"/>
      <c r="S129" s="8"/>
      <c r="T129" s="8">
        <f>SUM(T110:T128)</f>
        <v>1587351.34</v>
      </c>
      <c r="U129" s="8"/>
      <c r="V129" s="8"/>
      <c r="W129" s="142"/>
    </row>
    <row r="130" spans="1:23" x14ac:dyDescent="0.3">
      <c r="A130" s="207" t="s">
        <v>187</v>
      </c>
      <c r="B130" s="208"/>
      <c r="C130" s="208"/>
      <c r="D130" s="208"/>
      <c r="E130" s="208"/>
      <c r="F130" s="208"/>
      <c r="G130" s="208"/>
      <c r="H130" s="208"/>
      <c r="I130" s="209"/>
      <c r="J130" s="124">
        <f>J129*18/100</f>
        <v>285300</v>
      </c>
      <c r="K130" s="1"/>
      <c r="L130" s="1"/>
      <c r="M130" s="1"/>
      <c r="N130" s="8"/>
      <c r="O130" s="8"/>
      <c r="P130" s="8"/>
      <c r="Q130" s="8"/>
      <c r="R130" s="8"/>
      <c r="S130" s="8"/>
      <c r="T130" s="8"/>
      <c r="U130" s="8"/>
      <c r="V130" s="8"/>
      <c r="W130" s="142"/>
    </row>
    <row r="131" spans="1:23" x14ac:dyDescent="0.3">
      <c r="A131" s="207" t="s">
        <v>41</v>
      </c>
      <c r="B131" s="208"/>
      <c r="C131" s="208"/>
      <c r="D131" s="208"/>
      <c r="E131" s="208"/>
      <c r="F131" s="208"/>
      <c r="G131" s="208"/>
      <c r="H131" s="208"/>
      <c r="I131" s="209"/>
      <c r="J131" s="124">
        <f>SUM(J129:J130)</f>
        <v>1870300</v>
      </c>
      <c r="K131" s="1"/>
      <c r="L131" s="1"/>
      <c r="M131" s="1"/>
      <c r="N131" s="8"/>
      <c r="O131" s="8"/>
      <c r="P131" s="8"/>
      <c r="Q131" s="8"/>
      <c r="R131" s="8"/>
      <c r="S131" s="8"/>
      <c r="T131" s="8"/>
      <c r="U131" s="8"/>
      <c r="V131" s="8"/>
      <c r="W131" s="142"/>
    </row>
    <row r="132" spans="1:23" x14ac:dyDescent="0.3">
      <c r="A132" s="62"/>
      <c r="B132" s="8"/>
      <c r="C132" s="8"/>
      <c r="D132" s="8"/>
      <c r="E132" s="8"/>
      <c r="F132" s="8"/>
      <c r="G132" s="8"/>
      <c r="H132" s="8"/>
      <c r="I132" s="8"/>
      <c r="J132" s="1"/>
      <c r="K132" s="1"/>
      <c r="L132" s="1"/>
      <c r="M132" s="1"/>
      <c r="N132" s="8"/>
      <c r="O132" s="8"/>
      <c r="P132" s="8"/>
      <c r="Q132" s="8"/>
      <c r="R132" s="8"/>
      <c r="S132" s="8"/>
      <c r="T132" s="8"/>
      <c r="U132" s="8"/>
      <c r="V132" s="8"/>
      <c r="W132" s="142"/>
    </row>
    <row r="133" spans="1:23" x14ac:dyDescent="0.3">
      <c r="A133" s="16">
        <v>11</v>
      </c>
      <c r="B133" s="16">
        <v>8600048935</v>
      </c>
      <c r="C133" s="16" t="s">
        <v>188</v>
      </c>
      <c r="D133" s="16" t="s">
        <v>43</v>
      </c>
      <c r="E133" s="16"/>
      <c r="F133" s="16" t="s">
        <v>189</v>
      </c>
      <c r="G133" s="16">
        <v>200</v>
      </c>
      <c r="H133" s="16" t="s">
        <v>28</v>
      </c>
      <c r="I133" s="16">
        <v>940</v>
      </c>
      <c r="J133" s="32">
        <f>G133*I133</f>
        <v>188000</v>
      </c>
      <c r="K133" s="30"/>
      <c r="L133" s="30"/>
      <c r="M133" s="16"/>
      <c r="N133" s="27"/>
      <c r="O133" s="16">
        <v>200</v>
      </c>
      <c r="P133" s="16" t="s">
        <v>190</v>
      </c>
      <c r="Q133" s="16">
        <v>188000</v>
      </c>
      <c r="R133" s="16">
        <v>0</v>
      </c>
      <c r="S133" s="16">
        <v>0</v>
      </c>
      <c r="T133" s="16">
        <f>SUM(Q133:S133)</f>
        <v>188000</v>
      </c>
      <c r="U133" s="16" t="s">
        <v>191</v>
      </c>
      <c r="V133" s="19" t="s">
        <v>192</v>
      </c>
      <c r="W133" s="143"/>
    </row>
    <row r="134" spans="1:23" x14ac:dyDescent="0.3">
      <c r="A134" s="207" t="s">
        <v>39</v>
      </c>
      <c r="B134" s="208"/>
      <c r="C134" s="208"/>
      <c r="D134" s="208"/>
      <c r="E134" s="208"/>
      <c r="F134" s="208"/>
      <c r="G134" s="208"/>
      <c r="H134" s="208"/>
      <c r="I134" s="209"/>
      <c r="J134" s="126"/>
      <c r="K134" s="1"/>
      <c r="L134" s="1"/>
      <c r="M134" s="1"/>
      <c r="N134" s="8"/>
      <c r="O134" s="8"/>
      <c r="P134" s="8"/>
      <c r="Q134" s="8"/>
      <c r="R134" s="8"/>
      <c r="S134" s="8"/>
      <c r="T134" s="8"/>
      <c r="U134" s="8"/>
      <c r="V134" s="8"/>
      <c r="W134" s="142"/>
    </row>
    <row r="135" spans="1:23" x14ac:dyDescent="0.3">
      <c r="A135" s="207" t="s">
        <v>82</v>
      </c>
      <c r="B135" s="208"/>
      <c r="C135" s="208"/>
      <c r="D135" s="208"/>
      <c r="E135" s="208"/>
      <c r="F135" s="208"/>
      <c r="G135" s="208"/>
      <c r="H135" s="208"/>
      <c r="I135" s="209"/>
      <c r="J135" s="126">
        <v>0</v>
      </c>
      <c r="K135" s="1"/>
      <c r="L135" s="1"/>
      <c r="M135" s="1"/>
      <c r="N135" s="8"/>
      <c r="O135" s="8"/>
      <c r="P135" s="8"/>
      <c r="Q135" s="8"/>
      <c r="R135" s="8"/>
      <c r="S135" s="8"/>
      <c r="T135" s="8"/>
      <c r="U135" s="8"/>
      <c r="V135" s="8"/>
      <c r="W135" s="142"/>
    </row>
    <row r="136" spans="1:23" x14ac:dyDescent="0.3">
      <c r="A136" s="207" t="s">
        <v>41</v>
      </c>
      <c r="B136" s="208"/>
      <c r="C136" s="208"/>
      <c r="D136" s="208"/>
      <c r="E136" s="208"/>
      <c r="F136" s="208"/>
      <c r="G136" s="208"/>
      <c r="H136" s="208"/>
      <c r="I136" s="209"/>
      <c r="J136" s="126">
        <f>SUM(J133:J135)</f>
        <v>188000</v>
      </c>
      <c r="K136" s="1"/>
      <c r="L136" s="1"/>
      <c r="M136" s="1"/>
      <c r="N136" s="8"/>
      <c r="O136" s="8"/>
      <c r="P136" s="8"/>
      <c r="Q136" s="8"/>
      <c r="R136" s="8"/>
      <c r="S136" s="8"/>
      <c r="T136" s="8"/>
      <c r="U136" s="8"/>
      <c r="V136" s="8"/>
      <c r="W136" s="142"/>
    </row>
    <row r="137" spans="1:23" x14ac:dyDescent="0.3">
      <c r="A137" s="62"/>
      <c r="B137" s="8"/>
      <c r="C137" s="8"/>
      <c r="D137" s="8"/>
      <c r="E137" s="8"/>
      <c r="F137" s="8"/>
      <c r="G137" s="8"/>
      <c r="H137" s="8"/>
      <c r="I137" s="8"/>
      <c r="J137" s="1"/>
      <c r="K137" s="1"/>
      <c r="L137" s="1"/>
      <c r="M137" s="1"/>
      <c r="N137" s="8"/>
      <c r="O137" s="8"/>
      <c r="P137" s="8"/>
      <c r="Q137" s="8"/>
      <c r="R137" s="8"/>
      <c r="S137" s="8"/>
      <c r="T137" s="8"/>
      <c r="U137" s="8"/>
      <c r="V137" s="8"/>
      <c r="W137" s="142"/>
    </row>
    <row r="138" spans="1:23" x14ac:dyDescent="0.3">
      <c r="A138" s="16">
        <v>12</v>
      </c>
      <c r="B138" s="16">
        <v>8600049005</v>
      </c>
      <c r="C138" s="16" t="s">
        <v>193</v>
      </c>
      <c r="D138" s="16" t="s">
        <v>43</v>
      </c>
      <c r="E138" s="16"/>
      <c r="F138" s="16" t="s">
        <v>189</v>
      </c>
      <c r="G138" s="16">
        <v>500</v>
      </c>
      <c r="H138" s="16" t="s">
        <v>28</v>
      </c>
      <c r="I138" s="16">
        <v>940</v>
      </c>
      <c r="J138" s="33">
        <f>G138*I138</f>
        <v>470000</v>
      </c>
      <c r="K138" s="16"/>
      <c r="L138" s="16"/>
      <c r="M138" s="16"/>
      <c r="N138" s="16"/>
      <c r="O138" s="16">
        <v>100</v>
      </c>
      <c r="P138" s="16">
        <v>940</v>
      </c>
      <c r="Q138" s="16">
        <f>O138*P138</f>
        <v>94000</v>
      </c>
      <c r="R138" s="16">
        <v>18</v>
      </c>
      <c r="S138" s="16">
        <f>Q138*R138/100</f>
        <v>16920</v>
      </c>
      <c r="T138" s="16"/>
      <c r="U138" s="16" t="s">
        <v>194</v>
      </c>
      <c r="V138" s="19" t="s">
        <v>195</v>
      </c>
      <c r="W138" s="142"/>
    </row>
    <row r="139" spans="1:23" x14ac:dyDescent="0.3">
      <c r="A139" s="34"/>
      <c r="B139" s="35"/>
      <c r="C139" s="35"/>
      <c r="D139" s="35"/>
      <c r="E139" s="35"/>
      <c r="F139" s="35"/>
      <c r="G139" s="35"/>
      <c r="H139" s="35"/>
      <c r="I139" s="36"/>
      <c r="J139" s="33"/>
      <c r="K139" s="16"/>
      <c r="L139" s="16"/>
      <c r="M139" s="16"/>
      <c r="N139" s="16"/>
      <c r="O139" s="16">
        <v>400</v>
      </c>
      <c r="P139" s="16">
        <v>940</v>
      </c>
      <c r="Q139" s="16">
        <f>O139*P139</f>
        <v>376000</v>
      </c>
      <c r="R139" s="16">
        <v>18</v>
      </c>
      <c r="S139" s="16">
        <f>Q139*R139/100</f>
        <v>67680</v>
      </c>
      <c r="T139" s="16"/>
      <c r="U139" s="16" t="s">
        <v>196</v>
      </c>
      <c r="V139" s="19">
        <v>45331</v>
      </c>
      <c r="W139" s="142"/>
    </row>
    <row r="140" spans="1:23" x14ac:dyDescent="0.3">
      <c r="A140" s="207" t="s">
        <v>39</v>
      </c>
      <c r="B140" s="208"/>
      <c r="C140" s="208"/>
      <c r="D140" s="208"/>
      <c r="E140" s="208"/>
      <c r="F140" s="208"/>
      <c r="G140" s="208"/>
      <c r="H140" s="208"/>
      <c r="I140" s="209"/>
      <c r="J140" s="126"/>
      <c r="K140" s="1"/>
      <c r="L140" s="1"/>
      <c r="M140" s="1"/>
      <c r="N140" s="8"/>
      <c r="O140" s="8"/>
      <c r="P140" s="8"/>
      <c r="Q140" s="8"/>
      <c r="R140" s="8"/>
      <c r="S140" s="8"/>
      <c r="T140" s="8"/>
      <c r="U140" s="8"/>
      <c r="V140" s="8"/>
      <c r="W140" s="142"/>
    </row>
    <row r="141" spans="1:23" x14ac:dyDescent="0.3">
      <c r="A141" s="207" t="s">
        <v>82</v>
      </c>
      <c r="B141" s="208"/>
      <c r="C141" s="208"/>
      <c r="D141" s="208"/>
      <c r="E141" s="208"/>
      <c r="F141" s="208"/>
      <c r="G141" s="208"/>
      <c r="H141" s="208"/>
      <c r="I141" s="209"/>
      <c r="J141" s="126">
        <f>J138*18/100</f>
        <v>84600</v>
      </c>
      <c r="K141" s="1"/>
      <c r="L141" s="1"/>
      <c r="M141" s="1"/>
      <c r="N141" s="8"/>
      <c r="O141" s="8"/>
      <c r="P141" s="8"/>
      <c r="Q141" s="1">
        <f>Q138*18/100</f>
        <v>16920</v>
      </c>
      <c r="R141" s="8"/>
      <c r="S141" s="8"/>
      <c r="T141" s="8"/>
      <c r="U141" s="8"/>
      <c r="V141" s="8"/>
      <c r="W141" s="142"/>
    </row>
    <row r="142" spans="1:23" x14ac:dyDescent="0.3">
      <c r="A142" s="207" t="s">
        <v>41</v>
      </c>
      <c r="B142" s="208"/>
      <c r="C142" s="208"/>
      <c r="D142" s="208"/>
      <c r="E142" s="208"/>
      <c r="F142" s="208"/>
      <c r="G142" s="208"/>
      <c r="H142" s="208"/>
      <c r="I142" s="209"/>
      <c r="J142" s="126">
        <f>SUM(J138:J141)</f>
        <v>554600</v>
      </c>
      <c r="K142" s="1"/>
      <c r="L142" s="1"/>
      <c r="M142" s="1"/>
      <c r="N142" s="8"/>
      <c r="O142" s="8"/>
      <c r="P142" s="8"/>
      <c r="Q142" s="8"/>
      <c r="R142" s="8"/>
      <c r="S142" s="8"/>
      <c r="T142" s="8"/>
      <c r="U142" s="8"/>
      <c r="V142" s="8"/>
      <c r="W142" s="142"/>
    </row>
    <row r="143" spans="1:23" x14ac:dyDescent="0.3">
      <c r="A143" s="62"/>
      <c r="B143" s="8"/>
      <c r="C143" s="8"/>
      <c r="D143" s="8"/>
      <c r="E143" s="8"/>
      <c r="F143" s="8"/>
      <c r="G143" s="8"/>
      <c r="H143" s="8"/>
      <c r="I143" s="8"/>
      <c r="J143" s="1"/>
      <c r="K143" s="1"/>
      <c r="L143" s="1"/>
      <c r="M143" s="1"/>
      <c r="N143" s="8"/>
      <c r="O143" s="8"/>
      <c r="P143" s="8"/>
      <c r="Q143" s="8"/>
      <c r="R143" s="8"/>
      <c r="S143" s="8"/>
      <c r="T143" s="8"/>
      <c r="U143" s="8"/>
      <c r="V143" s="8"/>
      <c r="W143" s="142"/>
    </row>
    <row r="144" spans="1:23" ht="36" x14ac:dyDescent="0.3">
      <c r="A144" s="30">
        <v>13</v>
      </c>
      <c r="B144" s="105">
        <v>8100014243</v>
      </c>
      <c r="C144" s="30" t="s">
        <v>35</v>
      </c>
      <c r="D144" s="106" t="s">
        <v>197</v>
      </c>
      <c r="E144" s="106"/>
      <c r="F144" s="107" t="s">
        <v>198</v>
      </c>
      <c r="G144" s="30">
        <v>300</v>
      </c>
      <c r="H144" s="30" t="s">
        <v>111</v>
      </c>
      <c r="I144" s="30">
        <v>90</v>
      </c>
      <c r="J144" s="30">
        <f t="shared" ref="J144:J148" si="30">G144*I144</f>
        <v>27000</v>
      </c>
      <c r="K144" s="30">
        <v>13</v>
      </c>
      <c r="L144" s="30" t="s">
        <v>28</v>
      </c>
      <c r="M144" s="30" t="s">
        <v>91</v>
      </c>
      <c r="N144" s="30">
        <v>70</v>
      </c>
      <c r="O144" s="30">
        <v>300</v>
      </c>
      <c r="P144" s="30">
        <v>90</v>
      </c>
      <c r="Q144" s="30">
        <f>O144*P144</f>
        <v>27000</v>
      </c>
      <c r="R144" s="52">
        <v>0.18</v>
      </c>
      <c r="S144" s="30">
        <f>Q144*R144</f>
        <v>4860</v>
      </c>
      <c r="T144" s="30">
        <f>Q144+S144</f>
        <v>31860</v>
      </c>
      <c r="U144" s="56" t="s">
        <v>199</v>
      </c>
      <c r="V144" s="57">
        <v>45334</v>
      </c>
      <c r="W144" s="142" t="s">
        <v>200</v>
      </c>
    </row>
    <row r="145" spans="1:23" x14ac:dyDescent="0.3">
      <c r="A145" s="30"/>
      <c r="B145" s="30"/>
      <c r="C145" s="30"/>
      <c r="D145" s="30"/>
      <c r="E145" s="30"/>
      <c r="F145" s="30" t="s">
        <v>201</v>
      </c>
      <c r="G145" s="30">
        <v>200</v>
      </c>
      <c r="H145" s="30" t="s">
        <v>111</v>
      </c>
      <c r="I145" s="30">
        <v>75</v>
      </c>
      <c r="J145" s="30">
        <f t="shared" si="30"/>
        <v>15000</v>
      </c>
      <c r="K145" s="30">
        <v>20</v>
      </c>
      <c r="L145" s="30" t="s">
        <v>28</v>
      </c>
      <c r="M145" s="30" t="s">
        <v>91</v>
      </c>
      <c r="N145" s="30">
        <v>70</v>
      </c>
      <c r="O145" s="30">
        <v>200</v>
      </c>
      <c r="P145" s="30">
        <v>75</v>
      </c>
      <c r="Q145" s="30">
        <f t="shared" ref="Q145:Q147" si="31">O145*P145</f>
        <v>15000</v>
      </c>
      <c r="R145" s="52">
        <v>0.18</v>
      </c>
      <c r="S145" s="30">
        <f t="shared" ref="S145:S147" si="32">Q145*R145</f>
        <v>2700</v>
      </c>
      <c r="T145" s="30">
        <f t="shared" ref="T145:T147" si="33">Q145+S145</f>
        <v>17700</v>
      </c>
      <c r="U145" s="56" t="s">
        <v>199</v>
      </c>
      <c r="V145" s="57">
        <v>45334</v>
      </c>
      <c r="W145" s="142" t="s">
        <v>200</v>
      </c>
    </row>
    <row r="146" spans="1:23" ht="14.4" customHeight="1" x14ac:dyDescent="0.25">
      <c r="A146" s="30"/>
      <c r="B146" s="30"/>
      <c r="C146" s="30"/>
      <c r="D146" s="30"/>
      <c r="E146" s="30"/>
      <c r="F146" s="29" t="s">
        <v>1942</v>
      </c>
      <c r="G146" s="30">
        <v>1000</v>
      </c>
      <c r="H146" s="30" t="s">
        <v>111</v>
      </c>
      <c r="I146" s="30">
        <v>11</v>
      </c>
      <c r="J146" s="30">
        <f t="shared" si="30"/>
        <v>11000</v>
      </c>
      <c r="K146" s="30">
        <v>20</v>
      </c>
      <c r="L146" s="30" t="s">
        <v>53</v>
      </c>
      <c r="M146" s="30" t="s">
        <v>91</v>
      </c>
      <c r="N146" s="30">
        <v>70</v>
      </c>
      <c r="O146" s="30">
        <v>1000</v>
      </c>
      <c r="P146" s="30">
        <v>11</v>
      </c>
      <c r="Q146" s="30">
        <f t="shared" si="31"/>
        <v>11000</v>
      </c>
      <c r="R146" s="52">
        <v>0.18</v>
      </c>
      <c r="S146" s="30">
        <f t="shared" si="32"/>
        <v>1980</v>
      </c>
      <c r="T146" s="30">
        <f t="shared" si="33"/>
        <v>12980</v>
      </c>
      <c r="U146" s="56" t="s">
        <v>199</v>
      </c>
      <c r="V146" s="57">
        <v>45334</v>
      </c>
      <c r="W146" s="142" t="s">
        <v>200</v>
      </c>
    </row>
    <row r="147" spans="1:23" x14ac:dyDescent="0.3">
      <c r="A147" s="30"/>
      <c r="B147" s="30"/>
      <c r="C147" s="30"/>
      <c r="D147" s="30"/>
      <c r="E147" s="30"/>
      <c r="F147" s="30" t="s">
        <v>202</v>
      </c>
      <c r="G147" s="30">
        <v>1000</v>
      </c>
      <c r="H147" s="30" t="s">
        <v>111</v>
      </c>
      <c r="I147" s="30">
        <v>4</v>
      </c>
      <c r="J147" s="30">
        <f t="shared" si="30"/>
        <v>4000</v>
      </c>
      <c r="K147" s="30">
        <v>1</v>
      </c>
      <c r="L147" s="30" t="s">
        <v>203</v>
      </c>
      <c r="M147" s="30" t="s">
        <v>91</v>
      </c>
      <c r="N147" s="30">
        <v>70</v>
      </c>
      <c r="O147" s="30">
        <v>1000</v>
      </c>
      <c r="P147" s="30">
        <v>4</v>
      </c>
      <c r="Q147" s="30">
        <f t="shared" si="31"/>
        <v>4000</v>
      </c>
      <c r="R147" s="52">
        <v>0.18</v>
      </c>
      <c r="S147" s="30">
        <f t="shared" si="32"/>
        <v>720</v>
      </c>
      <c r="T147" s="30">
        <f t="shared" si="33"/>
        <v>4720</v>
      </c>
      <c r="U147" s="56" t="s">
        <v>199</v>
      </c>
      <c r="V147" s="57">
        <v>45334</v>
      </c>
      <c r="W147" s="142" t="s">
        <v>200</v>
      </c>
    </row>
    <row r="148" spans="1:23" customFormat="1" ht="27.6" customHeight="1" x14ac:dyDescent="0.3">
      <c r="A148" s="28"/>
      <c r="B148" s="28"/>
      <c r="C148" s="28"/>
      <c r="D148" s="28"/>
      <c r="E148" s="28"/>
      <c r="F148" s="56" t="s">
        <v>204</v>
      </c>
      <c r="G148" s="56">
        <v>10</v>
      </c>
      <c r="H148" s="56" t="s">
        <v>205</v>
      </c>
      <c r="I148" s="56">
        <v>4680</v>
      </c>
      <c r="J148" s="56">
        <f t="shared" si="30"/>
        <v>46800</v>
      </c>
      <c r="K148" s="56"/>
      <c r="L148" s="56"/>
      <c r="M148" s="56"/>
      <c r="N148" s="56"/>
      <c r="O148" s="56">
        <v>10</v>
      </c>
      <c r="P148" s="56">
        <v>4680</v>
      </c>
      <c r="Q148" s="56">
        <f>O148*P148</f>
        <v>46800</v>
      </c>
      <c r="R148" s="56">
        <v>18</v>
      </c>
      <c r="S148" s="56">
        <f>Q148*18/100</f>
        <v>8424</v>
      </c>
      <c r="T148" s="56">
        <f>Q148+S148</f>
        <v>55224</v>
      </c>
      <c r="U148" s="56" t="s">
        <v>206</v>
      </c>
      <c r="V148" s="57" t="s">
        <v>88</v>
      </c>
      <c r="W148" s="144"/>
    </row>
    <row r="149" spans="1:23" x14ac:dyDescent="0.3">
      <c r="A149" s="207" t="s">
        <v>39</v>
      </c>
      <c r="B149" s="208"/>
      <c r="C149" s="208"/>
      <c r="D149" s="208"/>
      <c r="E149" s="208"/>
      <c r="F149" s="208"/>
      <c r="G149" s="208"/>
      <c r="H149" s="208"/>
      <c r="I149" s="209"/>
      <c r="J149" s="124">
        <f>SUM(J144:J148)</f>
        <v>103800</v>
      </c>
      <c r="K149" s="1"/>
      <c r="L149" s="1"/>
      <c r="M149" s="1"/>
      <c r="N149" s="8"/>
      <c r="O149" s="8"/>
      <c r="P149" s="8"/>
      <c r="Q149" s="8"/>
      <c r="R149" s="8"/>
      <c r="S149" s="8"/>
      <c r="T149" s="8"/>
      <c r="U149" s="8"/>
      <c r="V149" s="8"/>
      <c r="W149" s="142"/>
    </row>
    <row r="150" spans="1:23" x14ac:dyDescent="0.3">
      <c r="A150" s="207" t="s">
        <v>82</v>
      </c>
      <c r="B150" s="208"/>
      <c r="C150" s="208"/>
      <c r="D150" s="208"/>
      <c r="E150" s="208"/>
      <c r="F150" s="208"/>
      <c r="G150" s="208"/>
      <c r="H150" s="208"/>
      <c r="I150" s="209"/>
      <c r="J150" s="1">
        <f>J149*18/100</f>
        <v>18684</v>
      </c>
      <c r="K150" s="1"/>
      <c r="L150" s="1"/>
      <c r="M150" s="1"/>
      <c r="N150" s="8"/>
      <c r="O150" s="8"/>
      <c r="P150" s="8"/>
      <c r="Q150" s="8"/>
      <c r="R150" s="8"/>
      <c r="S150" s="8"/>
      <c r="T150" s="8"/>
      <c r="U150" s="8"/>
      <c r="V150" s="8"/>
      <c r="W150" s="142"/>
    </row>
    <row r="151" spans="1:23" x14ac:dyDescent="0.3">
      <c r="A151" s="207" t="s">
        <v>41</v>
      </c>
      <c r="B151" s="208"/>
      <c r="C151" s="208"/>
      <c r="D151" s="208"/>
      <c r="E151" s="208"/>
      <c r="F151" s="208"/>
      <c r="G151" s="208"/>
      <c r="H151" s="208"/>
      <c r="I151" s="209"/>
      <c r="J151" s="124">
        <f>SUM(J149:J150)</f>
        <v>122484</v>
      </c>
      <c r="K151" s="1"/>
      <c r="L151" s="1"/>
      <c r="M151" s="1"/>
      <c r="N151" s="8"/>
      <c r="O151" s="8"/>
      <c r="P151" s="8"/>
      <c r="Q151" s="8"/>
      <c r="R151" s="8"/>
      <c r="S151" s="8"/>
      <c r="T151" s="8"/>
      <c r="U151" s="8"/>
      <c r="V151" s="8"/>
      <c r="W151" s="142"/>
    </row>
    <row r="152" spans="1:23" x14ac:dyDescent="0.3">
      <c r="A152" s="62"/>
      <c r="B152" s="8"/>
      <c r="C152" s="8"/>
      <c r="D152" s="8"/>
      <c r="E152" s="8"/>
      <c r="F152" s="8"/>
      <c r="G152" s="8"/>
      <c r="H152" s="8"/>
      <c r="I152" s="8"/>
      <c r="J152" s="1"/>
      <c r="K152" s="1"/>
      <c r="L152" s="1"/>
      <c r="M152" s="1"/>
      <c r="N152" s="8"/>
      <c r="O152" s="8"/>
      <c r="P152" s="8"/>
      <c r="Q152" s="8"/>
      <c r="R152" s="8"/>
      <c r="S152" s="8"/>
      <c r="T152" s="8"/>
      <c r="U152" s="8"/>
      <c r="V152" s="8"/>
      <c r="W152" s="142"/>
    </row>
    <row r="153" spans="1:23" ht="15.6" customHeight="1" x14ac:dyDescent="0.3">
      <c r="A153" s="16">
        <v>14</v>
      </c>
      <c r="B153" s="16">
        <v>8100014255</v>
      </c>
      <c r="C153" s="16" t="s">
        <v>35</v>
      </c>
      <c r="D153" s="16" t="s">
        <v>207</v>
      </c>
      <c r="E153" s="16"/>
      <c r="F153" s="30" t="s">
        <v>208</v>
      </c>
      <c r="G153" s="30">
        <v>80</v>
      </c>
      <c r="H153" s="30" t="s">
        <v>28</v>
      </c>
      <c r="I153" s="30">
        <v>940</v>
      </c>
      <c r="J153" s="30">
        <f>G153*I153</f>
        <v>75200</v>
      </c>
      <c r="K153" s="30"/>
      <c r="L153" s="30"/>
      <c r="M153" s="30"/>
      <c r="N153" s="43"/>
      <c r="O153" s="30">
        <v>80</v>
      </c>
      <c r="P153" s="30">
        <v>940</v>
      </c>
      <c r="Q153" s="43">
        <f>O153*P153</f>
        <v>75200</v>
      </c>
      <c r="R153" s="44">
        <v>0.18</v>
      </c>
      <c r="S153" s="43">
        <f>Q153*R153</f>
        <v>13536</v>
      </c>
      <c r="T153" s="43">
        <f>Q153+S153</f>
        <v>88736</v>
      </c>
      <c r="U153" s="30" t="s">
        <v>209</v>
      </c>
      <c r="V153" s="31">
        <v>45360</v>
      </c>
      <c r="W153" s="142"/>
    </row>
    <row r="154" spans="1:23" ht="15.6" customHeight="1" x14ac:dyDescent="0.3">
      <c r="A154" s="1"/>
      <c r="B154" s="1"/>
      <c r="C154" s="1"/>
      <c r="D154" s="1"/>
      <c r="E154" s="1"/>
      <c r="F154" s="30" t="s">
        <v>210</v>
      </c>
      <c r="G154" s="30">
        <v>5</v>
      </c>
      <c r="H154" s="30" t="s">
        <v>28</v>
      </c>
      <c r="I154" s="30">
        <v>2775</v>
      </c>
      <c r="J154" s="30">
        <f>G154*I154</f>
        <v>13875</v>
      </c>
      <c r="K154" s="30"/>
      <c r="L154" s="30"/>
      <c r="M154" s="30"/>
      <c r="N154" s="43"/>
      <c r="O154" s="30">
        <v>5</v>
      </c>
      <c r="P154" s="30">
        <v>2775</v>
      </c>
      <c r="Q154" s="43">
        <f t="shared" ref="Q154:Q155" si="34">O154*P154</f>
        <v>13875</v>
      </c>
      <c r="R154" s="44">
        <v>0.18</v>
      </c>
      <c r="S154" s="43">
        <f t="shared" ref="S154:S155" si="35">Q154*R154</f>
        <v>2497.5</v>
      </c>
      <c r="T154" s="43">
        <f t="shared" ref="T154:T155" si="36">Q154+S154</f>
        <v>16372.5</v>
      </c>
      <c r="U154" s="30" t="s">
        <v>209</v>
      </c>
      <c r="V154" s="31">
        <v>45360</v>
      </c>
      <c r="W154" s="142"/>
    </row>
    <row r="155" spans="1:23" ht="15.6" customHeight="1" x14ac:dyDescent="0.25">
      <c r="A155" s="1"/>
      <c r="B155" s="1"/>
      <c r="C155" s="1"/>
      <c r="D155" s="1"/>
      <c r="E155" s="1"/>
      <c r="F155" s="29" t="s">
        <v>211</v>
      </c>
      <c r="G155" s="30">
        <v>1</v>
      </c>
      <c r="H155" s="30" t="s">
        <v>87</v>
      </c>
      <c r="I155" s="30">
        <v>1500</v>
      </c>
      <c r="J155" s="30">
        <f>G155*I155</f>
        <v>1500</v>
      </c>
      <c r="K155" s="30"/>
      <c r="L155" s="30"/>
      <c r="M155" s="30"/>
      <c r="N155" s="43"/>
      <c r="O155" s="30">
        <v>1</v>
      </c>
      <c r="P155" s="30">
        <v>1500</v>
      </c>
      <c r="Q155" s="43">
        <f t="shared" si="34"/>
        <v>1500</v>
      </c>
      <c r="R155" s="44">
        <v>0.18</v>
      </c>
      <c r="S155" s="43">
        <f t="shared" si="35"/>
        <v>270</v>
      </c>
      <c r="T155" s="43">
        <f t="shared" si="36"/>
        <v>1770</v>
      </c>
      <c r="U155" s="30" t="s">
        <v>209</v>
      </c>
      <c r="V155" s="31">
        <v>45360</v>
      </c>
      <c r="W155" s="142"/>
    </row>
    <row r="156" spans="1:23" x14ac:dyDescent="0.3">
      <c r="A156" s="207" t="s">
        <v>39</v>
      </c>
      <c r="B156" s="208"/>
      <c r="C156" s="208"/>
      <c r="D156" s="208"/>
      <c r="E156" s="208"/>
      <c r="F156" s="208"/>
      <c r="G156" s="208"/>
      <c r="H156" s="208"/>
      <c r="I156" s="209"/>
      <c r="J156" s="124">
        <f>SUM(J153:J155)</f>
        <v>90575</v>
      </c>
      <c r="K156" s="1"/>
      <c r="L156" s="1"/>
      <c r="M156" s="1"/>
      <c r="N156" s="8"/>
      <c r="O156" s="8"/>
      <c r="P156" s="8"/>
      <c r="Q156" s="8"/>
      <c r="R156" s="8"/>
      <c r="S156" s="8"/>
      <c r="T156" s="45">
        <f>SUM(T153:T155)</f>
        <v>106878.5</v>
      </c>
      <c r="U156" s="8"/>
      <c r="V156" s="8"/>
      <c r="W156" s="142"/>
    </row>
    <row r="157" spans="1:23" x14ac:dyDescent="0.3">
      <c r="A157" s="207" t="s">
        <v>82</v>
      </c>
      <c r="B157" s="208"/>
      <c r="C157" s="208"/>
      <c r="D157" s="208"/>
      <c r="E157" s="208"/>
      <c r="F157" s="208"/>
      <c r="G157" s="208"/>
      <c r="H157" s="208"/>
      <c r="I157" s="209"/>
      <c r="J157" s="1">
        <f>J156*18/100</f>
        <v>16303.5</v>
      </c>
      <c r="K157" s="1"/>
      <c r="L157" s="1"/>
      <c r="M157" s="1"/>
      <c r="N157" s="8"/>
      <c r="O157" s="8"/>
      <c r="P157" s="8"/>
      <c r="Q157" s="8"/>
      <c r="R157" s="8"/>
      <c r="S157" s="8"/>
      <c r="T157" s="8"/>
      <c r="U157" s="8"/>
      <c r="V157" s="8"/>
      <c r="W157" s="142"/>
    </row>
    <row r="158" spans="1:23" x14ac:dyDescent="0.3">
      <c r="A158" s="207" t="s">
        <v>41</v>
      </c>
      <c r="B158" s="208"/>
      <c r="C158" s="208"/>
      <c r="D158" s="208"/>
      <c r="E158" s="208"/>
      <c r="F158" s="208"/>
      <c r="G158" s="208"/>
      <c r="H158" s="208"/>
      <c r="I158" s="209"/>
      <c r="J158" s="126">
        <f>SUM(J156:J157)</f>
        <v>106878.5</v>
      </c>
      <c r="K158" s="1"/>
      <c r="L158" s="1"/>
      <c r="M158" s="1"/>
      <c r="N158" s="8"/>
      <c r="O158" s="8"/>
      <c r="P158" s="8"/>
      <c r="Q158" s="8"/>
      <c r="R158" s="8"/>
      <c r="S158" s="8"/>
      <c r="T158" s="8"/>
      <c r="U158" s="8"/>
      <c r="V158" s="8"/>
      <c r="W158" s="142"/>
    </row>
    <row r="159" spans="1:23" x14ac:dyDescent="0.3">
      <c r="A159" s="62"/>
      <c r="B159" s="8"/>
      <c r="C159" s="8"/>
      <c r="D159" s="8"/>
      <c r="E159" s="8"/>
      <c r="F159" s="8"/>
      <c r="G159" s="8"/>
      <c r="H159" s="8"/>
      <c r="I159" s="8"/>
      <c r="J159" s="1"/>
      <c r="K159" s="1"/>
      <c r="L159" s="1"/>
      <c r="M159" s="1"/>
      <c r="N159" s="8"/>
      <c r="O159" s="8"/>
      <c r="P159" s="8"/>
      <c r="Q159" s="8"/>
      <c r="R159" s="8"/>
      <c r="S159" s="8"/>
      <c r="T159" s="8"/>
      <c r="U159" s="8"/>
      <c r="V159" s="8"/>
      <c r="W159" s="142"/>
    </row>
    <row r="160" spans="1:23" ht="13.95" customHeight="1" x14ac:dyDescent="0.25">
      <c r="A160" s="16">
        <v>15</v>
      </c>
      <c r="B160" s="42">
        <v>8600049330</v>
      </c>
      <c r="C160" s="16" t="s">
        <v>212</v>
      </c>
      <c r="D160" s="16" t="s">
        <v>43</v>
      </c>
      <c r="E160" s="16"/>
      <c r="F160" s="16" t="s">
        <v>213</v>
      </c>
      <c r="G160" s="16">
        <v>50</v>
      </c>
      <c r="H160" s="16" t="s">
        <v>28</v>
      </c>
      <c r="I160" s="16">
        <v>1191</v>
      </c>
      <c r="J160" s="16">
        <f>G160*I160</f>
        <v>59550</v>
      </c>
      <c r="K160" s="16"/>
      <c r="L160" s="16"/>
      <c r="M160" s="16"/>
      <c r="N160" s="27"/>
      <c r="O160" s="27">
        <v>50</v>
      </c>
      <c r="P160" s="27">
        <v>1191</v>
      </c>
      <c r="Q160" s="27">
        <f>O160*P160</f>
        <v>59550</v>
      </c>
      <c r="R160" s="40">
        <v>0</v>
      </c>
      <c r="S160" s="27"/>
      <c r="T160" s="27">
        <f>Q160+S160</f>
        <v>59550</v>
      </c>
      <c r="U160" s="16" t="s">
        <v>214</v>
      </c>
      <c r="V160" s="19">
        <v>45421</v>
      </c>
      <c r="W160" s="142"/>
    </row>
    <row r="161" spans="1:23" ht="13.95" customHeight="1" x14ac:dyDescent="0.3">
      <c r="A161" s="1"/>
      <c r="B161" s="1"/>
      <c r="C161" s="1"/>
      <c r="D161" s="1"/>
      <c r="E161" s="1"/>
      <c r="F161" s="16" t="s">
        <v>215</v>
      </c>
      <c r="G161" s="16">
        <v>30</v>
      </c>
      <c r="H161" s="16" t="s">
        <v>28</v>
      </c>
      <c r="I161" s="16">
        <v>696</v>
      </c>
      <c r="J161" s="16">
        <f t="shared" ref="J161:J167" si="37">G161*I161</f>
        <v>20880</v>
      </c>
      <c r="K161" s="16"/>
      <c r="L161" s="16"/>
      <c r="M161" s="16"/>
      <c r="N161" s="27"/>
      <c r="O161" s="27">
        <v>30</v>
      </c>
      <c r="P161" s="27">
        <v>696</v>
      </c>
      <c r="Q161" s="27">
        <f t="shared" ref="Q161:Q165" si="38">O161*P161</f>
        <v>20880</v>
      </c>
      <c r="R161" s="40">
        <v>0</v>
      </c>
      <c r="S161" s="27"/>
      <c r="T161" s="27">
        <f t="shared" ref="T161:T165" si="39">Q161+S161</f>
        <v>20880</v>
      </c>
      <c r="U161" s="27"/>
      <c r="V161" s="27"/>
      <c r="W161" s="142"/>
    </row>
    <row r="162" spans="1:23" ht="13.95" customHeight="1" x14ac:dyDescent="0.25">
      <c r="A162" s="1"/>
      <c r="B162" s="1"/>
      <c r="C162" s="1"/>
      <c r="D162" s="1"/>
      <c r="E162" s="1"/>
      <c r="F162" s="41" t="s">
        <v>216</v>
      </c>
      <c r="G162" s="16">
        <v>10</v>
      </c>
      <c r="H162" s="16" t="s">
        <v>28</v>
      </c>
      <c r="I162" s="16">
        <v>2930</v>
      </c>
      <c r="J162" s="16">
        <f t="shared" si="37"/>
        <v>29300</v>
      </c>
      <c r="K162" s="16"/>
      <c r="L162" s="16"/>
      <c r="M162" s="16"/>
      <c r="N162" s="27"/>
      <c r="O162" s="27">
        <v>10</v>
      </c>
      <c r="P162" s="27">
        <v>2930</v>
      </c>
      <c r="Q162" s="27">
        <f t="shared" si="38"/>
        <v>29300</v>
      </c>
      <c r="R162" s="40">
        <v>0</v>
      </c>
      <c r="S162" s="27"/>
      <c r="T162" s="27">
        <f t="shared" si="39"/>
        <v>29300</v>
      </c>
      <c r="U162" s="27"/>
      <c r="V162" s="27"/>
      <c r="W162" s="142"/>
    </row>
    <row r="163" spans="1:23" ht="13.95" customHeight="1" x14ac:dyDescent="0.3">
      <c r="A163" s="1"/>
      <c r="B163" s="1"/>
      <c r="C163" s="1"/>
      <c r="D163" s="1"/>
      <c r="E163" s="1"/>
      <c r="F163" s="16" t="s">
        <v>217</v>
      </c>
      <c r="G163" s="16">
        <v>160</v>
      </c>
      <c r="H163" s="16" t="s">
        <v>28</v>
      </c>
      <c r="I163" s="16">
        <v>165</v>
      </c>
      <c r="J163" s="16">
        <f t="shared" si="37"/>
        <v>26400</v>
      </c>
      <c r="K163" s="16"/>
      <c r="L163" s="16"/>
      <c r="M163" s="16"/>
      <c r="N163" s="27"/>
      <c r="O163" s="27">
        <v>160</v>
      </c>
      <c r="P163" s="27">
        <v>165</v>
      </c>
      <c r="Q163" s="27">
        <f t="shared" si="38"/>
        <v>26400</v>
      </c>
      <c r="R163" s="40">
        <v>0</v>
      </c>
      <c r="S163" s="27"/>
      <c r="T163" s="27">
        <f t="shared" si="39"/>
        <v>26400</v>
      </c>
      <c r="U163" s="27"/>
      <c r="V163" s="27"/>
      <c r="W163" s="142"/>
    </row>
    <row r="164" spans="1:23" ht="13.95" customHeight="1" x14ac:dyDescent="0.25">
      <c r="A164" s="1"/>
      <c r="B164" s="1"/>
      <c r="C164" s="1"/>
      <c r="D164" s="1"/>
      <c r="E164" s="6"/>
      <c r="F164" s="42" t="s">
        <v>218</v>
      </c>
      <c r="G164" s="16">
        <v>30</v>
      </c>
      <c r="H164" s="16" t="s">
        <v>28</v>
      </c>
      <c r="I164" s="16">
        <v>1356</v>
      </c>
      <c r="J164" s="16">
        <f t="shared" si="37"/>
        <v>40680</v>
      </c>
      <c r="K164" s="16"/>
      <c r="L164" s="16"/>
      <c r="M164" s="16"/>
      <c r="N164" s="27"/>
      <c r="O164" s="27">
        <v>30</v>
      </c>
      <c r="P164" s="27">
        <v>1356</v>
      </c>
      <c r="Q164" s="27">
        <f t="shared" si="38"/>
        <v>40680</v>
      </c>
      <c r="R164" s="40">
        <v>0</v>
      </c>
      <c r="S164" s="27"/>
      <c r="T164" s="27">
        <f t="shared" si="39"/>
        <v>40680</v>
      </c>
      <c r="U164" s="27"/>
      <c r="V164" s="27"/>
      <c r="W164" s="142"/>
    </row>
    <row r="165" spans="1:23" ht="13.95" customHeight="1" x14ac:dyDescent="0.3">
      <c r="A165" s="1"/>
      <c r="B165" s="1"/>
      <c r="C165" s="1"/>
      <c r="D165" s="1"/>
      <c r="E165" s="1"/>
      <c r="F165" s="16" t="s">
        <v>219</v>
      </c>
      <c r="G165" s="16">
        <v>50</v>
      </c>
      <c r="H165" s="16" t="s">
        <v>28</v>
      </c>
      <c r="I165" s="16">
        <v>403</v>
      </c>
      <c r="J165" s="16">
        <f t="shared" si="37"/>
        <v>20150</v>
      </c>
      <c r="K165" s="16"/>
      <c r="L165" s="16"/>
      <c r="M165" s="16"/>
      <c r="N165" s="27"/>
      <c r="O165" s="27">
        <v>50</v>
      </c>
      <c r="P165" s="27">
        <v>403</v>
      </c>
      <c r="Q165" s="27">
        <f t="shared" si="38"/>
        <v>20150</v>
      </c>
      <c r="R165" s="40">
        <v>0</v>
      </c>
      <c r="S165" s="27"/>
      <c r="T165" s="27">
        <f t="shared" si="39"/>
        <v>20150</v>
      </c>
      <c r="U165" s="27"/>
      <c r="V165" s="27"/>
      <c r="W165" s="142"/>
    </row>
    <row r="166" spans="1:23" x14ac:dyDescent="0.3">
      <c r="A166" s="207" t="s">
        <v>39</v>
      </c>
      <c r="B166" s="208"/>
      <c r="C166" s="208"/>
      <c r="D166" s="208"/>
      <c r="E166" s="208"/>
      <c r="F166" s="208"/>
      <c r="G166" s="208"/>
      <c r="H166" s="208"/>
      <c r="I166" s="209"/>
      <c r="J166" s="124">
        <f>SUM(J160:J165)</f>
        <v>196960</v>
      </c>
      <c r="K166" s="1"/>
      <c r="L166" s="1"/>
      <c r="M166" s="1"/>
      <c r="N166" s="8"/>
      <c r="O166" s="8"/>
      <c r="P166" s="8"/>
      <c r="Q166" s="8"/>
      <c r="R166" s="8"/>
      <c r="S166" s="8"/>
      <c r="T166" s="8"/>
      <c r="U166" s="8"/>
      <c r="V166" s="8"/>
      <c r="W166" s="142"/>
    </row>
    <row r="167" spans="1:23" x14ac:dyDescent="0.3">
      <c r="A167" s="207" t="s">
        <v>82</v>
      </c>
      <c r="B167" s="208"/>
      <c r="C167" s="208"/>
      <c r="D167" s="208"/>
      <c r="E167" s="208"/>
      <c r="F167" s="208"/>
      <c r="G167" s="208"/>
      <c r="H167" s="208"/>
      <c r="I167" s="209"/>
      <c r="J167" s="1">
        <f t="shared" si="37"/>
        <v>0</v>
      </c>
      <c r="K167" s="1"/>
      <c r="L167" s="1"/>
      <c r="M167" s="1"/>
      <c r="N167" s="8"/>
      <c r="O167" s="8"/>
      <c r="P167" s="8"/>
      <c r="Q167" s="8"/>
      <c r="R167" s="8"/>
      <c r="S167" s="8"/>
      <c r="T167" s="8"/>
      <c r="U167" s="8"/>
      <c r="V167" s="8"/>
      <c r="W167" s="142"/>
    </row>
    <row r="168" spans="1:23" x14ac:dyDescent="0.3">
      <c r="A168" s="207" t="s">
        <v>41</v>
      </c>
      <c r="B168" s="208"/>
      <c r="C168" s="208"/>
      <c r="D168" s="208"/>
      <c r="E168" s="208"/>
      <c r="F168" s="208"/>
      <c r="G168" s="208"/>
      <c r="H168" s="208"/>
      <c r="I168" s="209"/>
      <c r="J168" s="124">
        <f>SUM(J166:J167)</f>
        <v>196960</v>
      </c>
      <c r="K168" s="1"/>
      <c r="L168" s="1"/>
      <c r="M168" s="1"/>
      <c r="N168" s="8"/>
      <c r="O168" s="8"/>
      <c r="P168" s="8"/>
      <c r="Q168" s="8"/>
      <c r="R168" s="8"/>
      <c r="S168" s="8"/>
      <c r="T168" s="8"/>
      <c r="U168" s="8"/>
      <c r="V168" s="8"/>
      <c r="W168" s="142"/>
    </row>
    <row r="169" spans="1:23" x14ac:dyDescent="0.3">
      <c r="A169" s="62"/>
      <c r="B169" s="8"/>
      <c r="C169" s="8"/>
      <c r="D169" s="8"/>
      <c r="E169" s="8"/>
      <c r="F169" s="8"/>
      <c r="G169" s="8"/>
      <c r="H169" s="8"/>
      <c r="I169" s="8"/>
      <c r="J169" s="1"/>
      <c r="K169" s="1"/>
      <c r="L169" s="1"/>
      <c r="M169" s="1"/>
      <c r="N169" s="8"/>
      <c r="O169" s="8"/>
      <c r="P169" s="8"/>
      <c r="Q169" s="8"/>
      <c r="R169" s="8"/>
      <c r="S169" s="8"/>
      <c r="T169" s="8"/>
      <c r="U169" s="8"/>
      <c r="V169" s="8"/>
      <c r="W169" s="142"/>
    </row>
    <row r="170" spans="1:23" s="6" customFormat="1" ht="21.6" customHeight="1" x14ac:dyDescent="0.3">
      <c r="A170" s="1">
        <v>16</v>
      </c>
      <c r="B170" s="60">
        <v>8100014388</v>
      </c>
      <c r="C170" s="19">
        <v>45360</v>
      </c>
      <c r="D170" s="16" t="s">
        <v>26</v>
      </c>
      <c r="E170" s="16" t="s">
        <v>127</v>
      </c>
      <c r="F170" s="38" t="s">
        <v>220</v>
      </c>
      <c r="G170" s="16">
        <v>3</v>
      </c>
      <c r="H170" s="16" t="s">
        <v>28</v>
      </c>
      <c r="I170" s="16">
        <v>6400</v>
      </c>
      <c r="J170" s="16">
        <f>G170*I170</f>
        <v>19200</v>
      </c>
      <c r="K170" s="16"/>
      <c r="L170" s="16"/>
      <c r="M170" s="16"/>
      <c r="N170" s="16"/>
      <c r="O170" s="16">
        <v>3</v>
      </c>
      <c r="P170" s="16">
        <v>6400</v>
      </c>
      <c r="Q170" s="16">
        <f>O170*P170</f>
        <v>19200</v>
      </c>
      <c r="R170" s="18">
        <v>0.18</v>
      </c>
      <c r="S170" s="16">
        <f>Q170*18/100</f>
        <v>3456</v>
      </c>
      <c r="T170" s="16">
        <f>Q170+S170</f>
        <v>22656</v>
      </c>
      <c r="U170" s="16" t="s">
        <v>221</v>
      </c>
      <c r="V170" s="19">
        <v>45605</v>
      </c>
      <c r="W170" s="143"/>
    </row>
    <row r="171" spans="1:23" s="6" customFormat="1" ht="17.399999999999999" customHeight="1" x14ac:dyDescent="0.3">
      <c r="A171" s="1"/>
      <c r="B171" s="1"/>
      <c r="C171" s="1"/>
      <c r="D171" s="1"/>
      <c r="E171" s="16" t="s">
        <v>127</v>
      </c>
      <c r="F171" s="16" t="s">
        <v>222</v>
      </c>
      <c r="G171" s="16">
        <v>3</v>
      </c>
      <c r="H171" s="16" t="s">
        <v>28</v>
      </c>
      <c r="I171" s="16">
        <v>3890</v>
      </c>
      <c r="J171" s="16">
        <f t="shared" ref="J171:J193" si="40">G171*I171</f>
        <v>11670</v>
      </c>
      <c r="K171" s="16"/>
      <c r="L171" s="16"/>
      <c r="M171" s="16"/>
      <c r="N171" s="16"/>
      <c r="O171" s="16">
        <v>3</v>
      </c>
      <c r="P171" s="16">
        <v>3890</v>
      </c>
      <c r="Q171" s="16">
        <f t="shared" ref="Q171:Q177" si="41">O171*P171</f>
        <v>11670</v>
      </c>
      <c r="R171" s="18">
        <v>0.18</v>
      </c>
      <c r="S171" s="16">
        <f t="shared" ref="S171:S177" si="42">Q171*18/100</f>
        <v>2100.6</v>
      </c>
      <c r="T171" s="16">
        <f t="shared" ref="T171:T177" si="43">Q171+S171</f>
        <v>13770.6</v>
      </c>
      <c r="U171" s="16" t="s">
        <v>221</v>
      </c>
      <c r="V171" s="19">
        <v>45605</v>
      </c>
      <c r="W171" s="143"/>
    </row>
    <row r="172" spans="1:23" s="6" customFormat="1" ht="17.399999999999999" customHeight="1" x14ac:dyDescent="0.3">
      <c r="A172" s="1"/>
      <c r="B172" s="1"/>
      <c r="C172" s="1"/>
      <c r="D172" s="1"/>
      <c r="E172" s="16" t="s">
        <v>127</v>
      </c>
      <c r="F172" s="16" t="s">
        <v>223</v>
      </c>
      <c r="G172" s="16">
        <v>3</v>
      </c>
      <c r="H172" s="16" t="s">
        <v>28</v>
      </c>
      <c r="I172" s="16">
        <v>1500</v>
      </c>
      <c r="J172" s="16">
        <f t="shared" si="40"/>
        <v>4500</v>
      </c>
      <c r="K172" s="16"/>
      <c r="L172" s="16"/>
      <c r="M172" s="16"/>
      <c r="N172" s="16"/>
      <c r="O172" s="16">
        <v>3</v>
      </c>
      <c r="P172" s="16">
        <v>1500</v>
      </c>
      <c r="Q172" s="16">
        <f t="shared" si="41"/>
        <v>4500</v>
      </c>
      <c r="R172" s="18">
        <v>0.18</v>
      </c>
      <c r="S172" s="16">
        <f t="shared" si="42"/>
        <v>810</v>
      </c>
      <c r="T172" s="16">
        <f t="shared" si="43"/>
        <v>5310</v>
      </c>
      <c r="U172" s="16" t="s">
        <v>221</v>
      </c>
      <c r="V172" s="19">
        <v>45605</v>
      </c>
      <c r="W172" s="143"/>
    </row>
    <row r="173" spans="1:23" s="6" customFormat="1" ht="17.399999999999999" customHeight="1" x14ac:dyDescent="0.3">
      <c r="A173" s="1"/>
      <c r="B173" s="1"/>
      <c r="C173" s="1"/>
      <c r="D173" s="1"/>
      <c r="E173" s="16" t="s">
        <v>127</v>
      </c>
      <c r="F173" s="16" t="s">
        <v>224</v>
      </c>
      <c r="G173" s="16">
        <v>1</v>
      </c>
      <c r="H173" s="16" t="s">
        <v>225</v>
      </c>
      <c r="I173" s="16">
        <v>16500</v>
      </c>
      <c r="J173" s="16">
        <f t="shared" si="40"/>
        <v>16500</v>
      </c>
      <c r="K173" s="16"/>
      <c r="L173" s="16"/>
      <c r="M173" s="16"/>
      <c r="N173" s="16"/>
      <c r="O173" s="16">
        <v>1</v>
      </c>
      <c r="P173" s="16">
        <v>16500</v>
      </c>
      <c r="Q173" s="16">
        <f t="shared" si="41"/>
        <v>16500</v>
      </c>
      <c r="R173" s="18">
        <v>0.18</v>
      </c>
      <c r="S173" s="16">
        <f t="shared" si="42"/>
        <v>2970</v>
      </c>
      <c r="T173" s="16">
        <f t="shared" si="43"/>
        <v>19470</v>
      </c>
      <c r="U173" s="16" t="s">
        <v>221</v>
      </c>
      <c r="V173" s="19">
        <v>45605</v>
      </c>
      <c r="W173" s="143"/>
    </row>
    <row r="174" spans="1:23" s="6" customFormat="1" ht="17.399999999999999" customHeight="1" x14ac:dyDescent="0.3">
      <c r="A174" s="1"/>
      <c r="B174" s="1"/>
      <c r="C174" s="1"/>
      <c r="D174" s="1"/>
      <c r="E174" s="16" t="s">
        <v>127</v>
      </c>
      <c r="F174" s="16" t="s">
        <v>226</v>
      </c>
      <c r="G174" s="16">
        <v>3</v>
      </c>
      <c r="H174" s="16" t="s">
        <v>28</v>
      </c>
      <c r="I174" s="16">
        <v>1560</v>
      </c>
      <c r="J174" s="16">
        <f t="shared" si="40"/>
        <v>4680</v>
      </c>
      <c r="K174" s="16"/>
      <c r="L174" s="16"/>
      <c r="M174" s="16"/>
      <c r="N174" s="16"/>
      <c r="O174" s="16">
        <v>3</v>
      </c>
      <c r="P174" s="16">
        <v>1560</v>
      </c>
      <c r="Q174" s="16">
        <f t="shared" si="41"/>
        <v>4680</v>
      </c>
      <c r="R174" s="18">
        <v>0.18</v>
      </c>
      <c r="S174" s="16">
        <f t="shared" si="42"/>
        <v>842.4</v>
      </c>
      <c r="T174" s="16">
        <f t="shared" si="43"/>
        <v>5522.4</v>
      </c>
      <c r="U174" s="16" t="s">
        <v>221</v>
      </c>
      <c r="V174" s="19">
        <v>45605</v>
      </c>
      <c r="W174" s="143"/>
    </row>
    <row r="175" spans="1:23" s="6" customFormat="1" ht="17.399999999999999" customHeight="1" x14ac:dyDescent="0.3">
      <c r="A175" s="1"/>
      <c r="B175" s="1"/>
      <c r="C175" s="1"/>
      <c r="D175" s="1"/>
      <c r="E175" s="16" t="s">
        <v>127</v>
      </c>
      <c r="F175" s="16" t="s">
        <v>227</v>
      </c>
      <c r="G175" s="16">
        <v>3</v>
      </c>
      <c r="H175" s="16" t="s">
        <v>28</v>
      </c>
      <c r="I175" s="16">
        <v>3780</v>
      </c>
      <c r="J175" s="16">
        <f t="shared" si="40"/>
        <v>11340</v>
      </c>
      <c r="K175" s="16"/>
      <c r="L175" s="16"/>
      <c r="M175" s="16"/>
      <c r="N175" s="16"/>
      <c r="O175" s="16">
        <v>3</v>
      </c>
      <c r="P175" s="16">
        <v>3780</v>
      </c>
      <c r="Q175" s="16">
        <f t="shared" si="41"/>
        <v>11340</v>
      </c>
      <c r="R175" s="18">
        <v>0.18</v>
      </c>
      <c r="S175" s="16">
        <f t="shared" si="42"/>
        <v>2041.2</v>
      </c>
      <c r="T175" s="16">
        <f t="shared" si="43"/>
        <v>13381.2</v>
      </c>
      <c r="U175" s="16" t="s">
        <v>221</v>
      </c>
      <c r="V175" s="19">
        <v>45605</v>
      </c>
      <c r="W175" s="143"/>
    </row>
    <row r="176" spans="1:23" s="6" customFormat="1" ht="17.399999999999999" customHeight="1" x14ac:dyDescent="0.3">
      <c r="A176" s="1"/>
      <c r="B176" s="1"/>
      <c r="C176" s="1"/>
      <c r="D176" s="1"/>
      <c r="E176" s="16" t="s">
        <v>127</v>
      </c>
      <c r="F176" s="16" t="s">
        <v>228</v>
      </c>
      <c r="G176" s="16">
        <v>2</v>
      </c>
      <c r="H176" s="16" t="s">
        <v>28</v>
      </c>
      <c r="I176" s="16">
        <v>2900</v>
      </c>
      <c r="J176" s="16">
        <f t="shared" si="40"/>
        <v>5800</v>
      </c>
      <c r="K176" s="16"/>
      <c r="L176" s="16"/>
      <c r="M176" s="16"/>
      <c r="N176" s="16"/>
      <c r="O176" s="16">
        <v>2</v>
      </c>
      <c r="P176" s="16">
        <v>2900</v>
      </c>
      <c r="Q176" s="16">
        <f t="shared" si="41"/>
        <v>5800</v>
      </c>
      <c r="R176" s="18">
        <v>0.18</v>
      </c>
      <c r="S176" s="16">
        <f t="shared" si="42"/>
        <v>1044</v>
      </c>
      <c r="T176" s="16">
        <f t="shared" si="43"/>
        <v>6844</v>
      </c>
      <c r="U176" s="16" t="s">
        <v>221</v>
      </c>
      <c r="V176" s="19">
        <v>45605</v>
      </c>
      <c r="W176" s="143"/>
    </row>
    <row r="177" spans="1:23" s="6" customFormat="1" ht="17.399999999999999" customHeight="1" x14ac:dyDescent="0.3">
      <c r="A177" s="1"/>
      <c r="B177" s="1"/>
      <c r="C177" s="1"/>
      <c r="D177" s="1"/>
      <c r="E177" s="16" t="s">
        <v>127</v>
      </c>
      <c r="F177" s="16" t="s">
        <v>229</v>
      </c>
      <c r="G177" s="16">
        <v>3</v>
      </c>
      <c r="H177" s="16" t="s">
        <v>28</v>
      </c>
      <c r="I177" s="16">
        <v>7200</v>
      </c>
      <c r="J177" s="16">
        <f t="shared" si="40"/>
        <v>21600</v>
      </c>
      <c r="K177" s="16"/>
      <c r="L177" s="16"/>
      <c r="M177" s="16"/>
      <c r="N177" s="16"/>
      <c r="O177" s="16">
        <v>3</v>
      </c>
      <c r="P177" s="16">
        <v>7200</v>
      </c>
      <c r="Q177" s="16">
        <f t="shared" si="41"/>
        <v>21600</v>
      </c>
      <c r="R177" s="18">
        <v>0.18</v>
      </c>
      <c r="S177" s="16">
        <f t="shared" si="42"/>
        <v>3888</v>
      </c>
      <c r="T177" s="16">
        <f t="shared" si="43"/>
        <v>25488</v>
      </c>
      <c r="U177" s="16" t="s">
        <v>221</v>
      </c>
      <c r="V177" s="19">
        <v>45605</v>
      </c>
      <c r="W177" s="143"/>
    </row>
    <row r="178" spans="1:23" s="6" customFormat="1" ht="21.6" customHeight="1" x14ac:dyDescent="0.3">
      <c r="A178" s="1"/>
      <c r="B178" s="1"/>
      <c r="C178" s="1"/>
      <c r="D178" s="1"/>
      <c r="E178" s="16" t="s">
        <v>123</v>
      </c>
      <c r="F178" s="39" t="s">
        <v>230</v>
      </c>
      <c r="G178" s="16">
        <v>3</v>
      </c>
      <c r="H178" s="16" t="s">
        <v>87</v>
      </c>
      <c r="I178" s="16">
        <v>3800</v>
      </c>
      <c r="J178" s="16">
        <f t="shared" si="40"/>
        <v>11400</v>
      </c>
      <c r="K178" s="16">
        <v>48</v>
      </c>
      <c r="L178" s="16" t="s">
        <v>60</v>
      </c>
      <c r="M178" s="16" t="s">
        <v>91</v>
      </c>
      <c r="N178" s="16">
        <v>79</v>
      </c>
      <c r="O178" s="97">
        <v>3</v>
      </c>
      <c r="P178" s="97">
        <v>3800</v>
      </c>
      <c r="Q178" s="97">
        <f t="shared" ref="Q178:Q193" si="44">O178*P178</f>
        <v>11400</v>
      </c>
      <c r="R178" s="111">
        <v>0.18</v>
      </c>
      <c r="S178" s="97">
        <f t="shared" ref="S178:S193" si="45">Q178*18/100</f>
        <v>2052</v>
      </c>
      <c r="T178" s="97">
        <f t="shared" ref="T178:T193" si="46">Q178+S178</f>
        <v>13452</v>
      </c>
      <c r="U178" s="97" t="s">
        <v>231</v>
      </c>
      <c r="V178" s="110" t="s">
        <v>126</v>
      </c>
      <c r="W178" s="143" t="s">
        <v>1051</v>
      </c>
    </row>
    <row r="179" spans="1:23" s="6" customFormat="1" ht="17.399999999999999" customHeight="1" x14ac:dyDescent="0.3">
      <c r="A179" s="1"/>
      <c r="B179" s="1"/>
      <c r="C179" s="1"/>
      <c r="D179" s="1"/>
      <c r="E179" s="16" t="s">
        <v>123</v>
      </c>
      <c r="F179" s="16" t="s">
        <v>232</v>
      </c>
      <c r="G179" s="16">
        <v>50</v>
      </c>
      <c r="H179" s="16" t="s">
        <v>111</v>
      </c>
      <c r="I179" s="16">
        <v>480</v>
      </c>
      <c r="J179" s="16">
        <f t="shared" si="40"/>
        <v>24000</v>
      </c>
      <c r="K179" s="16"/>
      <c r="L179" s="16"/>
      <c r="M179" s="16" t="s">
        <v>91</v>
      </c>
      <c r="N179" s="16">
        <v>78</v>
      </c>
      <c r="O179" s="97">
        <v>50</v>
      </c>
      <c r="P179" s="97">
        <v>480</v>
      </c>
      <c r="Q179" s="97">
        <f t="shared" si="44"/>
        <v>24000</v>
      </c>
      <c r="R179" s="111">
        <v>0.18</v>
      </c>
      <c r="S179" s="97">
        <f t="shared" si="45"/>
        <v>4320</v>
      </c>
      <c r="T179" s="97">
        <f t="shared" si="46"/>
        <v>28320</v>
      </c>
      <c r="U179" s="97" t="s">
        <v>231</v>
      </c>
      <c r="V179" s="110" t="s">
        <v>126</v>
      </c>
      <c r="W179" s="143" t="s">
        <v>1051</v>
      </c>
    </row>
    <row r="180" spans="1:23" s="6" customFormat="1" ht="17.399999999999999" customHeight="1" x14ac:dyDescent="0.3">
      <c r="A180" s="1"/>
      <c r="B180" s="1"/>
      <c r="C180" s="1"/>
      <c r="D180" s="1"/>
      <c r="E180" s="16" t="s">
        <v>123</v>
      </c>
      <c r="F180" s="16" t="s">
        <v>233</v>
      </c>
      <c r="G180" s="16">
        <v>6</v>
      </c>
      <c r="H180" s="16" t="s">
        <v>225</v>
      </c>
      <c r="I180" s="16">
        <v>1000</v>
      </c>
      <c r="J180" s="16">
        <f t="shared" si="40"/>
        <v>6000</v>
      </c>
      <c r="K180" s="16"/>
      <c r="L180" s="16"/>
      <c r="M180" s="16"/>
      <c r="N180" s="16"/>
      <c r="O180" s="97">
        <v>6</v>
      </c>
      <c r="P180" s="97">
        <v>1000</v>
      </c>
      <c r="Q180" s="97">
        <f t="shared" si="44"/>
        <v>6000</v>
      </c>
      <c r="R180" s="111">
        <v>0.18</v>
      </c>
      <c r="S180" s="97">
        <f t="shared" si="45"/>
        <v>1080</v>
      </c>
      <c r="T180" s="97">
        <f t="shared" si="46"/>
        <v>7080</v>
      </c>
      <c r="U180" s="97" t="s">
        <v>231</v>
      </c>
      <c r="V180" s="110" t="s">
        <v>126</v>
      </c>
      <c r="W180" s="143" t="s">
        <v>1051</v>
      </c>
    </row>
    <row r="181" spans="1:23" s="6" customFormat="1" ht="17.399999999999999" customHeight="1" x14ac:dyDescent="0.3">
      <c r="A181" s="1"/>
      <c r="B181" s="1"/>
      <c r="C181" s="1"/>
      <c r="D181" s="1"/>
      <c r="E181" s="16" t="s">
        <v>123</v>
      </c>
      <c r="F181" s="16" t="s">
        <v>234</v>
      </c>
      <c r="G181" s="16">
        <v>1</v>
      </c>
      <c r="H181" s="16" t="s">
        <v>225</v>
      </c>
      <c r="I181" s="16">
        <v>58600</v>
      </c>
      <c r="J181" s="16">
        <f t="shared" si="40"/>
        <v>58600</v>
      </c>
      <c r="K181" s="16"/>
      <c r="L181" s="16"/>
      <c r="M181" s="16" t="s">
        <v>91</v>
      </c>
      <c r="N181" s="16">
        <v>78</v>
      </c>
      <c r="O181" s="97">
        <v>1</v>
      </c>
      <c r="P181" s="97">
        <v>58600</v>
      </c>
      <c r="Q181" s="97">
        <f t="shared" si="44"/>
        <v>58600</v>
      </c>
      <c r="R181" s="111">
        <v>0.18</v>
      </c>
      <c r="S181" s="97">
        <f t="shared" si="45"/>
        <v>10548</v>
      </c>
      <c r="T181" s="97">
        <f t="shared" si="46"/>
        <v>69148</v>
      </c>
      <c r="U181" s="97" t="s">
        <v>231</v>
      </c>
      <c r="V181" s="110" t="s">
        <v>126</v>
      </c>
      <c r="W181" s="143" t="s">
        <v>1051</v>
      </c>
    </row>
    <row r="182" spans="1:23" s="6" customFormat="1" ht="17.399999999999999" customHeight="1" x14ac:dyDescent="0.3">
      <c r="A182" s="1"/>
      <c r="B182" s="1"/>
      <c r="C182" s="1"/>
      <c r="D182" s="1"/>
      <c r="E182" s="16" t="s">
        <v>123</v>
      </c>
      <c r="F182" s="16" t="s">
        <v>235</v>
      </c>
      <c r="G182" s="16">
        <v>1</v>
      </c>
      <c r="H182" s="16" t="s">
        <v>225</v>
      </c>
      <c r="I182" s="16">
        <v>3000</v>
      </c>
      <c r="J182" s="16">
        <f t="shared" si="40"/>
        <v>3000</v>
      </c>
      <c r="K182" s="16"/>
      <c r="L182" s="16"/>
      <c r="M182" s="16" t="s">
        <v>91</v>
      </c>
      <c r="N182" s="16">
        <v>78</v>
      </c>
      <c r="O182" s="97">
        <v>1</v>
      </c>
      <c r="P182" s="97">
        <v>3000</v>
      </c>
      <c r="Q182" s="97">
        <f t="shared" si="44"/>
        <v>3000</v>
      </c>
      <c r="R182" s="111">
        <v>0.18</v>
      </c>
      <c r="S182" s="97">
        <f t="shared" si="45"/>
        <v>540</v>
      </c>
      <c r="T182" s="97">
        <f t="shared" si="46"/>
        <v>3540</v>
      </c>
      <c r="U182" s="97" t="s">
        <v>231</v>
      </c>
      <c r="V182" s="110" t="s">
        <v>126</v>
      </c>
      <c r="W182" s="143" t="s">
        <v>1051</v>
      </c>
    </row>
    <row r="183" spans="1:23" s="6" customFormat="1" ht="17.399999999999999" customHeight="1" x14ac:dyDescent="0.3">
      <c r="A183" s="1"/>
      <c r="B183" s="1"/>
      <c r="C183" s="1"/>
      <c r="D183" s="1"/>
      <c r="E183" s="16" t="s">
        <v>123</v>
      </c>
      <c r="F183" s="16" t="s">
        <v>236</v>
      </c>
      <c r="G183" s="16">
        <v>300</v>
      </c>
      <c r="H183" s="16" t="s">
        <v>111</v>
      </c>
      <c r="I183" s="16">
        <v>143</v>
      </c>
      <c r="J183" s="16">
        <f t="shared" si="40"/>
        <v>42900</v>
      </c>
      <c r="K183" s="16">
        <v>38</v>
      </c>
      <c r="L183" s="16" t="s">
        <v>205</v>
      </c>
      <c r="M183" s="16" t="s">
        <v>91</v>
      </c>
      <c r="N183" s="16">
        <v>78</v>
      </c>
      <c r="O183" s="97">
        <v>300</v>
      </c>
      <c r="P183" s="97">
        <v>143</v>
      </c>
      <c r="Q183" s="97">
        <f t="shared" si="44"/>
        <v>42900</v>
      </c>
      <c r="R183" s="111">
        <v>0.18</v>
      </c>
      <c r="S183" s="97">
        <f t="shared" si="45"/>
        <v>7722</v>
      </c>
      <c r="T183" s="97">
        <f t="shared" si="46"/>
        <v>50622</v>
      </c>
      <c r="U183" s="97" t="s">
        <v>231</v>
      </c>
      <c r="V183" s="110" t="s">
        <v>126</v>
      </c>
      <c r="W183" s="143" t="s">
        <v>1051</v>
      </c>
    </row>
    <row r="184" spans="1:23" s="6" customFormat="1" ht="17.399999999999999" customHeight="1" x14ac:dyDescent="0.3">
      <c r="A184" s="1"/>
      <c r="B184" s="1"/>
      <c r="C184" s="1"/>
      <c r="D184" s="1"/>
      <c r="E184" s="16" t="s">
        <v>123</v>
      </c>
      <c r="F184" s="16" t="s">
        <v>237</v>
      </c>
      <c r="G184" s="16">
        <v>300</v>
      </c>
      <c r="H184" s="16" t="s">
        <v>111</v>
      </c>
      <c r="I184" s="16">
        <v>69</v>
      </c>
      <c r="J184" s="16">
        <f t="shared" si="40"/>
        <v>20700</v>
      </c>
      <c r="K184" s="16"/>
      <c r="L184" s="16"/>
      <c r="M184" s="16"/>
      <c r="N184" s="16"/>
      <c r="O184" s="97">
        <v>300</v>
      </c>
      <c r="P184" s="97">
        <v>69</v>
      </c>
      <c r="Q184" s="97">
        <f t="shared" si="44"/>
        <v>20700</v>
      </c>
      <c r="R184" s="111">
        <v>0.18</v>
      </c>
      <c r="S184" s="97">
        <f t="shared" si="45"/>
        <v>3726</v>
      </c>
      <c r="T184" s="97">
        <f t="shared" si="46"/>
        <v>24426</v>
      </c>
      <c r="U184" s="97" t="s">
        <v>231</v>
      </c>
      <c r="V184" s="110" t="s">
        <v>126</v>
      </c>
      <c r="W184" s="143" t="s">
        <v>1051</v>
      </c>
    </row>
    <row r="185" spans="1:23" s="6" customFormat="1" ht="17.399999999999999" customHeight="1" x14ac:dyDescent="0.3">
      <c r="A185" s="1"/>
      <c r="B185" s="1"/>
      <c r="C185" s="1"/>
      <c r="D185" s="1"/>
      <c r="E185" s="16" t="s">
        <v>123</v>
      </c>
      <c r="F185" s="16" t="s">
        <v>238</v>
      </c>
      <c r="G185" s="16">
        <v>12</v>
      </c>
      <c r="H185" s="16" t="s">
        <v>87</v>
      </c>
      <c r="I185" s="16">
        <v>3200</v>
      </c>
      <c r="J185" s="16">
        <f t="shared" si="40"/>
        <v>38400</v>
      </c>
      <c r="K185" s="16"/>
      <c r="L185" s="16"/>
      <c r="M185" s="16" t="s">
        <v>91</v>
      </c>
      <c r="N185" s="16">
        <v>78</v>
      </c>
      <c r="O185" s="97">
        <v>12</v>
      </c>
      <c r="P185" s="97">
        <v>3200</v>
      </c>
      <c r="Q185" s="97">
        <f t="shared" si="44"/>
        <v>38400</v>
      </c>
      <c r="R185" s="111">
        <v>0.18</v>
      </c>
      <c r="S185" s="97">
        <f t="shared" si="45"/>
        <v>6912</v>
      </c>
      <c r="T185" s="97">
        <f t="shared" si="46"/>
        <v>45312</v>
      </c>
      <c r="U185" s="97" t="s">
        <v>231</v>
      </c>
      <c r="V185" s="110" t="s">
        <v>126</v>
      </c>
      <c r="W185" s="143" t="s">
        <v>1051</v>
      </c>
    </row>
    <row r="186" spans="1:23" s="6" customFormat="1" ht="21.6" customHeight="1" x14ac:dyDescent="0.3">
      <c r="A186" s="1"/>
      <c r="B186" s="1"/>
      <c r="C186" s="1"/>
      <c r="D186" s="1"/>
      <c r="E186" s="16" t="s">
        <v>123</v>
      </c>
      <c r="F186" s="16" t="s">
        <v>239</v>
      </c>
      <c r="G186" s="16">
        <v>1</v>
      </c>
      <c r="H186" s="16" t="s">
        <v>28</v>
      </c>
      <c r="I186" s="16">
        <v>2356</v>
      </c>
      <c r="J186" s="16">
        <f t="shared" si="40"/>
        <v>2356</v>
      </c>
      <c r="K186" s="16">
        <v>1</v>
      </c>
      <c r="L186" s="16" t="s">
        <v>28</v>
      </c>
      <c r="M186" s="16" t="s">
        <v>91</v>
      </c>
      <c r="N186" s="16">
        <v>90</v>
      </c>
      <c r="O186" s="97">
        <v>1</v>
      </c>
      <c r="P186" s="97">
        <v>2356</v>
      </c>
      <c r="Q186" s="97">
        <f t="shared" si="44"/>
        <v>2356</v>
      </c>
      <c r="R186" s="111">
        <v>0.18</v>
      </c>
      <c r="S186" s="97">
        <f t="shared" si="45"/>
        <v>424.08</v>
      </c>
      <c r="T186" s="97">
        <f t="shared" si="46"/>
        <v>2780.08</v>
      </c>
      <c r="U186" s="97" t="s">
        <v>231</v>
      </c>
      <c r="V186" s="110" t="s">
        <v>126</v>
      </c>
      <c r="W186" s="143" t="s">
        <v>1051</v>
      </c>
    </row>
    <row r="187" spans="1:23" s="6" customFormat="1" ht="17.399999999999999" customHeight="1" x14ac:dyDescent="0.3">
      <c r="A187" s="1"/>
      <c r="B187" s="1"/>
      <c r="C187" s="1"/>
      <c r="D187" s="1"/>
      <c r="E187" s="16" t="s">
        <v>123</v>
      </c>
      <c r="F187" s="16" t="s">
        <v>240</v>
      </c>
      <c r="G187" s="16">
        <v>1</v>
      </c>
      <c r="H187" s="16" t="s">
        <v>28</v>
      </c>
      <c r="I187" s="16">
        <v>6300</v>
      </c>
      <c r="J187" s="16">
        <f t="shared" si="40"/>
        <v>6300</v>
      </c>
      <c r="K187" s="16"/>
      <c r="L187" s="16"/>
      <c r="M187" s="16" t="s">
        <v>91</v>
      </c>
      <c r="N187" s="16">
        <v>78</v>
      </c>
      <c r="O187" s="97">
        <v>1</v>
      </c>
      <c r="P187" s="97">
        <v>6300</v>
      </c>
      <c r="Q187" s="97">
        <f t="shared" si="44"/>
        <v>6300</v>
      </c>
      <c r="R187" s="111">
        <v>0.18</v>
      </c>
      <c r="S187" s="97">
        <f t="shared" si="45"/>
        <v>1134</v>
      </c>
      <c r="T187" s="97">
        <f t="shared" si="46"/>
        <v>7434</v>
      </c>
      <c r="U187" s="97" t="s">
        <v>231</v>
      </c>
      <c r="V187" s="110" t="s">
        <v>126</v>
      </c>
      <c r="W187" s="143" t="s">
        <v>1051</v>
      </c>
    </row>
    <row r="188" spans="1:23" s="6" customFormat="1" ht="17.399999999999999" customHeight="1" x14ac:dyDescent="0.3">
      <c r="A188" s="1"/>
      <c r="B188" s="1"/>
      <c r="C188" s="1"/>
      <c r="D188" s="1"/>
      <c r="E188" s="16" t="s">
        <v>123</v>
      </c>
      <c r="F188" s="16" t="s">
        <v>241</v>
      </c>
      <c r="G188" s="16">
        <v>350</v>
      </c>
      <c r="H188" s="16" t="s">
        <v>111</v>
      </c>
      <c r="I188" s="16">
        <v>12</v>
      </c>
      <c r="J188" s="16">
        <f t="shared" si="40"/>
        <v>4200</v>
      </c>
      <c r="K188" s="16"/>
      <c r="L188" s="16"/>
      <c r="M188" s="16" t="s">
        <v>91</v>
      </c>
      <c r="N188" s="16">
        <v>78</v>
      </c>
      <c r="O188" s="97">
        <v>350</v>
      </c>
      <c r="P188" s="97">
        <v>12</v>
      </c>
      <c r="Q188" s="97">
        <f t="shared" si="44"/>
        <v>4200</v>
      </c>
      <c r="R188" s="111">
        <v>0.18</v>
      </c>
      <c r="S188" s="97">
        <f t="shared" si="45"/>
        <v>756</v>
      </c>
      <c r="T188" s="97">
        <f t="shared" si="46"/>
        <v>4956</v>
      </c>
      <c r="U188" s="97" t="s">
        <v>231</v>
      </c>
      <c r="V188" s="110" t="s">
        <v>126</v>
      </c>
      <c r="W188" s="143" t="s">
        <v>1051</v>
      </c>
    </row>
    <row r="189" spans="1:23" s="6" customFormat="1" ht="17.399999999999999" customHeight="1" x14ac:dyDescent="0.3">
      <c r="A189" s="1"/>
      <c r="B189" s="1"/>
      <c r="C189" s="1"/>
      <c r="D189" s="1"/>
      <c r="E189" s="16" t="s">
        <v>123</v>
      </c>
      <c r="F189" s="16" t="s">
        <v>242</v>
      </c>
      <c r="G189" s="16">
        <v>15</v>
      </c>
      <c r="H189" s="16" t="s">
        <v>28</v>
      </c>
      <c r="I189" s="16">
        <v>1250</v>
      </c>
      <c r="J189" s="16">
        <f t="shared" si="40"/>
        <v>18750</v>
      </c>
      <c r="K189" s="16">
        <v>15</v>
      </c>
      <c r="L189" s="16" t="s">
        <v>28</v>
      </c>
      <c r="M189" s="16" t="s">
        <v>91</v>
      </c>
      <c r="N189" s="16">
        <v>81</v>
      </c>
      <c r="O189" s="97">
        <v>15</v>
      </c>
      <c r="P189" s="97">
        <v>1250</v>
      </c>
      <c r="Q189" s="97">
        <f t="shared" si="44"/>
        <v>18750</v>
      </c>
      <c r="R189" s="111">
        <v>0.18</v>
      </c>
      <c r="S189" s="97">
        <f t="shared" si="45"/>
        <v>3375</v>
      </c>
      <c r="T189" s="97">
        <f t="shared" si="46"/>
        <v>22125</v>
      </c>
      <c r="U189" s="97" t="s">
        <v>231</v>
      </c>
      <c r="V189" s="110" t="s">
        <v>126</v>
      </c>
      <c r="W189" s="143" t="s">
        <v>1051</v>
      </c>
    </row>
    <row r="190" spans="1:23" s="6" customFormat="1" ht="26.4" customHeight="1" x14ac:dyDescent="0.3">
      <c r="A190" s="1"/>
      <c r="B190" s="1"/>
      <c r="C190" s="1"/>
      <c r="D190" s="1"/>
      <c r="E190" s="16" t="s">
        <v>123</v>
      </c>
      <c r="F190" s="39" t="s">
        <v>243</v>
      </c>
      <c r="G190" s="16">
        <v>3</v>
      </c>
      <c r="H190" s="16" t="s">
        <v>28</v>
      </c>
      <c r="I190" s="16">
        <v>3500</v>
      </c>
      <c r="J190" s="16">
        <f t="shared" si="40"/>
        <v>10500</v>
      </c>
      <c r="K190" s="16">
        <v>3</v>
      </c>
      <c r="L190" s="16" t="s">
        <v>28</v>
      </c>
      <c r="M190" s="16" t="s">
        <v>91</v>
      </c>
      <c r="N190" s="16">
        <v>93</v>
      </c>
      <c r="O190" s="97">
        <v>3</v>
      </c>
      <c r="P190" s="97">
        <v>3500</v>
      </c>
      <c r="Q190" s="97">
        <f t="shared" si="44"/>
        <v>10500</v>
      </c>
      <c r="R190" s="111">
        <v>0.18</v>
      </c>
      <c r="S190" s="97">
        <f t="shared" si="45"/>
        <v>1890</v>
      </c>
      <c r="T190" s="97">
        <f t="shared" si="46"/>
        <v>12390</v>
      </c>
      <c r="U190" s="97" t="s">
        <v>231</v>
      </c>
      <c r="V190" s="110" t="s">
        <v>126</v>
      </c>
      <c r="W190" s="143" t="s">
        <v>1051</v>
      </c>
    </row>
    <row r="191" spans="1:23" s="6" customFormat="1" ht="17.399999999999999" customHeight="1" x14ac:dyDescent="0.3">
      <c r="A191" s="1"/>
      <c r="B191" s="1"/>
      <c r="C191" s="1"/>
      <c r="D191" s="1"/>
      <c r="E191" s="16" t="s">
        <v>123</v>
      </c>
      <c r="F191" s="16" t="s">
        <v>244</v>
      </c>
      <c r="G191" s="16">
        <v>1</v>
      </c>
      <c r="H191" s="16" t="s">
        <v>28</v>
      </c>
      <c r="I191" s="16">
        <v>2804</v>
      </c>
      <c r="J191" s="16">
        <f t="shared" si="40"/>
        <v>2804</v>
      </c>
      <c r="K191" s="16"/>
      <c r="L191" s="16"/>
      <c r="M191" s="16" t="s">
        <v>91</v>
      </c>
      <c r="N191" s="16">
        <v>78</v>
      </c>
      <c r="O191" s="97">
        <v>1</v>
      </c>
      <c r="P191" s="97">
        <v>2804</v>
      </c>
      <c r="Q191" s="97">
        <f t="shared" si="44"/>
        <v>2804</v>
      </c>
      <c r="R191" s="111">
        <v>0.18</v>
      </c>
      <c r="S191" s="97">
        <f t="shared" si="45"/>
        <v>504.72</v>
      </c>
      <c r="T191" s="97">
        <f t="shared" si="46"/>
        <v>3308.7200000000003</v>
      </c>
      <c r="U191" s="97" t="s">
        <v>231</v>
      </c>
      <c r="V191" s="110" t="s">
        <v>126</v>
      </c>
      <c r="W191" s="143" t="s">
        <v>1051</v>
      </c>
    </row>
    <row r="192" spans="1:23" s="6" customFormat="1" ht="17.399999999999999" customHeight="1" x14ac:dyDescent="0.3">
      <c r="A192" s="1"/>
      <c r="B192" s="1"/>
      <c r="C192" s="1"/>
      <c r="D192" s="1"/>
      <c r="E192" s="16" t="s">
        <v>123</v>
      </c>
      <c r="F192" s="16" t="s">
        <v>245</v>
      </c>
      <c r="G192" s="16">
        <v>1</v>
      </c>
      <c r="H192" s="16" t="s">
        <v>28</v>
      </c>
      <c r="I192" s="16">
        <v>5800</v>
      </c>
      <c r="J192" s="16">
        <f t="shared" si="40"/>
        <v>5800</v>
      </c>
      <c r="K192" s="16">
        <v>1</v>
      </c>
      <c r="L192" s="16" t="s">
        <v>28</v>
      </c>
      <c r="M192" s="16" t="s">
        <v>91</v>
      </c>
      <c r="N192" s="16">
        <v>78</v>
      </c>
      <c r="O192" s="97">
        <v>1</v>
      </c>
      <c r="P192" s="97">
        <v>5800</v>
      </c>
      <c r="Q192" s="97">
        <f t="shared" si="44"/>
        <v>5800</v>
      </c>
      <c r="R192" s="111">
        <v>0.18</v>
      </c>
      <c r="S192" s="97">
        <f t="shared" si="45"/>
        <v>1044</v>
      </c>
      <c r="T192" s="97">
        <f t="shared" si="46"/>
        <v>6844</v>
      </c>
      <c r="U192" s="97" t="s">
        <v>231</v>
      </c>
      <c r="V192" s="110" t="s">
        <v>126</v>
      </c>
      <c r="W192" s="143" t="s">
        <v>1051</v>
      </c>
    </row>
    <row r="193" spans="1:23" s="6" customFormat="1" ht="21.6" customHeight="1" x14ac:dyDescent="0.3">
      <c r="A193" s="1"/>
      <c r="B193" s="1"/>
      <c r="C193" s="1"/>
      <c r="D193" s="1"/>
      <c r="E193" s="16" t="s">
        <v>123</v>
      </c>
      <c r="F193" s="39" t="s">
        <v>246</v>
      </c>
      <c r="G193" s="16">
        <v>300</v>
      </c>
      <c r="H193" s="16" t="s">
        <v>111</v>
      </c>
      <c r="I193" s="16">
        <v>70</v>
      </c>
      <c r="J193" s="16">
        <f t="shared" si="40"/>
        <v>21000</v>
      </c>
      <c r="K193" s="16"/>
      <c r="L193" s="16"/>
      <c r="M193" s="38"/>
      <c r="N193" s="16"/>
      <c r="O193" s="97">
        <v>300</v>
      </c>
      <c r="P193" s="97">
        <v>70</v>
      </c>
      <c r="Q193" s="97">
        <f t="shared" si="44"/>
        <v>21000</v>
      </c>
      <c r="R193" s="111">
        <v>0.18</v>
      </c>
      <c r="S193" s="97">
        <f t="shared" si="45"/>
        <v>3780</v>
      </c>
      <c r="T193" s="97">
        <f t="shared" si="46"/>
        <v>24780</v>
      </c>
      <c r="U193" s="97" t="s">
        <v>231</v>
      </c>
      <c r="V193" s="110" t="s">
        <v>126</v>
      </c>
      <c r="W193" s="143" t="s">
        <v>1051</v>
      </c>
    </row>
    <row r="194" spans="1:23" x14ac:dyDescent="0.3">
      <c r="A194" s="207" t="s">
        <v>39</v>
      </c>
      <c r="B194" s="208"/>
      <c r="C194" s="208"/>
      <c r="D194" s="208"/>
      <c r="E194" s="208"/>
      <c r="F194" s="208"/>
      <c r="G194" s="208"/>
      <c r="H194" s="208"/>
      <c r="I194" s="209"/>
      <c r="J194" s="1">
        <f>SUM(J170:J193)</f>
        <v>372000</v>
      </c>
      <c r="K194" s="1"/>
      <c r="L194" s="1"/>
      <c r="M194" s="1"/>
      <c r="N194" s="8"/>
      <c r="O194" s="8"/>
      <c r="P194" s="8"/>
      <c r="Q194" s="8"/>
      <c r="R194" s="8"/>
      <c r="S194" s="8"/>
      <c r="T194" s="8"/>
      <c r="U194" s="8"/>
      <c r="V194" s="8"/>
      <c r="W194" s="142"/>
    </row>
    <row r="195" spans="1:23" x14ac:dyDescent="0.3">
      <c r="A195" s="207" t="s">
        <v>82</v>
      </c>
      <c r="B195" s="208"/>
      <c r="C195" s="208"/>
      <c r="D195" s="208"/>
      <c r="E195" s="208"/>
      <c r="F195" s="208"/>
      <c r="G195" s="208"/>
      <c r="H195" s="208"/>
      <c r="I195" s="209"/>
      <c r="J195" s="1">
        <f>J194*18/100</f>
        <v>66960</v>
      </c>
      <c r="K195" s="1"/>
      <c r="L195" s="1"/>
      <c r="M195" s="1"/>
      <c r="N195" s="8"/>
      <c r="O195" s="8"/>
      <c r="P195" s="8"/>
      <c r="Q195" s="8"/>
      <c r="R195" s="8"/>
      <c r="S195" s="8"/>
      <c r="T195" s="8"/>
      <c r="U195" s="8"/>
      <c r="V195" s="8"/>
      <c r="W195" s="142"/>
    </row>
    <row r="196" spans="1:23" x14ac:dyDescent="0.3">
      <c r="A196" s="207" t="s">
        <v>41</v>
      </c>
      <c r="B196" s="208"/>
      <c r="C196" s="208"/>
      <c r="D196" s="208"/>
      <c r="E196" s="208"/>
      <c r="F196" s="208"/>
      <c r="G196" s="208"/>
      <c r="H196" s="208"/>
      <c r="I196" s="209"/>
      <c r="J196" s="5">
        <f>SUM(J194:J195)</f>
        <v>438960</v>
      </c>
      <c r="K196" s="6"/>
      <c r="L196" s="6"/>
      <c r="M196" s="6"/>
      <c r="W196" s="142"/>
    </row>
    <row r="197" spans="1:23" x14ac:dyDescent="0.3">
      <c r="W197" s="142"/>
    </row>
    <row r="198" spans="1:23" x14ac:dyDescent="0.3">
      <c r="A198" s="30">
        <v>17</v>
      </c>
      <c r="B198" s="53">
        <v>9200122123</v>
      </c>
      <c r="C198" s="31">
        <v>45635</v>
      </c>
      <c r="D198" s="30" t="s">
        <v>43</v>
      </c>
      <c r="E198" s="30" t="s">
        <v>123</v>
      </c>
      <c r="F198" s="53" t="s">
        <v>247</v>
      </c>
      <c r="G198" s="30">
        <v>1</v>
      </c>
      <c r="H198" s="30" t="s">
        <v>87</v>
      </c>
      <c r="I198" s="30">
        <v>9550</v>
      </c>
      <c r="J198" s="30">
        <f>G198*I198</f>
        <v>9550</v>
      </c>
      <c r="K198" s="30"/>
      <c r="L198" s="30"/>
      <c r="M198" s="30"/>
      <c r="N198" s="30"/>
      <c r="O198" s="30">
        <v>1</v>
      </c>
      <c r="P198" s="30">
        <v>9950</v>
      </c>
      <c r="Q198" s="30">
        <f>O198*P198</f>
        <v>9950</v>
      </c>
      <c r="R198" s="52">
        <v>0.18</v>
      </c>
      <c r="S198" s="30">
        <f>Q198*R198</f>
        <v>1791</v>
      </c>
      <c r="T198" s="30">
        <f>Q198+S198</f>
        <v>11741</v>
      </c>
      <c r="U198" s="16" t="s">
        <v>248</v>
      </c>
      <c r="V198" s="30" t="s">
        <v>249</v>
      </c>
      <c r="W198" s="142"/>
    </row>
    <row r="199" spans="1:23"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142"/>
    </row>
    <row r="200" spans="1:23" x14ac:dyDescent="0.3">
      <c r="A200" s="205" t="s">
        <v>39</v>
      </c>
      <c r="B200" s="205"/>
      <c r="C200" s="205"/>
      <c r="D200" s="205"/>
      <c r="E200" s="205"/>
      <c r="F200" s="205"/>
      <c r="G200" s="205"/>
      <c r="H200" s="205"/>
      <c r="I200" s="205"/>
      <c r="J200" s="126">
        <f>SUM(J198:J199)</f>
        <v>9550</v>
      </c>
      <c r="K200" s="21"/>
      <c r="L200" s="21"/>
      <c r="M200" s="21"/>
      <c r="N200" s="21"/>
      <c r="O200" s="21"/>
      <c r="P200" s="21"/>
      <c r="Q200" s="21"/>
      <c r="R200" s="21"/>
      <c r="S200" s="21"/>
      <c r="T200" s="21"/>
      <c r="U200" s="21"/>
      <c r="V200" s="21"/>
      <c r="W200" s="142"/>
    </row>
    <row r="201" spans="1:23" x14ac:dyDescent="0.3">
      <c r="A201" s="205" t="s">
        <v>82</v>
      </c>
      <c r="B201" s="205"/>
      <c r="C201" s="205"/>
      <c r="D201" s="205"/>
      <c r="E201" s="205"/>
      <c r="F201" s="205"/>
      <c r="G201" s="205"/>
      <c r="H201" s="205"/>
      <c r="I201" s="205"/>
      <c r="J201" s="126">
        <f>J200*18/100</f>
        <v>1719</v>
      </c>
      <c r="K201" s="21"/>
      <c r="L201" s="21"/>
      <c r="M201" s="21"/>
      <c r="N201" s="21"/>
      <c r="O201" s="21"/>
      <c r="P201" s="21"/>
      <c r="Q201" s="21"/>
      <c r="R201" s="21"/>
      <c r="S201" s="21"/>
      <c r="T201" s="21"/>
      <c r="U201" s="21"/>
      <c r="V201" s="21"/>
      <c r="W201" s="142"/>
    </row>
    <row r="202" spans="1:23" x14ac:dyDescent="0.3">
      <c r="A202" s="205" t="s">
        <v>41</v>
      </c>
      <c r="B202" s="205"/>
      <c r="C202" s="205"/>
      <c r="D202" s="205"/>
      <c r="E202" s="205"/>
      <c r="F202" s="205"/>
      <c r="G202" s="205"/>
      <c r="H202" s="205"/>
      <c r="I202" s="205"/>
      <c r="J202" s="126">
        <f>SUM(J200:J201)</f>
        <v>11269</v>
      </c>
      <c r="K202" s="21"/>
      <c r="L202" s="21"/>
      <c r="M202" s="21"/>
      <c r="N202" s="21"/>
      <c r="O202" s="21"/>
      <c r="P202" s="21"/>
      <c r="Q202" s="21"/>
      <c r="R202" s="21"/>
      <c r="S202" s="21"/>
      <c r="T202" s="21"/>
      <c r="U202" s="21"/>
      <c r="V202" s="21"/>
      <c r="W202" s="142"/>
    </row>
    <row r="203" spans="1:23"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142"/>
    </row>
    <row r="204" spans="1:23" ht="24" x14ac:dyDescent="0.3">
      <c r="A204" s="30">
        <v>18</v>
      </c>
      <c r="B204" s="53">
        <v>9200122124</v>
      </c>
      <c r="C204" s="31">
        <v>45635</v>
      </c>
      <c r="D204" s="83" t="s">
        <v>250</v>
      </c>
      <c r="E204" s="83"/>
      <c r="F204" s="56" t="s">
        <v>251</v>
      </c>
      <c r="G204" s="30">
        <v>180</v>
      </c>
      <c r="H204" s="30" t="s">
        <v>252</v>
      </c>
      <c r="I204" s="30">
        <v>90</v>
      </c>
      <c r="J204" s="30">
        <f>G204*I204</f>
        <v>16200</v>
      </c>
      <c r="K204" s="30">
        <v>180</v>
      </c>
      <c r="L204" s="30" t="s">
        <v>252</v>
      </c>
      <c r="M204" s="30" t="s">
        <v>91</v>
      </c>
      <c r="N204" s="30">
        <v>91</v>
      </c>
      <c r="O204" s="30">
        <v>180</v>
      </c>
      <c r="P204" s="30">
        <v>90</v>
      </c>
      <c r="Q204" s="30">
        <f>O204*P204</f>
        <v>16200</v>
      </c>
      <c r="R204" s="52">
        <v>0.18</v>
      </c>
      <c r="S204" s="30">
        <f>Q204*R204</f>
        <v>2916</v>
      </c>
      <c r="T204" s="30">
        <f>Q204+S204</f>
        <v>19116</v>
      </c>
      <c r="U204" s="16" t="s">
        <v>253</v>
      </c>
      <c r="V204" s="30" t="s">
        <v>254</v>
      </c>
      <c r="W204" s="142"/>
    </row>
    <row r="205" spans="1:23" x14ac:dyDescent="0.3">
      <c r="A205" s="21"/>
      <c r="B205" s="21"/>
      <c r="C205" s="21"/>
      <c r="D205" s="21"/>
      <c r="E205" s="21"/>
      <c r="F205" s="53" t="s">
        <v>255</v>
      </c>
      <c r="G205" s="30">
        <v>1</v>
      </c>
      <c r="H205" s="30" t="s">
        <v>87</v>
      </c>
      <c r="I205" s="30">
        <v>6500</v>
      </c>
      <c r="J205" s="30">
        <f t="shared" ref="J205:J209" si="47">G205*I205</f>
        <v>6500</v>
      </c>
      <c r="K205" s="30"/>
      <c r="L205" s="30"/>
      <c r="M205" s="30"/>
      <c r="N205" s="30"/>
      <c r="O205" s="30">
        <v>1</v>
      </c>
      <c r="P205" s="30">
        <v>6500</v>
      </c>
      <c r="Q205" s="30">
        <f t="shared" ref="Q205:Q209" si="48">O205*P205</f>
        <v>6500</v>
      </c>
      <c r="R205" s="52">
        <v>0.18</v>
      </c>
      <c r="S205" s="30">
        <f t="shared" ref="S205:S209" si="49">Q205*R205</f>
        <v>1170</v>
      </c>
      <c r="T205" s="30">
        <f t="shared" ref="T205:T209" si="50">Q205+S205</f>
        <v>7670</v>
      </c>
      <c r="U205" s="16" t="s">
        <v>253</v>
      </c>
      <c r="V205" s="30" t="s">
        <v>254</v>
      </c>
      <c r="W205" s="142"/>
    </row>
    <row r="206" spans="1:23" x14ac:dyDescent="0.3">
      <c r="A206" s="21"/>
      <c r="B206" s="21"/>
      <c r="C206" s="21"/>
      <c r="D206" s="21"/>
      <c r="E206" s="21"/>
      <c r="F206" s="53" t="s">
        <v>256</v>
      </c>
      <c r="G206" s="30">
        <v>1</v>
      </c>
      <c r="H206" s="30" t="s">
        <v>28</v>
      </c>
      <c r="I206" s="30">
        <v>54500</v>
      </c>
      <c r="J206" s="30">
        <f t="shared" si="47"/>
        <v>54500</v>
      </c>
      <c r="K206" s="30">
        <v>1</v>
      </c>
      <c r="L206" s="30" t="s">
        <v>28</v>
      </c>
      <c r="M206" s="30" t="s">
        <v>91</v>
      </c>
      <c r="N206" s="30">
        <v>89</v>
      </c>
      <c r="O206" s="30">
        <v>1</v>
      </c>
      <c r="P206" s="30">
        <v>54500</v>
      </c>
      <c r="Q206" s="30">
        <f t="shared" si="48"/>
        <v>54500</v>
      </c>
      <c r="R206" s="52">
        <v>0.18</v>
      </c>
      <c r="S206" s="30">
        <f t="shared" si="49"/>
        <v>9810</v>
      </c>
      <c r="T206" s="30">
        <f t="shared" si="50"/>
        <v>64310</v>
      </c>
      <c r="U206" s="16" t="s">
        <v>253</v>
      </c>
      <c r="V206" s="30" t="s">
        <v>254</v>
      </c>
      <c r="W206" s="142"/>
    </row>
    <row r="207" spans="1:23" x14ac:dyDescent="0.3">
      <c r="A207" s="21"/>
      <c r="B207" s="21"/>
      <c r="C207" s="21"/>
      <c r="D207" s="21"/>
      <c r="E207" s="21"/>
      <c r="F207" s="53" t="s">
        <v>257</v>
      </c>
      <c r="G207" s="30">
        <v>2</v>
      </c>
      <c r="H207" s="30" t="s">
        <v>28</v>
      </c>
      <c r="I207" s="30">
        <v>720</v>
      </c>
      <c r="J207" s="30">
        <f t="shared" si="47"/>
        <v>1440</v>
      </c>
      <c r="K207" s="30"/>
      <c r="L207" s="30"/>
      <c r="M207" s="30"/>
      <c r="N207" s="30"/>
      <c r="O207" s="30">
        <v>2</v>
      </c>
      <c r="P207" s="30">
        <v>720</v>
      </c>
      <c r="Q207" s="30">
        <f t="shared" si="48"/>
        <v>1440</v>
      </c>
      <c r="R207" s="52">
        <v>0.18</v>
      </c>
      <c r="S207" s="30">
        <f t="shared" si="49"/>
        <v>259.2</v>
      </c>
      <c r="T207" s="30">
        <f t="shared" si="50"/>
        <v>1699.2</v>
      </c>
      <c r="U207" s="16" t="s">
        <v>253</v>
      </c>
      <c r="V207" s="30" t="s">
        <v>254</v>
      </c>
      <c r="W207" s="142"/>
    </row>
    <row r="208" spans="1:23" x14ac:dyDescent="0.3">
      <c r="A208" s="21"/>
      <c r="B208" s="21"/>
      <c r="C208" s="21"/>
      <c r="D208" s="21"/>
      <c r="E208" s="21"/>
      <c r="F208" s="53" t="s">
        <v>258</v>
      </c>
      <c r="G208" s="30">
        <v>1</v>
      </c>
      <c r="H208" s="30" t="s">
        <v>87</v>
      </c>
      <c r="I208" s="30">
        <v>11500</v>
      </c>
      <c r="J208" s="30">
        <f t="shared" si="47"/>
        <v>11500</v>
      </c>
      <c r="K208" s="30"/>
      <c r="L208" s="30"/>
      <c r="M208" s="30"/>
      <c r="N208" s="30"/>
      <c r="O208" s="30">
        <v>1</v>
      </c>
      <c r="P208" s="30">
        <v>11500</v>
      </c>
      <c r="Q208" s="30">
        <f t="shared" si="48"/>
        <v>11500</v>
      </c>
      <c r="R208" s="52">
        <v>0.18</v>
      </c>
      <c r="S208" s="30">
        <f t="shared" si="49"/>
        <v>2070</v>
      </c>
      <c r="T208" s="30">
        <f t="shared" si="50"/>
        <v>13570</v>
      </c>
      <c r="U208" s="16" t="s">
        <v>253</v>
      </c>
      <c r="V208" s="30" t="s">
        <v>254</v>
      </c>
      <c r="W208" s="142"/>
    </row>
    <row r="209" spans="1:23" x14ac:dyDescent="0.3">
      <c r="A209" s="21"/>
      <c r="B209" s="21"/>
      <c r="C209" s="21"/>
      <c r="D209" s="21"/>
      <c r="E209" s="21"/>
      <c r="F209" s="30" t="s">
        <v>259</v>
      </c>
      <c r="G209" s="30">
        <v>1</v>
      </c>
      <c r="H209" s="30" t="s">
        <v>87</v>
      </c>
      <c r="I209" s="30">
        <v>8500</v>
      </c>
      <c r="J209" s="30">
        <f t="shared" si="47"/>
        <v>8500</v>
      </c>
      <c r="K209" s="30"/>
      <c r="L209" s="30"/>
      <c r="M209" s="30"/>
      <c r="N209" s="30"/>
      <c r="O209" s="30">
        <v>1</v>
      </c>
      <c r="P209" s="30">
        <v>8500</v>
      </c>
      <c r="Q209" s="30">
        <f t="shared" si="48"/>
        <v>8500</v>
      </c>
      <c r="R209" s="52">
        <v>0.18</v>
      </c>
      <c r="S209" s="30">
        <f t="shared" si="49"/>
        <v>1530</v>
      </c>
      <c r="T209" s="30">
        <f t="shared" si="50"/>
        <v>10030</v>
      </c>
      <c r="U209" s="16" t="s">
        <v>253</v>
      </c>
      <c r="V209" s="30" t="s">
        <v>254</v>
      </c>
      <c r="W209" s="142"/>
    </row>
    <row r="210" spans="1:23" x14ac:dyDescent="0.3">
      <c r="A210" s="205" t="s">
        <v>39</v>
      </c>
      <c r="B210" s="205"/>
      <c r="C210" s="205"/>
      <c r="D210" s="205"/>
      <c r="E210" s="205"/>
      <c r="F210" s="205"/>
      <c r="G210" s="205"/>
      <c r="H210" s="205"/>
      <c r="I210" s="205"/>
      <c r="J210" s="126">
        <f>SUM(J204:J209)</f>
        <v>98640</v>
      </c>
      <c r="K210" s="21"/>
      <c r="L210" s="21"/>
      <c r="M210" s="21"/>
      <c r="N210" s="21"/>
      <c r="O210" s="21"/>
      <c r="P210" s="21"/>
      <c r="Q210" s="21"/>
      <c r="R210" s="21"/>
      <c r="S210" s="21"/>
      <c r="T210" s="21"/>
      <c r="U210" s="21"/>
      <c r="V210" s="21"/>
      <c r="W210" s="142"/>
    </row>
    <row r="211" spans="1:23" x14ac:dyDescent="0.3">
      <c r="A211" s="205" t="s">
        <v>82</v>
      </c>
      <c r="B211" s="205"/>
      <c r="C211" s="205"/>
      <c r="D211" s="205"/>
      <c r="E211" s="205"/>
      <c r="F211" s="205"/>
      <c r="G211" s="205"/>
      <c r="H211" s="205"/>
      <c r="I211" s="205"/>
      <c r="J211" s="126">
        <f>J210*18/100</f>
        <v>17755.2</v>
      </c>
      <c r="K211" s="21"/>
      <c r="L211" s="21"/>
      <c r="M211" s="21"/>
      <c r="N211" s="21"/>
      <c r="O211" s="21"/>
      <c r="P211" s="21"/>
      <c r="Q211" s="21"/>
      <c r="R211" s="21"/>
      <c r="S211" s="21"/>
      <c r="T211" s="21"/>
      <c r="U211" s="21"/>
      <c r="V211" s="21"/>
      <c r="W211" s="142"/>
    </row>
    <row r="212" spans="1:23" x14ac:dyDescent="0.3">
      <c r="A212" s="205" t="s">
        <v>41</v>
      </c>
      <c r="B212" s="205"/>
      <c r="C212" s="205"/>
      <c r="D212" s="205"/>
      <c r="E212" s="205"/>
      <c r="F212" s="205"/>
      <c r="G212" s="205"/>
      <c r="H212" s="205"/>
      <c r="I212" s="205"/>
      <c r="J212" s="126">
        <f>SUM(J210:J211)</f>
        <v>116395.2</v>
      </c>
      <c r="K212" s="21"/>
      <c r="L212" s="21"/>
      <c r="M212" s="21"/>
      <c r="N212" s="21"/>
      <c r="O212" s="21"/>
      <c r="P212" s="21"/>
      <c r="Q212" s="21"/>
      <c r="R212" s="21"/>
      <c r="S212" s="21"/>
      <c r="T212" s="21"/>
      <c r="U212" s="21"/>
      <c r="V212" s="21"/>
      <c r="W212" s="142"/>
    </row>
    <row r="213" spans="1:23"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142"/>
    </row>
    <row r="214" spans="1:23" ht="19.95" customHeight="1" x14ac:dyDescent="0.3">
      <c r="A214" s="16">
        <v>19</v>
      </c>
      <c r="B214" s="60">
        <v>8100014556</v>
      </c>
      <c r="C214" s="16" t="s">
        <v>260</v>
      </c>
      <c r="D214" s="60" t="s">
        <v>43</v>
      </c>
      <c r="E214" s="60"/>
      <c r="F214" s="60" t="s">
        <v>261</v>
      </c>
      <c r="G214" s="16">
        <v>160</v>
      </c>
      <c r="H214" s="16" t="s">
        <v>60</v>
      </c>
      <c r="I214" s="16">
        <v>1330</v>
      </c>
      <c r="J214" s="16">
        <f>G214*I214</f>
        <v>212800</v>
      </c>
      <c r="K214" s="30"/>
      <c r="L214" s="30"/>
      <c r="M214" s="30"/>
      <c r="N214" s="30"/>
      <c r="O214" s="30">
        <v>160</v>
      </c>
      <c r="P214" s="30">
        <v>1330</v>
      </c>
      <c r="Q214" s="30">
        <f>O214*P214</f>
        <v>212800</v>
      </c>
      <c r="R214" s="52">
        <v>0</v>
      </c>
      <c r="S214" s="30">
        <f>Q214*R214</f>
        <v>0</v>
      </c>
      <c r="T214" s="30">
        <f>Q214+S214</f>
        <v>212800</v>
      </c>
      <c r="U214" s="16" t="s">
        <v>262</v>
      </c>
      <c r="V214" s="31">
        <v>45545</v>
      </c>
      <c r="W214" s="142"/>
    </row>
    <row r="215" spans="1:23" ht="25.2" x14ac:dyDescent="0.3">
      <c r="A215" s="1"/>
      <c r="B215" s="1"/>
      <c r="C215" s="1"/>
      <c r="D215" s="1"/>
      <c r="E215" s="1"/>
      <c r="F215" s="39" t="s">
        <v>263</v>
      </c>
      <c r="G215" s="16">
        <v>35</v>
      </c>
      <c r="H215" s="16" t="s">
        <v>28</v>
      </c>
      <c r="I215" s="16">
        <v>1024</v>
      </c>
      <c r="J215" s="16">
        <f t="shared" ref="J215:J240" si="51">G215*I215</f>
        <v>35840</v>
      </c>
      <c r="K215" s="30"/>
      <c r="L215" s="30"/>
      <c r="M215" s="30"/>
      <c r="N215" s="30"/>
      <c r="O215" s="30">
        <v>35</v>
      </c>
      <c r="P215" s="30">
        <v>1024</v>
      </c>
      <c r="Q215" s="30">
        <f t="shared" ref="Q215:Q223" si="52">O215*P215</f>
        <v>35840</v>
      </c>
      <c r="R215" s="52">
        <v>0</v>
      </c>
      <c r="S215" s="30">
        <f t="shared" ref="S215:S223" si="53">Q215*R215</f>
        <v>0</v>
      </c>
      <c r="T215" s="30">
        <f t="shared" ref="T215:T223" si="54">Q215+S215</f>
        <v>35840</v>
      </c>
      <c r="U215" s="16" t="s">
        <v>262</v>
      </c>
      <c r="V215" s="31">
        <v>45545</v>
      </c>
      <c r="W215" s="142"/>
    </row>
    <row r="216" spans="1:23" ht="25.2" x14ac:dyDescent="0.3">
      <c r="A216" s="1"/>
      <c r="B216" s="1"/>
      <c r="C216" s="1"/>
      <c r="D216" s="1"/>
      <c r="E216" s="1"/>
      <c r="F216" s="39" t="s">
        <v>264</v>
      </c>
      <c r="G216" s="16">
        <v>35</v>
      </c>
      <c r="H216" s="16" t="s">
        <v>28</v>
      </c>
      <c r="I216" s="16">
        <v>1514</v>
      </c>
      <c r="J216" s="16">
        <f t="shared" si="51"/>
        <v>52990</v>
      </c>
      <c r="K216" s="30"/>
      <c r="L216" s="30"/>
      <c r="M216" s="30"/>
      <c r="N216" s="30"/>
      <c r="O216" s="30">
        <v>34</v>
      </c>
      <c r="P216" s="30">
        <v>1514</v>
      </c>
      <c r="Q216" s="30">
        <f t="shared" si="52"/>
        <v>51476</v>
      </c>
      <c r="R216" s="52">
        <v>0</v>
      </c>
      <c r="S216" s="30">
        <f t="shared" si="53"/>
        <v>0</v>
      </c>
      <c r="T216" s="30">
        <f t="shared" si="54"/>
        <v>51476</v>
      </c>
      <c r="U216" s="16" t="s">
        <v>262</v>
      </c>
      <c r="V216" s="31">
        <v>45545</v>
      </c>
      <c r="W216" s="142"/>
    </row>
    <row r="217" spans="1:23" ht="25.2" x14ac:dyDescent="0.3">
      <c r="A217" s="1"/>
      <c r="B217" s="1"/>
      <c r="C217" s="1"/>
      <c r="D217" s="1"/>
      <c r="E217" s="1"/>
      <c r="F217" s="39" t="s">
        <v>265</v>
      </c>
      <c r="G217" s="16">
        <v>35</v>
      </c>
      <c r="H217" s="16" t="s">
        <v>28</v>
      </c>
      <c r="I217" s="16">
        <v>330</v>
      </c>
      <c r="J217" s="16">
        <f t="shared" si="51"/>
        <v>11550</v>
      </c>
      <c r="K217" s="30"/>
      <c r="L217" s="30"/>
      <c r="M217" s="30"/>
      <c r="N217" s="30"/>
      <c r="O217" s="30">
        <v>35</v>
      </c>
      <c r="P217" s="30">
        <v>330</v>
      </c>
      <c r="Q217" s="30">
        <f t="shared" si="52"/>
        <v>11550</v>
      </c>
      <c r="R217" s="52">
        <v>0</v>
      </c>
      <c r="S217" s="30">
        <f t="shared" si="53"/>
        <v>0</v>
      </c>
      <c r="T217" s="30">
        <f t="shared" si="54"/>
        <v>11550</v>
      </c>
      <c r="U217" s="16" t="s">
        <v>262</v>
      </c>
      <c r="V217" s="31">
        <v>45545</v>
      </c>
      <c r="W217" s="142"/>
    </row>
    <row r="218" spans="1:23" x14ac:dyDescent="0.3">
      <c r="A218" s="1"/>
      <c r="B218" s="1"/>
      <c r="C218" s="1"/>
      <c r="D218" s="1"/>
      <c r="E218" s="1"/>
      <c r="F218" s="16" t="s">
        <v>266</v>
      </c>
      <c r="G218" s="16">
        <v>25</v>
      </c>
      <c r="H218" s="16" t="s">
        <v>28</v>
      </c>
      <c r="I218" s="16">
        <v>384.8</v>
      </c>
      <c r="J218" s="16">
        <f t="shared" si="51"/>
        <v>9620</v>
      </c>
      <c r="K218" s="30"/>
      <c r="L218" s="30"/>
      <c r="M218" s="30"/>
      <c r="N218" s="30"/>
      <c r="O218" s="30">
        <v>25</v>
      </c>
      <c r="P218" s="30">
        <v>384.8</v>
      </c>
      <c r="Q218" s="30">
        <f t="shared" si="52"/>
        <v>9620</v>
      </c>
      <c r="R218" s="52">
        <v>0</v>
      </c>
      <c r="S218" s="30">
        <f t="shared" si="53"/>
        <v>0</v>
      </c>
      <c r="T218" s="30">
        <f t="shared" si="54"/>
        <v>9620</v>
      </c>
      <c r="U218" s="16" t="s">
        <v>262</v>
      </c>
      <c r="V218" s="31">
        <v>45545</v>
      </c>
      <c r="W218" s="142"/>
    </row>
    <row r="219" spans="1:23" x14ac:dyDescent="0.3">
      <c r="A219" s="1"/>
      <c r="B219" s="1"/>
      <c r="C219" s="1"/>
      <c r="D219" s="1"/>
      <c r="E219" s="1"/>
      <c r="F219" s="16" t="s">
        <v>267</v>
      </c>
      <c r="G219" s="16">
        <v>160</v>
      </c>
      <c r="H219" s="16" t="s">
        <v>60</v>
      </c>
      <c r="I219" s="16">
        <v>250</v>
      </c>
      <c r="J219" s="16">
        <f t="shared" si="51"/>
        <v>40000</v>
      </c>
      <c r="K219" s="98"/>
      <c r="L219" s="98"/>
      <c r="M219" s="98"/>
      <c r="N219" s="98"/>
      <c r="O219" s="98">
        <v>160</v>
      </c>
      <c r="P219" s="98">
        <v>250</v>
      </c>
      <c r="Q219" s="98">
        <f t="shared" si="52"/>
        <v>40000</v>
      </c>
      <c r="R219" s="99">
        <v>0</v>
      </c>
      <c r="S219" s="98">
        <f t="shared" si="53"/>
        <v>0</v>
      </c>
      <c r="T219" s="98">
        <f t="shared" si="54"/>
        <v>40000</v>
      </c>
      <c r="U219" s="97" t="s">
        <v>268</v>
      </c>
      <c r="V219" s="100">
        <v>45334</v>
      </c>
      <c r="W219" s="142" t="s">
        <v>200</v>
      </c>
    </row>
    <row r="220" spans="1:23" x14ac:dyDescent="0.3">
      <c r="A220" s="1"/>
      <c r="B220" s="1"/>
      <c r="C220" s="1"/>
      <c r="D220" s="1"/>
      <c r="E220" s="1"/>
      <c r="F220" s="16" t="s">
        <v>269</v>
      </c>
      <c r="G220" s="16">
        <v>32</v>
      </c>
      <c r="H220" s="16" t="s">
        <v>28</v>
      </c>
      <c r="I220" s="16">
        <v>1000</v>
      </c>
      <c r="J220" s="16">
        <f t="shared" si="51"/>
        <v>32000</v>
      </c>
      <c r="K220" s="98"/>
      <c r="L220" s="98"/>
      <c r="M220" s="98"/>
      <c r="N220" s="98"/>
      <c r="O220" s="98">
        <v>32</v>
      </c>
      <c r="P220" s="98">
        <v>1000</v>
      </c>
      <c r="Q220" s="98">
        <f t="shared" si="52"/>
        <v>32000</v>
      </c>
      <c r="R220" s="99">
        <v>0</v>
      </c>
      <c r="S220" s="98">
        <f t="shared" si="53"/>
        <v>0</v>
      </c>
      <c r="T220" s="98">
        <f t="shared" si="54"/>
        <v>32000</v>
      </c>
      <c r="U220" s="97" t="s">
        <v>268</v>
      </c>
      <c r="V220" s="100">
        <v>45334</v>
      </c>
      <c r="W220" s="142" t="s">
        <v>200</v>
      </c>
    </row>
    <row r="221" spans="1:23" x14ac:dyDescent="0.25">
      <c r="A221" s="1"/>
      <c r="B221" s="1"/>
      <c r="C221" s="1"/>
      <c r="D221" s="1"/>
      <c r="E221" s="1"/>
      <c r="F221" s="41" t="s">
        <v>270</v>
      </c>
      <c r="G221" s="16">
        <v>32</v>
      </c>
      <c r="H221" s="16" t="s">
        <v>28</v>
      </c>
      <c r="I221" s="16">
        <v>1000</v>
      </c>
      <c r="J221" s="16">
        <f t="shared" si="51"/>
        <v>32000</v>
      </c>
      <c r="K221" s="98"/>
      <c r="L221" s="98"/>
      <c r="M221" s="98"/>
      <c r="N221" s="98"/>
      <c r="O221" s="98">
        <v>32</v>
      </c>
      <c r="P221" s="98">
        <v>1000</v>
      </c>
      <c r="Q221" s="98">
        <f t="shared" si="52"/>
        <v>32000</v>
      </c>
      <c r="R221" s="99">
        <v>0</v>
      </c>
      <c r="S221" s="98">
        <f t="shared" si="53"/>
        <v>0</v>
      </c>
      <c r="T221" s="98">
        <f t="shared" si="54"/>
        <v>32000</v>
      </c>
      <c r="U221" s="97" t="s">
        <v>268</v>
      </c>
      <c r="V221" s="100">
        <v>45334</v>
      </c>
      <c r="W221" s="142" t="s">
        <v>200</v>
      </c>
    </row>
    <row r="222" spans="1:23" x14ac:dyDescent="0.3">
      <c r="A222" s="1"/>
      <c r="B222" s="1"/>
      <c r="C222" s="1"/>
      <c r="D222" s="1"/>
      <c r="E222" s="1"/>
      <c r="F222" s="16" t="s">
        <v>271</v>
      </c>
      <c r="G222" s="16">
        <v>32</v>
      </c>
      <c r="H222" s="16" t="s">
        <v>28</v>
      </c>
      <c r="I222" s="16">
        <v>300</v>
      </c>
      <c r="J222" s="16">
        <f t="shared" si="51"/>
        <v>9600</v>
      </c>
      <c r="K222" s="98"/>
      <c r="L222" s="98"/>
      <c r="M222" s="98"/>
      <c r="N222" s="98"/>
      <c r="O222" s="98">
        <v>32</v>
      </c>
      <c r="P222" s="98">
        <v>300</v>
      </c>
      <c r="Q222" s="98">
        <f t="shared" si="52"/>
        <v>9600</v>
      </c>
      <c r="R222" s="99">
        <v>0</v>
      </c>
      <c r="S222" s="98">
        <f t="shared" si="53"/>
        <v>0</v>
      </c>
      <c r="T222" s="98">
        <f t="shared" si="54"/>
        <v>9600</v>
      </c>
      <c r="U222" s="97" t="s">
        <v>268</v>
      </c>
      <c r="V222" s="100">
        <v>45334</v>
      </c>
      <c r="W222" s="142" t="s">
        <v>200</v>
      </c>
    </row>
    <row r="223" spans="1:23" ht="25.2" x14ac:dyDescent="0.3">
      <c r="A223" s="1"/>
      <c r="B223" s="1"/>
      <c r="C223" s="1"/>
      <c r="D223" s="1"/>
      <c r="E223" s="1"/>
      <c r="F223" s="39" t="s">
        <v>272</v>
      </c>
      <c r="G223" s="16">
        <v>30</v>
      </c>
      <c r="H223" s="16" t="s">
        <v>28</v>
      </c>
      <c r="I223" s="16">
        <v>2500</v>
      </c>
      <c r="J223" s="16">
        <f t="shared" si="51"/>
        <v>75000</v>
      </c>
      <c r="K223" s="98"/>
      <c r="L223" s="98"/>
      <c r="M223" s="98"/>
      <c r="N223" s="98"/>
      <c r="O223" s="98">
        <v>30</v>
      </c>
      <c r="P223" s="98">
        <v>2500</v>
      </c>
      <c r="Q223" s="98">
        <f t="shared" si="52"/>
        <v>75000</v>
      </c>
      <c r="R223" s="99">
        <v>0</v>
      </c>
      <c r="S223" s="98">
        <f t="shared" si="53"/>
        <v>0</v>
      </c>
      <c r="T223" s="98">
        <f t="shared" si="54"/>
        <v>75000</v>
      </c>
      <c r="U223" s="97" t="s">
        <v>268</v>
      </c>
      <c r="V223" s="100">
        <v>45334</v>
      </c>
      <c r="W223" s="142" t="s">
        <v>200</v>
      </c>
    </row>
    <row r="224" spans="1:23"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142"/>
    </row>
    <row r="225" spans="1:24" x14ac:dyDescent="0.3">
      <c r="A225" s="205" t="s">
        <v>39</v>
      </c>
      <c r="B225" s="205"/>
      <c r="C225" s="205"/>
      <c r="D225" s="205"/>
      <c r="E225" s="205"/>
      <c r="F225" s="205"/>
      <c r="G225" s="205"/>
      <c r="H225" s="205"/>
      <c r="I225" s="205"/>
      <c r="J225" s="126">
        <f>SUM(J214:J224)</f>
        <v>511400</v>
      </c>
      <c r="K225" s="21"/>
      <c r="L225" s="21"/>
      <c r="M225" s="21"/>
      <c r="N225" s="21"/>
      <c r="O225" s="21"/>
      <c r="P225" s="21"/>
      <c r="Q225" s="21"/>
      <c r="R225" s="21"/>
      <c r="S225" s="21"/>
      <c r="T225" s="21">
        <f>SUM(T214:T224)</f>
        <v>509886</v>
      </c>
      <c r="U225" s="21"/>
      <c r="V225" s="21"/>
      <c r="W225" s="142"/>
    </row>
    <row r="226" spans="1:24" x14ac:dyDescent="0.3">
      <c r="A226" s="205" t="s">
        <v>82</v>
      </c>
      <c r="B226" s="205"/>
      <c r="C226" s="205"/>
      <c r="D226" s="205"/>
      <c r="E226" s="205"/>
      <c r="F226" s="205"/>
      <c r="G226" s="205"/>
      <c r="H226" s="205"/>
      <c r="I226" s="205"/>
      <c r="J226" s="46">
        <v>0</v>
      </c>
      <c r="K226" s="21"/>
      <c r="L226" s="21"/>
      <c r="M226" s="21"/>
      <c r="N226" s="21"/>
      <c r="O226" s="21"/>
      <c r="P226" s="21"/>
      <c r="Q226" s="21"/>
      <c r="R226" s="21"/>
      <c r="S226" s="21"/>
      <c r="T226" s="21"/>
      <c r="U226" s="21"/>
      <c r="V226" s="21"/>
      <c r="W226" s="142"/>
    </row>
    <row r="227" spans="1:24" x14ac:dyDescent="0.3">
      <c r="A227" s="205" t="s">
        <v>41</v>
      </c>
      <c r="B227" s="205"/>
      <c r="C227" s="205"/>
      <c r="D227" s="205"/>
      <c r="E227" s="205"/>
      <c r="F227" s="205"/>
      <c r="G227" s="205"/>
      <c r="H227" s="205"/>
      <c r="I227" s="205"/>
      <c r="J227" s="126">
        <f>SUM(J225:J226)</f>
        <v>511400</v>
      </c>
      <c r="K227" s="21"/>
      <c r="L227" s="21"/>
      <c r="M227" s="21"/>
      <c r="N227" s="21"/>
      <c r="O227" s="21"/>
      <c r="P227" s="21"/>
      <c r="Q227" s="21"/>
      <c r="R227" s="21"/>
      <c r="S227" s="21"/>
      <c r="T227" s="21"/>
      <c r="U227" s="21"/>
      <c r="V227" s="21"/>
      <c r="W227" s="142"/>
    </row>
    <row r="228" spans="1:24" x14ac:dyDescent="0.3">
      <c r="A228" s="126"/>
      <c r="B228" s="47"/>
      <c r="C228" s="126"/>
      <c r="D228" s="47"/>
      <c r="E228" s="47"/>
      <c r="F228" s="126"/>
      <c r="G228" s="126"/>
      <c r="H228" s="126"/>
      <c r="I228" s="126"/>
      <c r="J228" s="126"/>
      <c r="K228" s="21"/>
      <c r="L228" s="21"/>
      <c r="M228" s="21"/>
      <c r="N228" s="21"/>
      <c r="O228" s="21"/>
      <c r="P228" s="21"/>
      <c r="Q228" s="21"/>
      <c r="R228" s="21"/>
      <c r="S228" s="21"/>
      <c r="T228" s="21"/>
      <c r="U228" s="21"/>
      <c r="V228" s="21"/>
      <c r="W228" s="142"/>
    </row>
    <row r="229" spans="1:24" x14ac:dyDescent="0.3">
      <c r="A229" s="16">
        <v>20</v>
      </c>
      <c r="B229" s="60">
        <v>8600049869</v>
      </c>
      <c r="C229" s="16" t="s">
        <v>273</v>
      </c>
      <c r="D229" s="61" t="s">
        <v>43</v>
      </c>
      <c r="E229" s="61"/>
      <c r="F229" s="16" t="s">
        <v>274</v>
      </c>
      <c r="G229" s="16">
        <v>50</v>
      </c>
      <c r="H229" s="16" t="s">
        <v>28</v>
      </c>
      <c r="I229" s="16">
        <v>1191</v>
      </c>
      <c r="J229" s="16">
        <f t="shared" si="51"/>
        <v>59550</v>
      </c>
      <c r="K229" s="30"/>
      <c r="L229" s="30"/>
      <c r="M229" s="30"/>
      <c r="N229" s="30"/>
      <c r="O229" s="30">
        <v>50</v>
      </c>
      <c r="P229" s="30">
        <v>1191</v>
      </c>
      <c r="Q229" s="30">
        <f>O229*P229</f>
        <v>59550</v>
      </c>
      <c r="R229" s="52">
        <v>0</v>
      </c>
      <c r="S229" s="30">
        <f>Q229*R229</f>
        <v>0</v>
      </c>
      <c r="T229" s="30">
        <f>Q229+S229</f>
        <v>59550</v>
      </c>
      <c r="U229" s="16" t="s">
        <v>275</v>
      </c>
      <c r="V229" s="30" t="s">
        <v>276</v>
      </c>
      <c r="W229" s="142"/>
    </row>
    <row r="230" spans="1:24" x14ac:dyDescent="0.3">
      <c r="A230" s="1"/>
      <c r="B230" s="1"/>
      <c r="C230" s="1"/>
      <c r="D230" s="1"/>
      <c r="E230" s="1"/>
      <c r="F230" s="16" t="s">
        <v>277</v>
      </c>
      <c r="G230" s="16">
        <v>6</v>
      </c>
      <c r="H230" s="16" t="s">
        <v>28</v>
      </c>
      <c r="I230" s="16">
        <v>4800</v>
      </c>
      <c r="J230" s="16">
        <f t="shared" si="51"/>
        <v>28800</v>
      </c>
      <c r="K230" s="30"/>
      <c r="L230" s="30"/>
      <c r="M230" s="30"/>
      <c r="N230" s="30"/>
      <c r="O230" s="30">
        <v>6</v>
      </c>
      <c r="P230" s="30">
        <v>4800</v>
      </c>
      <c r="Q230" s="30">
        <f t="shared" ref="Q230:Q240" si="55">O230*P230</f>
        <v>28800</v>
      </c>
      <c r="R230" s="52">
        <v>0</v>
      </c>
      <c r="S230" s="30">
        <f t="shared" ref="S230:S240" si="56">Q230*R230</f>
        <v>0</v>
      </c>
      <c r="T230" s="30">
        <f t="shared" ref="T230:T240" si="57">Q230+S230</f>
        <v>28800</v>
      </c>
      <c r="U230" s="16" t="s">
        <v>278</v>
      </c>
      <c r="V230" s="30" t="s">
        <v>276</v>
      </c>
      <c r="W230" s="142"/>
    </row>
    <row r="231" spans="1:24" x14ac:dyDescent="0.3">
      <c r="A231" s="1"/>
      <c r="B231" s="1"/>
      <c r="C231" s="1"/>
      <c r="D231" s="1"/>
      <c r="E231" s="1"/>
      <c r="F231" s="16" t="s">
        <v>279</v>
      </c>
      <c r="G231" s="16">
        <v>5</v>
      </c>
      <c r="H231" s="16" t="s">
        <v>28</v>
      </c>
      <c r="I231" s="16">
        <v>8400</v>
      </c>
      <c r="J231" s="16">
        <f t="shared" si="51"/>
        <v>42000</v>
      </c>
      <c r="K231" s="30"/>
      <c r="L231" s="30"/>
      <c r="M231" s="30"/>
      <c r="N231" s="30"/>
      <c r="O231" s="30">
        <v>5</v>
      </c>
      <c r="P231" s="30">
        <v>8400</v>
      </c>
      <c r="Q231" s="30">
        <f t="shared" si="55"/>
        <v>42000</v>
      </c>
      <c r="R231" s="52">
        <v>0</v>
      </c>
      <c r="S231" s="30">
        <f t="shared" si="56"/>
        <v>0</v>
      </c>
      <c r="T231" s="30">
        <f t="shared" si="57"/>
        <v>42000</v>
      </c>
      <c r="U231" s="16" t="s">
        <v>280</v>
      </c>
      <c r="V231" s="30" t="s">
        <v>276</v>
      </c>
      <c r="W231" s="142"/>
    </row>
    <row r="232" spans="1:24" x14ac:dyDescent="0.3">
      <c r="A232" s="1"/>
      <c r="B232" s="1"/>
      <c r="C232" s="1"/>
      <c r="D232" s="1"/>
      <c r="E232" s="1"/>
      <c r="F232" s="16" t="s">
        <v>281</v>
      </c>
      <c r="G232" s="16">
        <v>5</v>
      </c>
      <c r="H232" s="16" t="s">
        <v>28</v>
      </c>
      <c r="I232" s="16">
        <v>1356</v>
      </c>
      <c r="J232" s="16">
        <f t="shared" si="51"/>
        <v>6780</v>
      </c>
      <c r="K232" s="30"/>
      <c r="L232" s="30"/>
      <c r="M232" s="30"/>
      <c r="N232" s="30"/>
      <c r="O232" s="30">
        <v>5</v>
      </c>
      <c r="P232" s="30">
        <v>1356</v>
      </c>
      <c r="Q232" s="30">
        <f t="shared" si="55"/>
        <v>6780</v>
      </c>
      <c r="R232" s="52">
        <v>0</v>
      </c>
      <c r="S232" s="30">
        <f t="shared" si="56"/>
        <v>0</v>
      </c>
      <c r="T232" s="30">
        <f t="shared" si="57"/>
        <v>6780</v>
      </c>
      <c r="U232" s="16" t="s">
        <v>282</v>
      </c>
      <c r="V232" s="30" t="s">
        <v>276</v>
      </c>
      <c r="W232" s="142"/>
    </row>
    <row r="233" spans="1:24" x14ac:dyDescent="0.3">
      <c r="A233" s="1"/>
      <c r="B233" s="1"/>
      <c r="C233" s="1"/>
      <c r="D233" s="1"/>
      <c r="E233" s="1"/>
      <c r="F233" s="16" t="s">
        <v>283</v>
      </c>
      <c r="G233" s="16">
        <v>20</v>
      </c>
      <c r="H233" s="16" t="s">
        <v>28</v>
      </c>
      <c r="I233" s="16">
        <v>4800</v>
      </c>
      <c r="J233" s="16">
        <f t="shared" si="51"/>
        <v>96000</v>
      </c>
      <c r="K233" s="30"/>
      <c r="L233" s="30"/>
      <c r="M233" s="30"/>
      <c r="N233" s="30"/>
      <c r="O233" s="30">
        <v>20</v>
      </c>
      <c r="P233" s="30">
        <v>4800</v>
      </c>
      <c r="Q233" s="30">
        <f t="shared" si="55"/>
        <v>96000</v>
      </c>
      <c r="R233" s="52">
        <v>0</v>
      </c>
      <c r="S233" s="30">
        <f t="shared" si="56"/>
        <v>0</v>
      </c>
      <c r="T233" s="30">
        <f t="shared" si="57"/>
        <v>96000</v>
      </c>
      <c r="U233" s="16" t="s">
        <v>284</v>
      </c>
      <c r="V233" s="30" t="s">
        <v>276</v>
      </c>
      <c r="W233" s="145" t="s">
        <v>285</v>
      </c>
      <c r="X233" s="31">
        <v>45392</v>
      </c>
    </row>
    <row r="234" spans="1:24" x14ac:dyDescent="0.3">
      <c r="A234" s="1"/>
      <c r="B234" s="1"/>
      <c r="C234" s="1"/>
      <c r="D234" s="1"/>
      <c r="E234" s="1"/>
      <c r="F234" s="16" t="s">
        <v>286</v>
      </c>
      <c r="G234" s="16">
        <v>10</v>
      </c>
      <c r="H234" s="16" t="s">
        <v>28</v>
      </c>
      <c r="I234" s="16">
        <v>160</v>
      </c>
      <c r="J234" s="16">
        <f t="shared" si="51"/>
        <v>1600</v>
      </c>
      <c r="K234" s="30"/>
      <c r="L234" s="30"/>
      <c r="M234" s="30"/>
      <c r="N234" s="30"/>
      <c r="O234" s="30">
        <v>10</v>
      </c>
      <c r="P234" s="30">
        <v>160</v>
      </c>
      <c r="Q234" s="30">
        <f t="shared" si="55"/>
        <v>1600</v>
      </c>
      <c r="R234" s="52">
        <v>0</v>
      </c>
      <c r="S234" s="30">
        <f t="shared" si="56"/>
        <v>0</v>
      </c>
      <c r="T234" s="30">
        <f t="shared" si="57"/>
        <v>1600</v>
      </c>
      <c r="U234" s="16" t="s">
        <v>287</v>
      </c>
      <c r="V234" s="30" t="s">
        <v>276</v>
      </c>
      <c r="W234" s="142"/>
    </row>
    <row r="235" spans="1:24" x14ac:dyDescent="0.3">
      <c r="A235" s="1"/>
      <c r="B235" s="1"/>
      <c r="C235" s="1"/>
      <c r="D235" s="1"/>
      <c r="E235" s="1"/>
      <c r="F235" s="16" t="s">
        <v>288</v>
      </c>
      <c r="G235" s="16">
        <v>50</v>
      </c>
      <c r="H235" s="16" t="s">
        <v>28</v>
      </c>
      <c r="I235" s="16">
        <v>24</v>
      </c>
      <c r="J235" s="16">
        <f t="shared" si="51"/>
        <v>1200</v>
      </c>
      <c r="K235" s="30"/>
      <c r="L235" s="30"/>
      <c r="M235" s="30"/>
      <c r="N235" s="30"/>
      <c r="O235" s="30">
        <v>50</v>
      </c>
      <c r="P235" s="30">
        <v>24</v>
      </c>
      <c r="Q235" s="30">
        <f t="shared" si="55"/>
        <v>1200</v>
      </c>
      <c r="R235" s="52">
        <v>0</v>
      </c>
      <c r="S235" s="30">
        <f t="shared" si="56"/>
        <v>0</v>
      </c>
      <c r="T235" s="30">
        <f t="shared" si="57"/>
        <v>1200</v>
      </c>
      <c r="U235" s="16" t="s">
        <v>289</v>
      </c>
      <c r="V235" s="30" t="s">
        <v>276</v>
      </c>
      <c r="W235" s="142"/>
    </row>
    <row r="236" spans="1:24" x14ac:dyDescent="0.3">
      <c r="A236" s="1"/>
      <c r="B236" s="1"/>
      <c r="C236" s="1"/>
      <c r="D236" s="1"/>
      <c r="E236" s="1"/>
      <c r="F236" s="16" t="s">
        <v>290</v>
      </c>
      <c r="G236" s="16">
        <v>20</v>
      </c>
      <c r="H236" s="16" t="s">
        <v>28</v>
      </c>
      <c r="I236" s="16">
        <v>2100</v>
      </c>
      <c r="J236" s="16">
        <f t="shared" si="51"/>
        <v>42000</v>
      </c>
      <c r="K236" s="30"/>
      <c r="L236" s="30"/>
      <c r="M236" s="30"/>
      <c r="N236" s="30"/>
      <c r="O236" s="30">
        <v>20</v>
      </c>
      <c r="P236" s="30">
        <v>2100</v>
      </c>
      <c r="Q236" s="30">
        <f t="shared" si="55"/>
        <v>42000</v>
      </c>
      <c r="R236" s="52">
        <v>0</v>
      </c>
      <c r="S236" s="30">
        <f t="shared" si="56"/>
        <v>0</v>
      </c>
      <c r="T236" s="30">
        <f t="shared" si="57"/>
        <v>42000</v>
      </c>
      <c r="U236" s="16"/>
      <c r="V236" s="30"/>
      <c r="W236" s="142"/>
    </row>
    <row r="237" spans="1:24" x14ac:dyDescent="0.3">
      <c r="A237" s="1"/>
      <c r="B237" s="1"/>
      <c r="C237" s="1"/>
      <c r="D237" s="1"/>
      <c r="E237" s="1"/>
      <c r="F237" s="16" t="s">
        <v>291</v>
      </c>
      <c r="G237" s="16">
        <v>10</v>
      </c>
      <c r="H237" s="16" t="s">
        <v>28</v>
      </c>
      <c r="I237" s="16">
        <v>260</v>
      </c>
      <c r="J237" s="16">
        <f t="shared" si="51"/>
        <v>2600</v>
      </c>
      <c r="K237" s="30"/>
      <c r="L237" s="30"/>
      <c r="M237" s="30"/>
      <c r="N237" s="30"/>
      <c r="O237" s="30">
        <v>10</v>
      </c>
      <c r="P237" s="30">
        <v>260</v>
      </c>
      <c r="Q237" s="30">
        <f t="shared" si="55"/>
        <v>2600</v>
      </c>
      <c r="R237" s="52">
        <v>0</v>
      </c>
      <c r="S237" s="30">
        <f t="shared" si="56"/>
        <v>0</v>
      </c>
      <c r="T237" s="30">
        <f t="shared" si="57"/>
        <v>2600</v>
      </c>
      <c r="U237" s="16" t="s">
        <v>292</v>
      </c>
      <c r="V237" s="30" t="s">
        <v>276</v>
      </c>
      <c r="W237" s="142"/>
    </row>
    <row r="238" spans="1:24" x14ac:dyDescent="0.3">
      <c r="A238" s="1"/>
      <c r="B238" s="1"/>
      <c r="C238" s="1"/>
      <c r="D238" s="1"/>
      <c r="E238" s="1"/>
      <c r="F238" s="16" t="s">
        <v>293</v>
      </c>
      <c r="G238" s="16">
        <v>20</v>
      </c>
      <c r="H238" s="16" t="s">
        <v>28</v>
      </c>
      <c r="I238" s="16">
        <v>418</v>
      </c>
      <c r="J238" s="16">
        <f t="shared" si="51"/>
        <v>8360</v>
      </c>
      <c r="K238" s="30"/>
      <c r="L238" s="30"/>
      <c r="M238" s="30"/>
      <c r="N238" s="30"/>
      <c r="O238" s="30">
        <v>20</v>
      </c>
      <c r="P238" s="30">
        <v>418</v>
      </c>
      <c r="Q238" s="30">
        <f t="shared" si="55"/>
        <v>8360</v>
      </c>
      <c r="R238" s="52">
        <v>0</v>
      </c>
      <c r="S238" s="30">
        <f t="shared" si="56"/>
        <v>0</v>
      </c>
      <c r="T238" s="30">
        <f t="shared" si="57"/>
        <v>8360</v>
      </c>
      <c r="U238" s="16" t="s">
        <v>294</v>
      </c>
      <c r="V238" s="30" t="s">
        <v>276</v>
      </c>
      <c r="W238" s="142"/>
    </row>
    <row r="239" spans="1:24" x14ac:dyDescent="0.3">
      <c r="A239" s="1"/>
      <c r="B239" s="1"/>
      <c r="C239" s="1"/>
      <c r="D239" s="1"/>
      <c r="E239" s="1"/>
      <c r="F239" s="16" t="s">
        <v>295</v>
      </c>
      <c r="G239" s="16">
        <v>100</v>
      </c>
      <c r="H239" s="16" t="s">
        <v>28</v>
      </c>
      <c r="I239" s="16">
        <v>85</v>
      </c>
      <c r="J239" s="16">
        <f t="shared" si="51"/>
        <v>8500</v>
      </c>
      <c r="K239" s="30"/>
      <c r="L239" s="30"/>
      <c r="M239" s="30"/>
      <c r="N239" s="30"/>
      <c r="O239" s="30">
        <v>100</v>
      </c>
      <c r="P239" s="30">
        <v>85</v>
      </c>
      <c r="Q239" s="30">
        <f t="shared" si="55"/>
        <v>8500</v>
      </c>
      <c r="R239" s="52">
        <v>0</v>
      </c>
      <c r="S239" s="30">
        <f t="shared" si="56"/>
        <v>0</v>
      </c>
      <c r="T239" s="30">
        <f t="shared" si="57"/>
        <v>8500</v>
      </c>
      <c r="U239" s="16" t="s">
        <v>296</v>
      </c>
      <c r="V239" s="30" t="s">
        <v>276</v>
      </c>
      <c r="W239" s="142"/>
    </row>
    <row r="240" spans="1:24" x14ac:dyDescent="0.3">
      <c r="A240" s="1"/>
      <c r="B240" s="1"/>
      <c r="C240" s="1"/>
      <c r="D240" s="1"/>
      <c r="E240" s="1"/>
      <c r="F240" s="16" t="s">
        <v>297</v>
      </c>
      <c r="G240" s="16">
        <v>100</v>
      </c>
      <c r="H240" s="16" t="s">
        <v>28</v>
      </c>
      <c r="I240" s="16">
        <v>140</v>
      </c>
      <c r="J240" s="16">
        <f t="shared" si="51"/>
        <v>14000</v>
      </c>
      <c r="K240" s="30"/>
      <c r="L240" s="30"/>
      <c r="M240" s="30"/>
      <c r="N240" s="30"/>
      <c r="O240" s="30">
        <v>100</v>
      </c>
      <c r="P240" s="30">
        <v>140</v>
      </c>
      <c r="Q240" s="30">
        <f t="shared" si="55"/>
        <v>14000</v>
      </c>
      <c r="R240" s="52">
        <v>0</v>
      </c>
      <c r="S240" s="30">
        <f t="shared" si="56"/>
        <v>0</v>
      </c>
      <c r="T240" s="30">
        <f t="shared" si="57"/>
        <v>14000</v>
      </c>
      <c r="U240" s="16" t="s">
        <v>298</v>
      </c>
      <c r="V240" s="30" t="s">
        <v>276</v>
      </c>
      <c r="W240" s="142"/>
    </row>
    <row r="241" spans="1:23" x14ac:dyDescent="0.3">
      <c r="A241" s="205" t="s">
        <v>39</v>
      </c>
      <c r="B241" s="205"/>
      <c r="C241" s="205"/>
      <c r="D241" s="205"/>
      <c r="E241" s="205"/>
      <c r="F241" s="205"/>
      <c r="G241" s="205"/>
      <c r="H241" s="205"/>
      <c r="I241" s="205"/>
      <c r="J241" s="126">
        <f>SUM(J229:J240)</f>
        <v>311390</v>
      </c>
      <c r="K241" s="21"/>
      <c r="L241" s="21"/>
      <c r="M241" s="21"/>
      <c r="N241" s="21"/>
      <c r="O241" s="21"/>
      <c r="P241" s="21"/>
      <c r="Q241" s="21">
        <f>SUM(Q229:Q240)</f>
        <v>311390</v>
      </c>
      <c r="R241" s="21"/>
      <c r="S241" s="21"/>
      <c r="T241" s="21"/>
      <c r="U241" s="21"/>
      <c r="V241" s="21"/>
      <c r="W241" s="142"/>
    </row>
    <row r="242" spans="1:23" x14ac:dyDescent="0.3">
      <c r="A242" s="205" t="s">
        <v>82</v>
      </c>
      <c r="B242" s="205"/>
      <c r="C242" s="205"/>
      <c r="D242" s="205"/>
      <c r="E242" s="205"/>
      <c r="F242" s="205"/>
      <c r="G242" s="205"/>
      <c r="H242" s="205"/>
      <c r="I242" s="205"/>
      <c r="J242" s="21">
        <f>J241*0/100</f>
        <v>0</v>
      </c>
      <c r="K242" s="21"/>
      <c r="L242" s="21"/>
      <c r="M242" s="21"/>
      <c r="N242" s="21"/>
      <c r="O242" s="21"/>
      <c r="P242" s="21"/>
      <c r="Q242" s="21"/>
      <c r="R242" s="21"/>
      <c r="S242" s="21"/>
      <c r="T242" s="21"/>
      <c r="U242" s="21"/>
      <c r="V242" s="21"/>
      <c r="W242" s="142"/>
    </row>
    <row r="243" spans="1:23" x14ac:dyDescent="0.3">
      <c r="A243" s="205" t="s">
        <v>41</v>
      </c>
      <c r="B243" s="205"/>
      <c r="C243" s="205"/>
      <c r="D243" s="205"/>
      <c r="E243" s="205"/>
      <c r="F243" s="205"/>
      <c r="G243" s="205"/>
      <c r="H243" s="205"/>
      <c r="I243" s="205"/>
      <c r="J243" s="126">
        <f>SUM(J241:J242)</f>
        <v>311390</v>
      </c>
      <c r="K243" s="21"/>
      <c r="L243" s="21"/>
      <c r="M243" s="21"/>
      <c r="N243" s="21"/>
      <c r="O243" s="21"/>
      <c r="P243" s="21"/>
      <c r="Q243" s="21"/>
      <c r="R243" s="21"/>
      <c r="S243" s="21"/>
      <c r="T243" s="21"/>
      <c r="U243" s="21"/>
      <c r="V243" s="21"/>
      <c r="W243" s="142"/>
    </row>
    <row r="244" spans="1:23" x14ac:dyDescent="0.3">
      <c r="A244" s="21"/>
      <c r="B244" s="21"/>
      <c r="C244" s="21"/>
      <c r="D244" s="21"/>
      <c r="E244" s="21"/>
      <c r="F244" s="49"/>
      <c r="G244" s="21"/>
      <c r="H244" s="21"/>
      <c r="I244" s="21"/>
      <c r="J244" s="21"/>
      <c r="K244" s="21"/>
      <c r="L244" s="21"/>
      <c r="M244" s="21"/>
      <c r="N244" s="21"/>
      <c r="O244" s="21"/>
      <c r="P244" s="21"/>
      <c r="Q244" s="21"/>
      <c r="R244" s="21"/>
      <c r="S244" s="21"/>
      <c r="T244" s="21"/>
      <c r="U244" s="21"/>
      <c r="V244" s="21"/>
      <c r="W244" s="142"/>
    </row>
    <row r="245" spans="1:23" x14ac:dyDescent="0.25">
      <c r="A245" s="16">
        <v>21</v>
      </c>
      <c r="B245" s="93">
        <v>9200122486</v>
      </c>
      <c r="C245" s="16" t="s">
        <v>299</v>
      </c>
      <c r="D245" s="93" t="s">
        <v>300</v>
      </c>
      <c r="E245" s="93"/>
      <c r="F245" s="20" t="s">
        <v>301</v>
      </c>
      <c r="G245" s="16">
        <v>1</v>
      </c>
      <c r="H245" s="16" t="s">
        <v>87</v>
      </c>
      <c r="I245" s="16">
        <v>27000</v>
      </c>
      <c r="J245" s="16">
        <f>G245*I245</f>
        <v>27000</v>
      </c>
      <c r="K245" s="16">
        <v>150</v>
      </c>
      <c r="L245" s="16" t="s">
        <v>302</v>
      </c>
      <c r="M245" s="16" t="s">
        <v>91</v>
      </c>
      <c r="N245" s="16">
        <v>92</v>
      </c>
      <c r="O245" s="16">
        <v>1</v>
      </c>
      <c r="P245" s="16">
        <v>27000</v>
      </c>
      <c r="Q245" s="16">
        <f>P245*O245</f>
        <v>27000</v>
      </c>
      <c r="R245" s="18">
        <v>0.18</v>
      </c>
      <c r="S245" s="16">
        <f>Q245*R245</f>
        <v>4860</v>
      </c>
      <c r="T245" s="16">
        <f>Q245+S245</f>
        <v>31860</v>
      </c>
      <c r="U245" s="16" t="s">
        <v>303</v>
      </c>
      <c r="V245" s="31">
        <v>45334</v>
      </c>
      <c r="W245" s="142" t="s">
        <v>200</v>
      </c>
    </row>
    <row r="246" spans="1:23" x14ac:dyDescent="0.3">
      <c r="A246" s="1"/>
      <c r="B246" s="1"/>
      <c r="C246" s="1"/>
      <c r="D246" s="1"/>
      <c r="E246" s="1"/>
      <c r="F246" s="16" t="s">
        <v>304</v>
      </c>
      <c r="G246" s="16">
        <v>150</v>
      </c>
      <c r="H246" s="16" t="s">
        <v>302</v>
      </c>
      <c r="I246" s="16">
        <v>165</v>
      </c>
      <c r="J246" s="16">
        <f t="shared" ref="J246:J253" si="58">G246*I246</f>
        <v>24750</v>
      </c>
      <c r="K246" s="16">
        <v>150</v>
      </c>
      <c r="L246" s="16" t="s">
        <v>302</v>
      </c>
      <c r="M246" s="16" t="s">
        <v>91</v>
      </c>
      <c r="N246" s="16" t="s">
        <v>305</v>
      </c>
      <c r="O246" s="16">
        <v>150</v>
      </c>
      <c r="P246" s="16">
        <v>165</v>
      </c>
      <c r="Q246" s="16">
        <f t="shared" ref="Q246:Q253" si="59">P246*O246</f>
        <v>24750</v>
      </c>
      <c r="R246" s="18">
        <v>0.18</v>
      </c>
      <c r="S246" s="16">
        <f t="shared" ref="S246:S253" si="60">Q246*R246</f>
        <v>4455</v>
      </c>
      <c r="T246" s="16">
        <f t="shared" ref="T246:T253" si="61">Q246+S246</f>
        <v>29205</v>
      </c>
      <c r="U246" s="16" t="s">
        <v>303</v>
      </c>
      <c r="V246" s="31">
        <v>45334</v>
      </c>
      <c r="W246" s="142" t="s">
        <v>200</v>
      </c>
    </row>
    <row r="247" spans="1:23" x14ac:dyDescent="0.3">
      <c r="A247" s="1"/>
      <c r="B247" s="1"/>
      <c r="C247" s="1"/>
      <c r="D247" s="1"/>
      <c r="E247" s="1"/>
      <c r="F247" s="16" t="s">
        <v>306</v>
      </c>
      <c r="G247" s="16">
        <v>1</v>
      </c>
      <c r="H247" s="16" t="s">
        <v>87</v>
      </c>
      <c r="I247" s="16">
        <v>5000</v>
      </c>
      <c r="J247" s="16">
        <f t="shared" si="58"/>
        <v>5000</v>
      </c>
      <c r="K247" s="16"/>
      <c r="L247" s="16"/>
      <c r="M247" s="16"/>
      <c r="N247" s="16"/>
      <c r="O247" s="16">
        <v>1</v>
      </c>
      <c r="P247" s="16">
        <v>5000</v>
      </c>
      <c r="Q247" s="16">
        <f t="shared" si="59"/>
        <v>5000</v>
      </c>
      <c r="R247" s="18">
        <v>0.18</v>
      </c>
      <c r="S247" s="16">
        <f t="shared" si="60"/>
        <v>900</v>
      </c>
      <c r="T247" s="16">
        <f t="shared" si="61"/>
        <v>5900</v>
      </c>
      <c r="U247" s="16" t="s">
        <v>303</v>
      </c>
      <c r="V247" s="31">
        <v>45334</v>
      </c>
      <c r="W247" s="142" t="s">
        <v>200</v>
      </c>
    </row>
    <row r="248" spans="1:23" x14ac:dyDescent="0.3">
      <c r="A248" s="1"/>
      <c r="B248" s="1"/>
      <c r="C248" s="1"/>
      <c r="D248" s="1"/>
      <c r="E248" s="1"/>
      <c r="F248" s="16" t="s">
        <v>307</v>
      </c>
      <c r="G248" s="16">
        <v>10</v>
      </c>
      <c r="H248" s="16" t="s">
        <v>308</v>
      </c>
      <c r="I248" s="16">
        <v>275</v>
      </c>
      <c r="J248" s="16">
        <f t="shared" si="58"/>
        <v>2750</v>
      </c>
      <c r="K248" s="16">
        <v>10</v>
      </c>
      <c r="L248" s="16" t="s">
        <v>308</v>
      </c>
      <c r="M248" s="16" t="s">
        <v>91</v>
      </c>
      <c r="N248" s="16">
        <v>92</v>
      </c>
      <c r="O248" s="16">
        <v>10</v>
      </c>
      <c r="P248" s="16">
        <v>275</v>
      </c>
      <c r="Q248" s="16">
        <f t="shared" si="59"/>
        <v>2750</v>
      </c>
      <c r="R248" s="18">
        <v>0.18</v>
      </c>
      <c r="S248" s="16">
        <f t="shared" si="60"/>
        <v>495</v>
      </c>
      <c r="T248" s="16">
        <f t="shared" si="61"/>
        <v>3245</v>
      </c>
      <c r="U248" s="16" t="s">
        <v>303</v>
      </c>
      <c r="V248" s="31">
        <v>45334</v>
      </c>
      <c r="W248" s="142" t="s">
        <v>200</v>
      </c>
    </row>
    <row r="249" spans="1:23" ht="25.2" x14ac:dyDescent="0.3">
      <c r="A249" s="1"/>
      <c r="B249" s="1"/>
      <c r="C249" s="1"/>
      <c r="D249" s="1"/>
      <c r="E249" s="1"/>
      <c r="F249" s="39" t="s">
        <v>309</v>
      </c>
      <c r="G249" s="16">
        <v>1</v>
      </c>
      <c r="H249" s="16" t="s">
        <v>87</v>
      </c>
      <c r="I249" s="16">
        <v>3350</v>
      </c>
      <c r="J249" s="16">
        <f t="shared" si="58"/>
        <v>3350</v>
      </c>
      <c r="K249" s="16">
        <v>1</v>
      </c>
      <c r="L249" s="16" t="s">
        <v>28</v>
      </c>
      <c r="M249" s="16" t="s">
        <v>91</v>
      </c>
      <c r="N249" s="16" t="s">
        <v>310</v>
      </c>
      <c r="O249" s="16">
        <v>1</v>
      </c>
      <c r="P249" s="16">
        <v>3350</v>
      </c>
      <c r="Q249" s="16">
        <f t="shared" si="59"/>
        <v>3350</v>
      </c>
      <c r="R249" s="18">
        <v>0.18</v>
      </c>
      <c r="S249" s="16">
        <f t="shared" si="60"/>
        <v>603</v>
      </c>
      <c r="T249" s="16">
        <f t="shared" si="61"/>
        <v>3953</v>
      </c>
      <c r="U249" s="16" t="s">
        <v>303</v>
      </c>
      <c r="V249" s="31">
        <v>45334</v>
      </c>
      <c r="W249" s="142" t="s">
        <v>200</v>
      </c>
    </row>
    <row r="250" spans="1:23" ht="37.799999999999997" x14ac:dyDescent="0.3">
      <c r="A250" s="1"/>
      <c r="B250" s="1"/>
      <c r="C250" s="1"/>
      <c r="D250" s="1"/>
      <c r="E250" s="1"/>
      <c r="F250" s="39" t="s">
        <v>311</v>
      </c>
      <c r="G250" s="16">
        <v>1</v>
      </c>
      <c r="H250" s="16" t="s">
        <v>181</v>
      </c>
      <c r="I250" s="16">
        <v>18800</v>
      </c>
      <c r="J250" s="16">
        <f t="shared" si="58"/>
        <v>18800</v>
      </c>
      <c r="K250" s="16">
        <v>1</v>
      </c>
      <c r="L250" s="16" t="s">
        <v>28</v>
      </c>
      <c r="M250" s="16" t="s">
        <v>91</v>
      </c>
      <c r="N250" s="16">
        <v>97</v>
      </c>
      <c r="O250" s="16">
        <v>1</v>
      </c>
      <c r="P250" s="16">
        <v>18800</v>
      </c>
      <c r="Q250" s="16">
        <f t="shared" si="59"/>
        <v>18800</v>
      </c>
      <c r="R250" s="18">
        <v>0.18</v>
      </c>
      <c r="S250" s="16">
        <f t="shared" si="60"/>
        <v>3384</v>
      </c>
      <c r="T250" s="16">
        <f t="shared" si="61"/>
        <v>22184</v>
      </c>
      <c r="U250" s="16" t="s">
        <v>303</v>
      </c>
      <c r="V250" s="31">
        <v>45334</v>
      </c>
      <c r="W250" s="142" t="s">
        <v>200</v>
      </c>
    </row>
    <row r="251" spans="1:23" x14ac:dyDescent="0.3">
      <c r="A251" s="1"/>
      <c r="B251" s="1"/>
      <c r="C251" s="1"/>
      <c r="D251" s="1"/>
      <c r="E251" s="1"/>
      <c r="F251" s="16" t="s">
        <v>312</v>
      </c>
      <c r="G251" s="16">
        <v>2</v>
      </c>
      <c r="H251" s="16" t="s">
        <v>28</v>
      </c>
      <c r="I251" s="16">
        <v>2500</v>
      </c>
      <c r="J251" s="16">
        <f t="shared" si="58"/>
        <v>5000</v>
      </c>
      <c r="K251" s="16"/>
      <c r="L251" s="16"/>
      <c r="M251" s="16"/>
      <c r="N251" s="16"/>
      <c r="O251" s="16">
        <v>2</v>
      </c>
      <c r="P251" s="16">
        <v>2500</v>
      </c>
      <c r="Q251" s="16">
        <f t="shared" si="59"/>
        <v>5000</v>
      </c>
      <c r="R251" s="18">
        <v>0.18</v>
      </c>
      <c r="S251" s="16">
        <f t="shared" si="60"/>
        <v>900</v>
      </c>
      <c r="T251" s="16">
        <f t="shared" si="61"/>
        <v>5900</v>
      </c>
      <c r="U251" s="16" t="s">
        <v>303</v>
      </c>
      <c r="V251" s="31">
        <v>45334</v>
      </c>
      <c r="W251" s="142" t="s">
        <v>200</v>
      </c>
    </row>
    <row r="252" spans="1:23" x14ac:dyDescent="0.3">
      <c r="A252" s="1"/>
      <c r="B252" s="1"/>
      <c r="C252" s="1"/>
      <c r="D252" s="1"/>
      <c r="E252" s="1"/>
      <c r="F252" s="16" t="s">
        <v>313</v>
      </c>
      <c r="G252" s="16">
        <v>1</v>
      </c>
      <c r="H252" s="16" t="s">
        <v>225</v>
      </c>
      <c r="I252" s="16">
        <v>3360</v>
      </c>
      <c r="J252" s="16">
        <f t="shared" si="58"/>
        <v>3360</v>
      </c>
      <c r="K252" s="16"/>
      <c r="L252" s="16"/>
      <c r="M252" s="16"/>
      <c r="N252" s="16"/>
      <c r="O252" s="16">
        <v>1</v>
      </c>
      <c r="P252" s="16">
        <v>3360</v>
      </c>
      <c r="Q252" s="16">
        <f t="shared" si="59"/>
        <v>3360</v>
      </c>
      <c r="R252" s="18">
        <v>0.18</v>
      </c>
      <c r="S252" s="16">
        <f t="shared" si="60"/>
        <v>604.79999999999995</v>
      </c>
      <c r="T252" s="16">
        <f t="shared" si="61"/>
        <v>3964.8</v>
      </c>
      <c r="U252" s="16" t="s">
        <v>303</v>
      </c>
      <c r="V252" s="31">
        <v>45334</v>
      </c>
      <c r="W252" s="142" t="s">
        <v>200</v>
      </c>
    </row>
    <row r="253" spans="1:23" x14ac:dyDescent="0.3">
      <c r="A253" s="1"/>
      <c r="B253" s="1"/>
      <c r="C253" s="1"/>
      <c r="D253" s="1"/>
      <c r="E253" s="1"/>
      <c r="F253" s="16" t="s">
        <v>314</v>
      </c>
      <c r="G253" s="16">
        <v>1</v>
      </c>
      <c r="H253" s="16" t="s">
        <v>87</v>
      </c>
      <c r="I253" s="16">
        <v>6250</v>
      </c>
      <c r="J253" s="16">
        <f t="shared" si="58"/>
        <v>6250</v>
      </c>
      <c r="K253" s="16">
        <v>1</v>
      </c>
      <c r="L253" s="16" t="s">
        <v>28</v>
      </c>
      <c r="M253" s="16" t="s">
        <v>91</v>
      </c>
      <c r="N253" s="16" t="s">
        <v>305</v>
      </c>
      <c r="O253" s="16">
        <v>1</v>
      </c>
      <c r="P253" s="16">
        <v>6250</v>
      </c>
      <c r="Q253" s="16">
        <f t="shared" si="59"/>
        <v>6250</v>
      </c>
      <c r="R253" s="18">
        <v>0.18</v>
      </c>
      <c r="S253" s="16">
        <f t="shared" si="60"/>
        <v>1125</v>
      </c>
      <c r="T253" s="16">
        <f t="shared" si="61"/>
        <v>7375</v>
      </c>
      <c r="U253" s="16" t="s">
        <v>303</v>
      </c>
      <c r="V253" s="31">
        <v>45334</v>
      </c>
      <c r="W253" s="142" t="s">
        <v>200</v>
      </c>
    </row>
    <row r="254" spans="1:23" x14ac:dyDescent="0.3">
      <c r="A254" s="205" t="s">
        <v>39</v>
      </c>
      <c r="B254" s="205"/>
      <c r="C254" s="205"/>
      <c r="D254" s="205"/>
      <c r="E254" s="205"/>
      <c r="F254" s="205"/>
      <c r="G254" s="205"/>
      <c r="H254" s="205"/>
      <c r="I254" s="205"/>
      <c r="J254" s="126">
        <f>SUM(J245:J253)</f>
        <v>96260</v>
      </c>
      <c r="K254" s="1"/>
      <c r="L254" s="1"/>
      <c r="M254" s="1"/>
      <c r="N254" s="1"/>
      <c r="O254" s="1"/>
      <c r="P254" s="1"/>
      <c r="Q254" s="1"/>
      <c r="R254" s="1"/>
      <c r="S254" s="1"/>
      <c r="T254" s="1"/>
      <c r="U254" s="1"/>
      <c r="V254" s="1"/>
      <c r="W254" s="142"/>
    </row>
    <row r="255" spans="1:23" x14ac:dyDescent="0.3">
      <c r="A255" s="205" t="s">
        <v>82</v>
      </c>
      <c r="B255" s="205"/>
      <c r="C255" s="205"/>
      <c r="D255" s="205"/>
      <c r="E255" s="205"/>
      <c r="F255" s="205"/>
      <c r="G255" s="205"/>
      <c r="H255" s="205"/>
      <c r="I255" s="205"/>
      <c r="J255" s="126">
        <f>J254*18/100</f>
        <v>17326.8</v>
      </c>
      <c r="K255" s="1"/>
      <c r="L255" s="1"/>
      <c r="M255" s="1"/>
      <c r="N255" s="1"/>
      <c r="O255" s="1"/>
      <c r="P255" s="1"/>
      <c r="Q255" s="1"/>
      <c r="R255" s="1"/>
      <c r="S255" s="1"/>
      <c r="T255" s="1"/>
      <c r="U255" s="1"/>
      <c r="V255" s="1"/>
      <c r="W255" s="142"/>
    </row>
    <row r="256" spans="1:23" x14ac:dyDescent="0.3">
      <c r="A256" s="205" t="s">
        <v>41</v>
      </c>
      <c r="B256" s="205"/>
      <c r="C256" s="205"/>
      <c r="D256" s="205"/>
      <c r="E256" s="205"/>
      <c r="F256" s="205"/>
      <c r="G256" s="205"/>
      <c r="H256" s="205"/>
      <c r="I256" s="205"/>
      <c r="J256" s="50">
        <f>SUM(J254:J255)</f>
        <v>113586.8</v>
      </c>
      <c r="K256" s="1"/>
      <c r="L256" s="1"/>
      <c r="M256" s="1"/>
      <c r="N256" s="1"/>
      <c r="O256" s="1"/>
      <c r="P256" s="1"/>
      <c r="Q256" s="1"/>
      <c r="R256" s="1"/>
      <c r="S256" s="1"/>
      <c r="T256" s="1"/>
      <c r="U256" s="1"/>
      <c r="V256" s="1"/>
      <c r="W256" s="142"/>
    </row>
    <row r="257" spans="1:23" x14ac:dyDescent="0.25">
      <c r="A257" s="48">
        <v>22</v>
      </c>
      <c r="B257" s="42">
        <v>9200122908</v>
      </c>
      <c r="C257" s="84" t="s">
        <v>315</v>
      </c>
      <c r="D257" s="84" t="s">
        <v>43</v>
      </c>
      <c r="E257" s="84"/>
      <c r="F257" s="84" t="s">
        <v>316</v>
      </c>
      <c r="G257" s="84">
        <v>30</v>
      </c>
      <c r="H257" s="84" t="s">
        <v>60</v>
      </c>
      <c r="I257" s="84">
        <v>212</v>
      </c>
      <c r="J257" s="84">
        <f>G257*I257</f>
        <v>6360</v>
      </c>
      <c r="K257" s="16"/>
      <c r="L257" s="16"/>
      <c r="M257" s="16"/>
      <c r="N257" s="16"/>
      <c r="O257" s="16">
        <v>30</v>
      </c>
      <c r="P257" s="16">
        <v>212</v>
      </c>
      <c r="Q257" s="16">
        <f>O257*P257</f>
        <v>6360</v>
      </c>
      <c r="R257" s="18">
        <v>0</v>
      </c>
      <c r="S257" s="16">
        <f>Q257*R257</f>
        <v>0</v>
      </c>
      <c r="T257" s="16">
        <f>Q257+S257</f>
        <v>6360</v>
      </c>
      <c r="U257" s="16" t="s">
        <v>317</v>
      </c>
      <c r="V257" s="19">
        <v>45334</v>
      </c>
      <c r="W257" s="142" t="s">
        <v>1075</v>
      </c>
    </row>
    <row r="258" spans="1:23" x14ac:dyDescent="0.25">
      <c r="A258" s="48"/>
      <c r="B258" s="96"/>
      <c r="C258" s="96"/>
      <c r="D258" s="96"/>
      <c r="E258" s="96"/>
      <c r="F258" s="84" t="s">
        <v>318</v>
      </c>
      <c r="G258" s="84">
        <v>1</v>
      </c>
      <c r="H258" s="84" t="s">
        <v>87</v>
      </c>
      <c r="I258" s="84">
        <v>15200</v>
      </c>
      <c r="J258" s="84">
        <f>G258*I258</f>
        <v>15200</v>
      </c>
      <c r="K258" s="16"/>
      <c r="L258" s="16"/>
      <c r="M258" s="16"/>
      <c r="N258" s="16"/>
      <c r="O258" s="16">
        <v>1</v>
      </c>
      <c r="P258" s="16">
        <v>15200</v>
      </c>
      <c r="Q258" s="16">
        <f>O258*P258</f>
        <v>15200</v>
      </c>
      <c r="R258" s="18">
        <v>0</v>
      </c>
      <c r="S258" s="16">
        <f>Q258*R258</f>
        <v>0</v>
      </c>
      <c r="T258" s="16">
        <f>Q258+S258</f>
        <v>15200</v>
      </c>
      <c r="U258" s="16" t="s">
        <v>317</v>
      </c>
      <c r="V258" s="19">
        <v>45334</v>
      </c>
      <c r="W258" s="142" t="s">
        <v>1075</v>
      </c>
    </row>
    <row r="259" spans="1:23" x14ac:dyDescent="0.3">
      <c r="A259" s="205" t="s">
        <v>39</v>
      </c>
      <c r="B259" s="205"/>
      <c r="C259" s="205"/>
      <c r="D259" s="205"/>
      <c r="E259" s="205"/>
      <c r="F259" s="205"/>
      <c r="G259" s="205"/>
      <c r="H259" s="205"/>
      <c r="I259" s="205"/>
      <c r="J259" s="124">
        <f>SUM(J257:J258)</f>
        <v>21560</v>
      </c>
      <c r="K259" s="1"/>
      <c r="L259" s="1"/>
      <c r="M259" s="1"/>
      <c r="N259" s="1"/>
      <c r="O259" s="1"/>
      <c r="P259" s="1"/>
      <c r="Q259" s="1"/>
      <c r="R259" s="1"/>
      <c r="S259" s="1"/>
      <c r="T259" s="1"/>
      <c r="U259" s="1"/>
      <c r="V259" s="1"/>
      <c r="W259" s="142"/>
    </row>
    <row r="260" spans="1:23" x14ac:dyDescent="0.3">
      <c r="A260" s="205" t="s">
        <v>82</v>
      </c>
      <c r="B260" s="205"/>
      <c r="C260" s="205"/>
      <c r="D260" s="205"/>
      <c r="E260" s="205"/>
      <c r="F260" s="205"/>
      <c r="G260" s="205"/>
      <c r="H260" s="205"/>
      <c r="I260" s="205"/>
      <c r="J260" s="124">
        <v>0</v>
      </c>
      <c r="K260" s="1"/>
      <c r="L260" s="1"/>
      <c r="M260" s="1"/>
      <c r="N260" s="1"/>
      <c r="O260" s="1"/>
      <c r="P260" s="1"/>
      <c r="Q260" s="1"/>
      <c r="R260" s="1"/>
      <c r="S260" s="1"/>
      <c r="T260" s="1"/>
      <c r="U260" s="1"/>
      <c r="V260" s="1"/>
      <c r="W260" s="142"/>
    </row>
    <row r="261" spans="1:23" x14ac:dyDescent="0.3">
      <c r="A261" s="205" t="s">
        <v>41</v>
      </c>
      <c r="B261" s="205"/>
      <c r="C261" s="205"/>
      <c r="D261" s="205"/>
      <c r="E261" s="205"/>
      <c r="F261" s="205"/>
      <c r="G261" s="205"/>
      <c r="H261" s="205"/>
      <c r="I261" s="205"/>
      <c r="J261" s="124">
        <f>SUM(J259:J260)</f>
        <v>21560</v>
      </c>
      <c r="K261" s="1"/>
      <c r="L261" s="1"/>
      <c r="M261" s="1"/>
      <c r="N261" s="1"/>
      <c r="O261" s="1"/>
      <c r="P261" s="1"/>
      <c r="Q261" s="1"/>
      <c r="R261" s="1"/>
      <c r="S261" s="1"/>
      <c r="T261" s="1"/>
      <c r="U261" s="1"/>
      <c r="V261" s="1"/>
      <c r="W261" s="142"/>
    </row>
    <row r="262" spans="1:23" x14ac:dyDescent="0.3">
      <c r="A262" s="126"/>
      <c r="B262" s="126"/>
      <c r="C262" s="126"/>
      <c r="D262" s="126"/>
      <c r="E262" s="126"/>
      <c r="F262" s="126"/>
      <c r="G262" s="126"/>
      <c r="H262" s="126"/>
      <c r="I262" s="126"/>
      <c r="J262" s="124"/>
      <c r="K262" s="1"/>
      <c r="L262" s="1"/>
      <c r="M262" s="1"/>
      <c r="N262" s="1"/>
      <c r="O262" s="1"/>
      <c r="P262" s="1"/>
      <c r="Q262" s="1"/>
      <c r="R262" s="1"/>
      <c r="S262" s="1"/>
      <c r="T262" s="1"/>
      <c r="U262" s="1"/>
      <c r="V262" s="1"/>
      <c r="W262" s="142"/>
    </row>
    <row r="263" spans="1:23" x14ac:dyDescent="0.25">
      <c r="A263" s="1">
        <v>23</v>
      </c>
      <c r="B263" s="16">
        <v>8100014714</v>
      </c>
      <c r="C263" s="84" t="s">
        <v>319</v>
      </c>
      <c r="D263" s="16" t="s">
        <v>320</v>
      </c>
      <c r="E263" s="16"/>
      <c r="F263" s="16" t="s">
        <v>321</v>
      </c>
      <c r="G263" s="16">
        <v>100</v>
      </c>
      <c r="H263" s="16" t="s">
        <v>28</v>
      </c>
      <c r="I263" s="16">
        <v>940</v>
      </c>
      <c r="J263" s="16">
        <f>G263*I263</f>
        <v>94000</v>
      </c>
      <c r="K263" s="16"/>
      <c r="L263" s="16"/>
      <c r="M263" s="16"/>
      <c r="N263" s="16"/>
      <c r="O263" s="16">
        <v>100</v>
      </c>
      <c r="P263" s="16">
        <v>940</v>
      </c>
      <c r="Q263" s="16">
        <f>O263*P263</f>
        <v>94000</v>
      </c>
      <c r="R263" s="18">
        <v>0</v>
      </c>
      <c r="S263" s="16">
        <f>Q263*R263</f>
        <v>0</v>
      </c>
      <c r="T263" s="16">
        <f>Q263+S263</f>
        <v>94000</v>
      </c>
      <c r="U263" s="16" t="s">
        <v>322</v>
      </c>
      <c r="V263" s="19">
        <v>45484</v>
      </c>
      <c r="W263" s="142"/>
    </row>
    <row r="264" spans="1:23" x14ac:dyDescent="0.3">
      <c r="A264" s="1"/>
      <c r="B264" s="85"/>
      <c r="C264" s="85"/>
      <c r="D264" s="85"/>
      <c r="E264" s="85"/>
      <c r="F264" s="16" t="s">
        <v>323</v>
      </c>
      <c r="G264" s="16">
        <v>1</v>
      </c>
      <c r="H264" s="16" t="s">
        <v>87</v>
      </c>
      <c r="I264" s="16">
        <v>850</v>
      </c>
      <c r="J264" s="16">
        <f>G264*I264</f>
        <v>850</v>
      </c>
      <c r="K264" s="16"/>
      <c r="L264" s="16"/>
      <c r="M264" s="16"/>
      <c r="N264" s="16"/>
      <c r="O264" s="16">
        <v>1</v>
      </c>
      <c r="P264" s="16">
        <v>850</v>
      </c>
      <c r="Q264" s="16">
        <f>O264*P264</f>
        <v>850</v>
      </c>
      <c r="R264" s="18">
        <v>0</v>
      </c>
      <c r="S264" s="16">
        <f>Q264*R264</f>
        <v>0</v>
      </c>
      <c r="T264" s="16">
        <f>Q264+S264</f>
        <v>850</v>
      </c>
      <c r="U264" s="16" t="s">
        <v>322</v>
      </c>
      <c r="V264" s="19">
        <v>45484</v>
      </c>
      <c r="W264" s="142"/>
    </row>
    <row r="265" spans="1:23" x14ac:dyDescent="0.3">
      <c r="A265" s="205" t="s">
        <v>39</v>
      </c>
      <c r="B265" s="205"/>
      <c r="C265" s="205"/>
      <c r="D265" s="205"/>
      <c r="E265" s="205"/>
      <c r="F265" s="205"/>
      <c r="G265" s="205"/>
      <c r="H265" s="205"/>
      <c r="I265" s="205"/>
      <c r="J265" s="1">
        <f>SUM(J263:J264)</f>
        <v>94850</v>
      </c>
      <c r="K265" s="1"/>
      <c r="L265" s="1"/>
      <c r="M265" s="1"/>
      <c r="N265" s="1"/>
      <c r="O265" s="1"/>
      <c r="P265" s="1"/>
      <c r="Q265" s="1"/>
      <c r="R265" s="1"/>
      <c r="S265" s="1"/>
      <c r="T265" s="1">
        <f>SUM(T263:T264)</f>
        <v>94850</v>
      </c>
      <c r="U265" s="1"/>
      <c r="V265" s="1"/>
      <c r="W265" s="142"/>
    </row>
    <row r="266" spans="1:23" x14ac:dyDescent="0.3">
      <c r="A266" s="205" t="s">
        <v>82</v>
      </c>
      <c r="B266" s="205"/>
      <c r="C266" s="205"/>
      <c r="D266" s="205"/>
      <c r="E266" s="205"/>
      <c r="F266" s="205"/>
      <c r="G266" s="205"/>
      <c r="H266" s="205"/>
      <c r="I266" s="205"/>
      <c r="J266" s="1">
        <v>0</v>
      </c>
      <c r="K266" s="1"/>
      <c r="L266" s="1"/>
      <c r="M266" s="1"/>
      <c r="N266" s="1"/>
      <c r="O266" s="1"/>
      <c r="P266" s="1"/>
      <c r="Q266" s="1"/>
      <c r="R266" s="1"/>
      <c r="S266" s="1"/>
      <c r="T266" s="1"/>
      <c r="U266" s="1"/>
      <c r="V266" s="1"/>
      <c r="W266" s="142"/>
    </row>
    <row r="267" spans="1:23" x14ac:dyDescent="0.3">
      <c r="A267" s="205" t="s">
        <v>41</v>
      </c>
      <c r="B267" s="205"/>
      <c r="C267" s="205"/>
      <c r="D267" s="205"/>
      <c r="E267" s="205"/>
      <c r="F267" s="205"/>
      <c r="G267" s="205"/>
      <c r="H267" s="205"/>
      <c r="I267" s="205"/>
      <c r="J267" s="124">
        <f>SUM(J265:J266)</f>
        <v>94850</v>
      </c>
      <c r="K267" s="1"/>
      <c r="L267" s="1"/>
      <c r="M267" s="1"/>
      <c r="N267" s="1"/>
      <c r="O267" s="1"/>
      <c r="P267" s="1"/>
      <c r="Q267" s="1"/>
      <c r="R267" s="1"/>
      <c r="S267" s="1"/>
      <c r="T267" s="1"/>
      <c r="U267" s="1"/>
      <c r="V267" s="1"/>
      <c r="W267" s="142"/>
    </row>
    <row r="268" spans="1:23" x14ac:dyDescent="0.3">
      <c r="A268" s="1"/>
      <c r="B268" s="1"/>
      <c r="C268" s="1"/>
      <c r="D268" s="1"/>
      <c r="E268" s="1"/>
      <c r="F268" s="1"/>
      <c r="G268" s="1"/>
      <c r="H268" s="1"/>
      <c r="I268" s="1"/>
      <c r="J268" s="1"/>
      <c r="K268" s="1"/>
      <c r="L268" s="1"/>
      <c r="M268" s="1"/>
      <c r="N268" s="1"/>
      <c r="O268" s="1"/>
      <c r="P268" s="1"/>
      <c r="Q268" s="1"/>
      <c r="R268" s="1"/>
      <c r="S268" s="1"/>
      <c r="T268" s="1"/>
      <c r="U268" s="1"/>
      <c r="V268" s="1"/>
      <c r="W268" s="142"/>
    </row>
    <row r="269" spans="1:23" ht="163.80000000000001" x14ac:dyDescent="0.3">
      <c r="A269" s="16">
        <v>24</v>
      </c>
      <c r="B269" s="16">
        <v>9200122973</v>
      </c>
      <c r="C269" s="16" t="s">
        <v>276</v>
      </c>
      <c r="D269" s="16" t="s">
        <v>300</v>
      </c>
      <c r="E269" s="16"/>
      <c r="F269" s="39" t="s">
        <v>324</v>
      </c>
      <c r="G269" s="16">
        <v>1</v>
      </c>
      <c r="H269" s="16" t="s">
        <v>225</v>
      </c>
      <c r="I269" s="16">
        <v>0</v>
      </c>
      <c r="J269" s="16">
        <f>G269*I269</f>
        <v>0</v>
      </c>
      <c r="K269" s="16"/>
      <c r="L269" s="16"/>
      <c r="M269" s="16"/>
      <c r="N269" s="16"/>
      <c r="O269" s="16"/>
      <c r="P269" s="16"/>
      <c r="Q269" s="16"/>
      <c r="R269" s="16"/>
      <c r="S269" s="16"/>
      <c r="T269" s="16"/>
      <c r="U269" s="16" t="s">
        <v>325</v>
      </c>
      <c r="V269" s="19">
        <v>45334</v>
      </c>
      <c r="W269" s="142"/>
    </row>
    <row r="270" spans="1:23" x14ac:dyDescent="0.3">
      <c r="A270" s="85"/>
      <c r="B270" s="85"/>
      <c r="C270" s="94">
        <v>45514</v>
      </c>
      <c r="D270" s="85" t="s">
        <v>326</v>
      </c>
      <c r="E270" s="85" t="s">
        <v>123</v>
      </c>
      <c r="F270" s="16" t="s">
        <v>327</v>
      </c>
      <c r="G270" s="16">
        <v>5</v>
      </c>
      <c r="H270" s="16" t="s">
        <v>28</v>
      </c>
      <c r="I270" s="16">
        <v>5200</v>
      </c>
      <c r="J270" s="16">
        <f t="shared" ref="J270:J291" si="62">G270*I270</f>
        <v>26000</v>
      </c>
      <c r="K270" s="16"/>
      <c r="L270" s="16"/>
      <c r="M270" s="16"/>
      <c r="N270" s="16"/>
      <c r="O270" s="16">
        <v>5</v>
      </c>
      <c r="P270" s="16">
        <v>5200</v>
      </c>
      <c r="Q270" s="16">
        <f>O270*P270</f>
        <v>26000</v>
      </c>
      <c r="R270" s="18">
        <v>0.18</v>
      </c>
      <c r="S270" s="16">
        <f>Q270*R270</f>
        <v>4680</v>
      </c>
      <c r="T270" s="16">
        <f>Q270+S270</f>
        <v>30680</v>
      </c>
      <c r="U270" s="16" t="s">
        <v>325</v>
      </c>
      <c r="V270" s="19">
        <v>45334</v>
      </c>
      <c r="W270" s="142" t="s">
        <v>1073</v>
      </c>
    </row>
    <row r="271" spans="1:23" x14ac:dyDescent="0.3">
      <c r="A271" s="85"/>
      <c r="B271" s="95"/>
      <c r="C271" s="85"/>
      <c r="D271" s="85">
        <v>3</v>
      </c>
      <c r="E271" s="85" t="s">
        <v>123</v>
      </c>
      <c r="F271" s="16" t="s">
        <v>328</v>
      </c>
      <c r="G271" s="16">
        <v>1</v>
      </c>
      <c r="H271" s="16" t="s">
        <v>28</v>
      </c>
      <c r="I271" s="16">
        <v>2400</v>
      </c>
      <c r="J271" s="16">
        <f t="shared" si="62"/>
        <v>2400</v>
      </c>
      <c r="K271" s="16"/>
      <c r="L271" s="16"/>
      <c r="M271" s="16"/>
      <c r="N271" s="16"/>
      <c r="O271" s="16">
        <v>1</v>
      </c>
      <c r="P271" s="16">
        <v>2400</v>
      </c>
      <c r="Q271" s="16">
        <f t="shared" ref="Q271:Q291" si="63">O271*P271</f>
        <v>2400</v>
      </c>
      <c r="R271" s="18">
        <v>0.18</v>
      </c>
      <c r="S271" s="16">
        <f t="shared" ref="S271:S291" si="64">Q271*R271</f>
        <v>432</v>
      </c>
      <c r="T271" s="16">
        <f t="shared" ref="T271:T291" si="65">Q271+S271</f>
        <v>2832</v>
      </c>
      <c r="U271" s="16" t="s">
        <v>325</v>
      </c>
      <c r="V271" s="19">
        <v>45334</v>
      </c>
      <c r="W271" s="142" t="s">
        <v>1073</v>
      </c>
    </row>
    <row r="272" spans="1:23" x14ac:dyDescent="0.3">
      <c r="A272" s="85"/>
      <c r="B272" s="85"/>
      <c r="C272" s="85"/>
      <c r="D272" s="85">
        <v>4</v>
      </c>
      <c r="E272" s="85"/>
      <c r="F272" s="16" t="s">
        <v>329</v>
      </c>
      <c r="G272" s="16">
        <v>1</v>
      </c>
      <c r="H272" s="16" t="s">
        <v>28</v>
      </c>
      <c r="I272" s="16">
        <v>3200</v>
      </c>
      <c r="J272" s="16">
        <f t="shared" si="62"/>
        <v>3200</v>
      </c>
      <c r="K272" s="16"/>
      <c r="L272" s="16"/>
      <c r="M272" s="16"/>
      <c r="N272" s="16"/>
      <c r="O272" s="16">
        <v>1</v>
      </c>
      <c r="P272" s="16">
        <v>3200</v>
      </c>
      <c r="Q272" s="16">
        <f t="shared" si="63"/>
        <v>3200</v>
      </c>
      <c r="R272" s="18">
        <v>0.18</v>
      </c>
      <c r="S272" s="16">
        <f t="shared" si="64"/>
        <v>576</v>
      </c>
      <c r="T272" s="16">
        <f t="shared" si="65"/>
        <v>3776</v>
      </c>
      <c r="U272" s="16" t="s">
        <v>325</v>
      </c>
      <c r="V272" s="19">
        <v>45334</v>
      </c>
      <c r="W272" s="142" t="s">
        <v>1073</v>
      </c>
    </row>
    <row r="273" spans="1:23" ht="25.2" x14ac:dyDescent="0.3">
      <c r="A273" s="85"/>
      <c r="B273" s="85"/>
      <c r="C273" s="85"/>
      <c r="D273" s="85">
        <v>5</v>
      </c>
      <c r="E273" s="85" t="s">
        <v>123</v>
      </c>
      <c r="F273" s="103" t="s">
        <v>330</v>
      </c>
      <c r="G273" s="85">
        <v>1</v>
      </c>
      <c r="H273" s="85" t="s">
        <v>87</v>
      </c>
      <c r="I273" s="85">
        <v>16000</v>
      </c>
      <c r="J273" s="85">
        <f t="shared" si="62"/>
        <v>16000</v>
      </c>
      <c r="K273" s="16"/>
      <c r="L273" s="16"/>
      <c r="M273" s="16"/>
      <c r="N273" s="16"/>
      <c r="O273" s="16">
        <v>0</v>
      </c>
      <c r="P273" s="16"/>
      <c r="Q273" s="16">
        <f t="shared" si="63"/>
        <v>0</v>
      </c>
      <c r="R273" s="18">
        <v>0.18</v>
      </c>
      <c r="S273" s="16">
        <f t="shared" si="64"/>
        <v>0</v>
      </c>
      <c r="T273" s="16">
        <f t="shared" si="65"/>
        <v>0</v>
      </c>
      <c r="U273" s="16" t="s">
        <v>325</v>
      </c>
      <c r="V273" s="19">
        <v>45334</v>
      </c>
      <c r="W273" s="142" t="s">
        <v>1073</v>
      </c>
    </row>
    <row r="274" spans="1:23" ht="163.80000000000001" x14ac:dyDescent="0.3">
      <c r="A274" s="85"/>
      <c r="B274" s="85"/>
      <c r="C274" s="85"/>
      <c r="D274" s="85">
        <v>6</v>
      </c>
      <c r="E274" s="85" t="s">
        <v>123</v>
      </c>
      <c r="F274" s="39" t="s">
        <v>331</v>
      </c>
      <c r="G274" s="16">
        <v>275</v>
      </c>
      <c r="H274" s="16" t="s">
        <v>302</v>
      </c>
      <c r="I274" s="16">
        <v>390</v>
      </c>
      <c r="J274" s="16">
        <f t="shared" si="62"/>
        <v>107250</v>
      </c>
      <c r="K274" s="16"/>
      <c r="L274" s="16"/>
      <c r="M274" s="16"/>
      <c r="N274" s="16"/>
      <c r="O274" s="16">
        <v>257.2</v>
      </c>
      <c r="P274" s="16">
        <v>390</v>
      </c>
      <c r="Q274" s="16">
        <f t="shared" si="63"/>
        <v>100308</v>
      </c>
      <c r="R274" s="18">
        <v>0.18</v>
      </c>
      <c r="S274" s="16">
        <f t="shared" si="64"/>
        <v>18055.439999999999</v>
      </c>
      <c r="T274" s="16">
        <f t="shared" si="65"/>
        <v>118363.44</v>
      </c>
      <c r="U274" s="16" t="s">
        <v>325</v>
      </c>
      <c r="V274" s="19">
        <v>45334</v>
      </c>
      <c r="W274" s="142" t="s">
        <v>1073</v>
      </c>
    </row>
    <row r="275" spans="1:23" x14ac:dyDescent="0.3">
      <c r="A275" s="85"/>
      <c r="B275" s="85"/>
      <c r="C275" s="85"/>
      <c r="D275" s="85">
        <v>7</v>
      </c>
      <c r="E275" s="85" t="s">
        <v>123</v>
      </c>
      <c r="F275" s="16" t="s">
        <v>332</v>
      </c>
      <c r="G275" s="16">
        <v>175</v>
      </c>
      <c r="H275" s="16" t="s">
        <v>302</v>
      </c>
      <c r="I275" s="16">
        <v>15</v>
      </c>
      <c r="J275" s="16">
        <f t="shared" si="62"/>
        <v>2625</v>
      </c>
      <c r="K275" s="16"/>
      <c r="L275" s="16"/>
      <c r="M275" s="16"/>
      <c r="N275" s="16"/>
      <c r="O275" s="16">
        <v>151.84</v>
      </c>
      <c r="P275" s="16">
        <v>15</v>
      </c>
      <c r="Q275" s="16">
        <f t="shared" si="63"/>
        <v>2277.6</v>
      </c>
      <c r="R275" s="18">
        <v>0.18</v>
      </c>
      <c r="S275" s="16">
        <f t="shared" si="64"/>
        <v>409.96799999999996</v>
      </c>
      <c r="T275" s="16">
        <f t="shared" si="65"/>
        <v>2687.5679999999998</v>
      </c>
      <c r="U275" s="16" t="s">
        <v>325</v>
      </c>
      <c r="V275" s="19">
        <v>45334</v>
      </c>
      <c r="W275" s="142" t="s">
        <v>1073</v>
      </c>
    </row>
    <row r="276" spans="1:23" x14ac:dyDescent="0.3">
      <c r="A276" s="85"/>
      <c r="B276" s="85"/>
      <c r="C276" s="85"/>
      <c r="D276" s="85">
        <v>8</v>
      </c>
      <c r="E276" s="85" t="s">
        <v>123</v>
      </c>
      <c r="F276" s="16" t="s">
        <v>333</v>
      </c>
      <c r="G276" s="16">
        <v>8</v>
      </c>
      <c r="H276" s="16" t="s">
        <v>28</v>
      </c>
      <c r="I276" s="16">
        <v>7000</v>
      </c>
      <c r="J276" s="16">
        <f t="shared" si="62"/>
        <v>56000</v>
      </c>
      <c r="K276" s="16"/>
      <c r="L276" s="16"/>
      <c r="M276" s="16"/>
      <c r="N276" s="16"/>
      <c r="O276" s="16">
        <v>8</v>
      </c>
      <c r="P276" s="16">
        <v>7000</v>
      </c>
      <c r="Q276" s="16">
        <f t="shared" si="63"/>
        <v>56000</v>
      </c>
      <c r="R276" s="18">
        <v>0.18</v>
      </c>
      <c r="S276" s="16">
        <f t="shared" si="64"/>
        <v>10080</v>
      </c>
      <c r="T276" s="16">
        <f t="shared" si="65"/>
        <v>66080</v>
      </c>
      <c r="U276" s="16" t="s">
        <v>325</v>
      </c>
      <c r="V276" s="19">
        <v>45334</v>
      </c>
      <c r="W276" s="142" t="s">
        <v>1073</v>
      </c>
    </row>
    <row r="277" spans="1:23" x14ac:dyDescent="0.3">
      <c r="A277" s="85"/>
      <c r="B277" s="85"/>
      <c r="C277" s="85"/>
      <c r="D277" s="85">
        <v>9</v>
      </c>
      <c r="E277" s="85" t="s">
        <v>123</v>
      </c>
      <c r="F277" s="16" t="s">
        <v>334</v>
      </c>
      <c r="G277" s="16">
        <v>300</v>
      </c>
      <c r="H277" s="16" t="s">
        <v>302</v>
      </c>
      <c r="I277" s="16">
        <v>90</v>
      </c>
      <c r="J277" s="16">
        <f t="shared" si="62"/>
        <v>27000</v>
      </c>
      <c r="K277" s="16"/>
      <c r="L277" s="16"/>
      <c r="M277" s="16"/>
      <c r="N277" s="16"/>
      <c r="O277" s="16">
        <v>9</v>
      </c>
      <c r="P277" s="16">
        <v>90</v>
      </c>
      <c r="Q277" s="16">
        <f t="shared" si="63"/>
        <v>810</v>
      </c>
      <c r="R277" s="18">
        <v>0.18</v>
      </c>
      <c r="S277" s="16">
        <f t="shared" si="64"/>
        <v>145.79999999999998</v>
      </c>
      <c r="T277" s="16">
        <f t="shared" si="65"/>
        <v>955.8</v>
      </c>
      <c r="U277" s="16" t="s">
        <v>325</v>
      </c>
      <c r="V277" s="19">
        <v>45334</v>
      </c>
      <c r="W277" s="142" t="s">
        <v>1073</v>
      </c>
    </row>
    <row r="278" spans="1:23" ht="25.2" x14ac:dyDescent="0.3">
      <c r="A278" s="85"/>
      <c r="B278" s="85"/>
      <c r="C278" s="85"/>
      <c r="D278" s="85">
        <v>10</v>
      </c>
      <c r="E278" s="85" t="s">
        <v>123</v>
      </c>
      <c r="F278" s="39" t="s">
        <v>335</v>
      </c>
      <c r="G278" s="16">
        <v>1</v>
      </c>
      <c r="H278" s="16" t="s">
        <v>28</v>
      </c>
      <c r="I278" s="16">
        <v>16000</v>
      </c>
      <c r="J278" s="16">
        <f t="shared" si="62"/>
        <v>16000</v>
      </c>
      <c r="K278" s="16"/>
      <c r="L278" s="16"/>
      <c r="M278" s="16"/>
      <c r="N278" s="16"/>
      <c r="O278" s="16">
        <v>1</v>
      </c>
      <c r="P278" s="16">
        <v>16000</v>
      </c>
      <c r="Q278" s="16">
        <f t="shared" si="63"/>
        <v>16000</v>
      </c>
      <c r="R278" s="18">
        <v>0.18</v>
      </c>
      <c r="S278" s="16">
        <f t="shared" si="64"/>
        <v>2880</v>
      </c>
      <c r="T278" s="16">
        <f t="shared" si="65"/>
        <v>18880</v>
      </c>
      <c r="U278" s="16" t="s">
        <v>325</v>
      </c>
      <c r="V278" s="19">
        <v>45334</v>
      </c>
      <c r="W278" s="142" t="s">
        <v>1073</v>
      </c>
    </row>
    <row r="279" spans="1:23" ht="50.4" x14ac:dyDescent="0.3">
      <c r="A279" s="85"/>
      <c r="B279" s="85"/>
      <c r="C279" s="85"/>
      <c r="D279" s="85">
        <v>11</v>
      </c>
      <c r="E279" s="85" t="s">
        <v>123</v>
      </c>
      <c r="F279" s="39" t="s">
        <v>336</v>
      </c>
      <c r="G279" s="16">
        <v>1</v>
      </c>
      <c r="H279" s="16" t="s">
        <v>28</v>
      </c>
      <c r="I279" s="16">
        <v>35000</v>
      </c>
      <c r="J279" s="16">
        <f t="shared" si="62"/>
        <v>35000</v>
      </c>
      <c r="K279" s="16">
        <v>1</v>
      </c>
      <c r="L279" s="16" t="s">
        <v>28</v>
      </c>
      <c r="M279" s="16" t="s">
        <v>91</v>
      </c>
      <c r="N279" s="39" t="s">
        <v>337</v>
      </c>
      <c r="O279" s="16">
        <v>1</v>
      </c>
      <c r="P279" s="16">
        <v>35000</v>
      </c>
      <c r="Q279" s="16">
        <f t="shared" si="63"/>
        <v>35000</v>
      </c>
      <c r="R279" s="18">
        <v>0.18</v>
      </c>
      <c r="S279" s="16">
        <f t="shared" si="64"/>
        <v>6300</v>
      </c>
      <c r="T279" s="16">
        <f t="shared" si="65"/>
        <v>41300</v>
      </c>
      <c r="U279" s="16" t="s">
        <v>325</v>
      </c>
      <c r="V279" s="19">
        <v>45334</v>
      </c>
      <c r="W279" s="142" t="s">
        <v>1073</v>
      </c>
    </row>
    <row r="280" spans="1:23" ht="25.2" x14ac:dyDescent="0.3">
      <c r="A280" s="85"/>
      <c r="B280" s="85"/>
      <c r="C280" s="85"/>
      <c r="D280" s="85">
        <v>12</v>
      </c>
      <c r="E280" s="85" t="s">
        <v>123</v>
      </c>
      <c r="F280" s="39" t="s">
        <v>338</v>
      </c>
      <c r="G280" s="16">
        <v>1</v>
      </c>
      <c r="H280" s="16" t="s">
        <v>87</v>
      </c>
      <c r="I280" s="16">
        <v>8500</v>
      </c>
      <c r="J280" s="16">
        <f t="shared" si="62"/>
        <v>8500</v>
      </c>
      <c r="K280" s="16"/>
      <c r="L280" s="16"/>
      <c r="M280" s="16"/>
      <c r="N280" s="16"/>
      <c r="O280" s="16">
        <v>1</v>
      </c>
      <c r="P280" s="16">
        <v>8500</v>
      </c>
      <c r="Q280" s="16">
        <f t="shared" si="63"/>
        <v>8500</v>
      </c>
      <c r="R280" s="18">
        <v>0.18</v>
      </c>
      <c r="S280" s="16">
        <f t="shared" si="64"/>
        <v>1530</v>
      </c>
      <c r="T280" s="16">
        <f t="shared" si="65"/>
        <v>10030</v>
      </c>
      <c r="U280" s="16" t="s">
        <v>325</v>
      </c>
      <c r="V280" s="19">
        <v>45334</v>
      </c>
      <c r="W280" s="142" t="s">
        <v>1073</v>
      </c>
    </row>
    <row r="281" spans="1:23" ht="25.2" x14ac:dyDescent="0.3">
      <c r="A281" s="85"/>
      <c r="B281" s="85"/>
      <c r="C281" s="85"/>
      <c r="D281" s="85">
        <v>13</v>
      </c>
      <c r="E281" s="85" t="s">
        <v>123</v>
      </c>
      <c r="F281" s="39" t="s">
        <v>339</v>
      </c>
      <c r="G281" s="16">
        <v>1</v>
      </c>
      <c r="H281" s="16" t="s">
        <v>87</v>
      </c>
      <c r="I281" s="16">
        <v>7500</v>
      </c>
      <c r="J281" s="16">
        <f t="shared" si="62"/>
        <v>7500</v>
      </c>
      <c r="K281" s="16"/>
      <c r="L281" s="16"/>
      <c r="M281" s="16"/>
      <c r="N281" s="16"/>
      <c r="O281" s="16">
        <v>1</v>
      </c>
      <c r="P281" s="16">
        <v>7500</v>
      </c>
      <c r="Q281" s="16">
        <f t="shared" si="63"/>
        <v>7500</v>
      </c>
      <c r="R281" s="18">
        <v>0.18</v>
      </c>
      <c r="S281" s="16">
        <f t="shared" si="64"/>
        <v>1350</v>
      </c>
      <c r="T281" s="16">
        <f t="shared" si="65"/>
        <v>8850</v>
      </c>
      <c r="U281" s="16" t="s">
        <v>325</v>
      </c>
      <c r="V281" s="19">
        <v>45334</v>
      </c>
      <c r="W281" s="142" t="s">
        <v>1073</v>
      </c>
    </row>
    <row r="282" spans="1:23" ht="25.2" x14ac:dyDescent="0.3">
      <c r="A282" s="85"/>
      <c r="B282" s="85"/>
      <c r="C282" s="85"/>
      <c r="D282" s="85">
        <v>14</v>
      </c>
      <c r="E282" s="85" t="s">
        <v>123</v>
      </c>
      <c r="F282" s="39" t="s">
        <v>340</v>
      </c>
      <c r="G282" s="16">
        <v>100</v>
      </c>
      <c r="H282" s="16" t="s">
        <v>302</v>
      </c>
      <c r="I282" s="16">
        <v>70</v>
      </c>
      <c r="J282" s="16">
        <f t="shared" si="62"/>
        <v>7000</v>
      </c>
      <c r="K282" s="16">
        <v>100</v>
      </c>
      <c r="L282" s="16" t="s">
        <v>111</v>
      </c>
      <c r="M282" s="16" t="s">
        <v>91</v>
      </c>
      <c r="N282" s="16" t="s">
        <v>341</v>
      </c>
      <c r="O282" s="16">
        <v>100</v>
      </c>
      <c r="P282" s="16">
        <v>70</v>
      </c>
      <c r="Q282" s="16">
        <f t="shared" si="63"/>
        <v>7000</v>
      </c>
      <c r="R282" s="18">
        <v>0.18</v>
      </c>
      <c r="S282" s="16">
        <f t="shared" si="64"/>
        <v>1260</v>
      </c>
      <c r="T282" s="16">
        <f t="shared" si="65"/>
        <v>8260</v>
      </c>
      <c r="U282" s="16" t="s">
        <v>325</v>
      </c>
      <c r="V282" s="19">
        <v>45334</v>
      </c>
      <c r="W282" s="142" t="s">
        <v>1073</v>
      </c>
    </row>
    <row r="283" spans="1:23" ht="25.2" x14ac:dyDescent="0.3">
      <c r="A283" s="85"/>
      <c r="B283" s="85"/>
      <c r="C283" s="85"/>
      <c r="D283" s="85">
        <v>15</v>
      </c>
      <c r="E283" s="85" t="s">
        <v>123</v>
      </c>
      <c r="F283" s="39" t="s">
        <v>342</v>
      </c>
      <c r="G283" s="16">
        <v>1</v>
      </c>
      <c r="H283" s="16" t="s">
        <v>87</v>
      </c>
      <c r="I283" s="16">
        <v>18000</v>
      </c>
      <c r="J283" s="16">
        <f t="shared" si="62"/>
        <v>18000</v>
      </c>
      <c r="K283" s="16"/>
      <c r="L283" s="16"/>
      <c r="M283" s="16"/>
      <c r="N283" s="16"/>
      <c r="O283" s="16">
        <v>1</v>
      </c>
      <c r="P283" s="16">
        <v>18000</v>
      </c>
      <c r="Q283" s="16">
        <f t="shared" si="63"/>
        <v>18000</v>
      </c>
      <c r="R283" s="18">
        <v>0.18</v>
      </c>
      <c r="S283" s="16">
        <f t="shared" si="64"/>
        <v>3240</v>
      </c>
      <c r="T283" s="16">
        <f t="shared" si="65"/>
        <v>21240</v>
      </c>
      <c r="U283" s="16" t="s">
        <v>325</v>
      </c>
      <c r="V283" s="19">
        <v>45334</v>
      </c>
      <c r="W283" s="142" t="s">
        <v>1073</v>
      </c>
    </row>
    <row r="284" spans="1:23" ht="25.2" x14ac:dyDescent="0.3">
      <c r="A284" s="85"/>
      <c r="B284" s="85"/>
      <c r="C284" s="85"/>
      <c r="D284" s="85">
        <v>16</v>
      </c>
      <c r="E284" s="85" t="s">
        <v>123</v>
      </c>
      <c r="F284" s="39" t="s">
        <v>343</v>
      </c>
      <c r="G284" s="16">
        <v>1</v>
      </c>
      <c r="H284" s="16" t="s">
        <v>28</v>
      </c>
      <c r="I284" s="16">
        <v>12500</v>
      </c>
      <c r="J284" s="16">
        <f t="shared" si="62"/>
        <v>12500</v>
      </c>
      <c r="K284" s="16">
        <v>1</v>
      </c>
      <c r="L284" s="16" t="s">
        <v>28</v>
      </c>
      <c r="M284" s="16" t="s">
        <v>91</v>
      </c>
      <c r="N284" s="16" t="s">
        <v>344</v>
      </c>
      <c r="O284" s="16">
        <v>1</v>
      </c>
      <c r="P284" s="16">
        <v>12500</v>
      </c>
      <c r="Q284" s="16">
        <f t="shared" si="63"/>
        <v>12500</v>
      </c>
      <c r="R284" s="18">
        <v>0.18</v>
      </c>
      <c r="S284" s="16">
        <f t="shared" si="64"/>
        <v>2250</v>
      </c>
      <c r="T284" s="16">
        <f t="shared" si="65"/>
        <v>14750</v>
      </c>
      <c r="U284" s="16" t="s">
        <v>325</v>
      </c>
      <c r="V284" s="19">
        <v>45334</v>
      </c>
      <c r="W284" s="142" t="s">
        <v>1073</v>
      </c>
    </row>
    <row r="285" spans="1:23" ht="50.4" x14ac:dyDescent="0.3">
      <c r="A285" s="85"/>
      <c r="B285" s="85"/>
      <c r="C285" s="85"/>
      <c r="D285" s="85">
        <v>17</v>
      </c>
      <c r="E285" s="85" t="s">
        <v>123</v>
      </c>
      <c r="F285" s="39" t="s">
        <v>345</v>
      </c>
      <c r="G285" s="16">
        <v>2</v>
      </c>
      <c r="H285" s="16" t="s">
        <v>28</v>
      </c>
      <c r="I285" s="16">
        <v>1200</v>
      </c>
      <c r="J285" s="16">
        <f t="shared" si="62"/>
        <v>2400</v>
      </c>
      <c r="K285" s="16"/>
      <c r="L285" s="16"/>
      <c r="M285" s="16"/>
      <c r="N285" s="16"/>
      <c r="O285" s="16">
        <v>2</v>
      </c>
      <c r="P285" s="16">
        <v>1200</v>
      </c>
      <c r="Q285" s="16">
        <f t="shared" si="63"/>
        <v>2400</v>
      </c>
      <c r="R285" s="18">
        <v>0.18</v>
      </c>
      <c r="S285" s="16">
        <f t="shared" si="64"/>
        <v>432</v>
      </c>
      <c r="T285" s="16">
        <f t="shared" si="65"/>
        <v>2832</v>
      </c>
      <c r="U285" s="16" t="s">
        <v>325</v>
      </c>
      <c r="V285" s="19">
        <v>45334</v>
      </c>
      <c r="W285" s="142" t="s">
        <v>1073</v>
      </c>
    </row>
    <row r="286" spans="1:23" ht="50.4" x14ac:dyDescent="0.3">
      <c r="A286" s="85"/>
      <c r="B286" s="85"/>
      <c r="C286" s="85"/>
      <c r="D286" s="85">
        <v>18</v>
      </c>
      <c r="E286" s="85" t="s">
        <v>123</v>
      </c>
      <c r="F286" s="39" t="s">
        <v>346</v>
      </c>
      <c r="G286" s="16">
        <v>2</v>
      </c>
      <c r="H286" s="16" t="s">
        <v>28</v>
      </c>
      <c r="I286" s="16">
        <v>2250</v>
      </c>
      <c r="J286" s="16">
        <f t="shared" si="62"/>
        <v>4500</v>
      </c>
      <c r="K286" s="16"/>
      <c r="L286" s="16"/>
      <c r="M286" s="16"/>
      <c r="N286" s="16"/>
      <c r="O286" s="16">
        <v>2</v>
      </c>
      <c r="P286" s="16">
        <v>2250</v>
      </c>
      <c r="Q286" s="16">
        <f t="shared" si="63"/>
        <v>4500</v>
      </c>
      <c r="R286" s="18">
        <v>0.18</v>
      </c>
      <c r="S286" s="16">
        <f t="shared" si="64"/>
        <v>810</v>
      </c>
      <c r="T286" s="16">
        <f t="shared" si="65"/>
        <v>5310</v>
      </c>
      <c r="U286" s="16" t="s">
        <v>325</v>
      </c>
      <c r="V286" s="19">
        <v>45334</v>
      </c>
      <c r="W286" s="142" t="s">
        <v>1073</v>
      </c>
    </row>
    <row r="287" spans="1:23" ht="37.799999999999997" x14ac:dyDescent="0.3">
      <c r="A287" s="85"/>
      <c r="B287" s="85"/>
      <c r="C287" s="85"/>
      <c r="D287" s="85">
        <v>19</v>
      </c>
      <c r="E287" s="85" t="s">
        <v>123</v>
      </c>
      <c r="F287" s="39" t="s">
        <v>347</v>
      </c>
      <c r="G287" s="16">
        <v>1</v>
      </c>
      <c r="H287" s="16" t="s">
        <v>28</v>
      </c>
      <c r="I287" s="16">
        <v>3650</v>
      </c>
      <c r="J287" s="16">
        <f t="shared" si="62"/>
        <v>3650</v>
      </c>
      <c r="K287" s="16"/>
      <c r="L287" s="16"/>
      <c r="M287" s="16"/>
      <c r="N287" s="16"/>
      <c r="O287" s="16">
        <v>1</v>
      </c>
      <c r="P287" s="16">
        <v>3650</v>
      </c>
      <c r="Q287" s="16">
        <f t="shared" si="63"/>
        <v>3650</v>
      </c>
      <c r="R287" s="18">
        <v>0.18</v>
      </c>
      <c r="S287" s="16">
        <f t="shared" si="64"/>
        <v>657</v>
      </c>
      <c r="T287" s="16">
        <f t="shared" si="65"/>
        <v>4307</v>
      </c>
      <c r="U287" s="16" t="s">
        <v>325</v>
      </c>
      <c r="V287" s="19">
        <v>45334</v>
      </c>
      <c r="W287" s="142" t="s">
        <v>1073</v>
      </c>
    </row>
    <row r="288" spans="1:23" ht="25.2" x14ac:dyDescent="0.3">
      <c r="A288" s="85"/>
      <c r="B288" s="85"/>
      <c r="C288" s="85"/>
      <c r="D288" s="85">
        <v>20</v>
      </c>
      <c r="E288" s="85" t="s">
        <v>123</v>
      </c>
      <c r="F288" s="39" t="s">
        <v>348</v>
      </c>
      <c r="G288" s="16">
        <v>30</v>
      </c>
      <c r="H288" s="16" t="s">
        <v>302</v>
      </c>
      <c r="I288" s="16">
        <v>200</v>
      </c>
      <c r="J288" s="16">
        <f t="shared" si="62"/>
        <v>6000</v>
      </c>
      <c r="K288" s="16"/>
      <c r="L288" s="16"/>
      <c r="M288" s="16"/>
      <c r="N288" s="16"/>
      <c r="O288" s="16">
        <v>30</v>
      </c>
      <c r="P288" s="16">
        <v>200</v>
      </c>
      <c r="Q288" s="16">
        <f t="shared" si="63"/>
        <v>6000</v>
      </c>
      <c r="R288" s="18">
        <v>0.18</v>
      </c>
      <c r="S288" s="16">
        <f t="shared" si="64"/>
        <v>1080</v>
      </c>
      <c r="T288" s="16">
        <f t="shared" si="65"/>
        <v>7080</v>
      </c>
      <c r="U288" s="16" t="s">
        <v>325</v>
      </c>
      <c r="V288" s="19">
        <v>45334</v>
      </c>
      <c r="W288" s="142" t="s">
        <v>1073</v>
      </c>
    </row>
    <row r="289" spans="1:23" ht="25.2" x14ac:dyDescent="0.3">
      <c r="A289" s="85"/>
      <c r="B289" s="85"/>
      <c r="C289" s="85"/>
      <c r="D289" s="85">
        <v>21</v>
      </c>
      <c r="E289" s="85" t="s">
        <v>123</v>
      </c>
      <c r="F289" s="39" t="s">
        <v>349</v>
      </c>
      <c r="G289" s="16">
        <v>4</v>
      </c>
      <c r="H289" s="16" t="s">
        <v>28</v>
      </c>
      <c r="I289" s="16">
        <v>2200</v>
      </c>
      <c r="J289" s="16">
        <f t="shared" si="62"/>
        <v>8800</v>
      </c>
      <c r="K289" s="16"/>
      <c r="L289" s="16"/>
      <c r="M289" s="16"/>
      <c r="N289" s="16"/>
      <c r="O289" s="16">
        <v>4</v>
      </c>
      <c r="P289" s="16">
        <v>2200</v>
      </c>
      <c r="Q289" s="16">
        <f t="shared" si="63"/>
        <v>8800</v>
      </c>
      <c r="R289" s="18">
        <v>0.18</v>
      </c>
      <c r="S289" s="16">
        <f t="shared" si="64"/>
        <v>1584</v>
      </c>
      <c r="T289" s="16">
        <f t="shared" si="65"/>
        <v>10384</v>
      </c>
      <c r="U289" s="16" t="s">
        <v>325</v>
      </c>
      <c r="V289" s="19">
        <v>45334</v>
      </c>
      <c r="W289" s="142" t="s">
        <v>1073</v>
      </c>
    </row>
    <row r="290" spans="1:23" x14ac:dyDescent="0.3">
      <c r="A290" s="85"/>
      <c r="B290" s="85"/>
      <c r="C290" s="85"/>
      <c r="D290" s="85">
        <v>22</v>
      </c>
      <c r="E290" s="85" t="s">
        <v>123</v>
      </c>
      <c r="F290" s="16" t="s">
        <v>350</v>
      </c>
      <c r="G290" s="16">
        <v>1</v>
      </c>
      <c r="H290" s="16" t="s">
        <v>28</v>
      </c>
      <c r="I290" s="16">
        <v>950</v>
      </c>
      <c r="J290" s="16">
        <f t="shared" si="62"/>
        <v>950</v>
      </c>
      <c r="K290" s="16"/>
      <c r="L290" s="16"/>
      <c r="M290" s="16"/>
      <c r="N290" s="16"/>
      <c r="O290" s="16">
        <v>1</v>
      </c>
      <c r="P290" s="16">
        <v>950</v>
      </c>
      <c r="Q290" s="16">
        <f t="shared" si="63"/>
        <v>950</v>
      </c>
      <c r="R290" s="18">
        <v>0.18</v>
      </c>
      <c r="S290" s="16">
        <f t="shared" si="64"/>
        <v>171</v>
      </c>
      <c r="T290" s="16">
        <f t="shared" si="65"/>
        <v>1121</v>
      </c>
      <c r="U290" s="16" t="s">
        <v>325</v>
      </c>
      <c r="V290" s="19">
        <v>45334</v>
      </c>
      <c r="W290" s="142" t="s">
        <v>1073</v>
      </c>
    </row>
    <row r="291" spans="1:23" ht="25.2" x14ac:dyDescent="0.3">
      <c r="A291" s="85"/>
      <c r="B291" s="85"/>
      <c r="C291" s="85"/>
      <c r="D291" s="85">
        <v>23</v>
      </c>
      <c r="E291" s="85" t="s">
        <v>123</v>
      </c>
      <c r="F291" s="39" t="s">
        <v>351</v>
      </c>
      <c r="G291" s="16">
        <v>40</v>
      </c>
      <c r="H291" s="16" t="s">
        <v>252</v>
      </c>
      <c r="I291" s="16">
        <v>100</v>
      </c>
      <c r="J291" s="16">
        <f t="shared" si="62"/>
        <v>4000</v>
      </c>
      <c r="K291" s="16"/>
      <c r="L291" s="16"/>
      <c r="M291" s="16"/>
      <c r="N291" s="16"/>
      <c r="O291" s="16">
        <v>38.76</v>
      </c>
      <c r="P291" s="16">
        <v>100</v>
      </c>
      <c r="Q291" s="16">
        <f t="shared" si="63"/>
        <v>3876</v>
      </c>
      <c r="R291" s="18">
        <v>0.18</v>
      </c>
      <c r="S291" s="16">
        <f t="shared" si="64"/>
        <v>697.68</v>
      </c>
      <c r="T291" s="16">
        <f t="shared" si="65"/>
        <v>4573.68</v>
      </c>
      <c r="U291" s="16" t="s">
        <v>325</v>
      </c>
      <c r="V291" s="19">
        <v>45334</v>
      </c>
      <c r="W291" s="142" t="s">
        <v>1073</v>
      </c>
    </row>
    <row r="292" spans="1:23" x14ac:dyDescent="0.3">
      <c r="A292" s="1"/>
      <c r="B292" s="1"/>
      <c r="C292" s="1"/>
      <c r="D292" s="1"/>
      <c r="E292" s="1"/>
      <c r="F292" s="1"/>
      <c r="G292" s="1"/>
      <c r="H292" s="1"/>
      <c r="I292" s="1"/>
      <c r="J292" s="1"/>
      <c r="K292" s="1"/>
      <c r="L292" s="1"/>
      <c r="M292" s="1"/>
      <c r="N292" s="1"/>
      <c r="O292" s="1"/>
      <c r="P292" s="1"/>
      <c r="Q292" s="1"/>
      <c r="R292" s="1"/>
      <c r="S292" s="1"/>
      <c r="T292" s="1"/>
      <c r="U292" s="1"/>
      <c r="V292" s="1"/>
      <c r="W292" s="142"/>
    </row>
    <row r="293" spans="1:23" x14ac:dyDescent="0.3">
      <c r="A293" s="205" t="s">
        <v>39</v>
      </c>
      <c r="B293" s="205"/>
      <c r="C293" s="205"/>
      <c r="D293" s="205"/>
      <c r="E293" s="205"/>
      <c r="F293" s="205"/>
      <c r="G293" s="205"/>
      <c r="H293" s="205"/>
      <c r="I293" s="205"/>
      <c r="J293" s="124">
        <f>SUM(J269:J292)</f>
        <v>375275</v>
      </c>
      <c r="K293" s="1"/>
      <c r="L293" s="1"/>
      <c r="M293" s="1"/>
      <c r="N293" s="1"/>
      <c r="O293" s="1"/>
      <c r="P293" s="1"/>
      <c r="Q293" s="1"/>
      <c r="R293" s="1"/>
      <c r="S293" s="1"/>
      <c r="T293" s="1"/>
      <c r="U293" s="1"/>
      <c r="V293" s="1"/>
      <c r="W293" s="142"/>
    </row>
    <row r="294" spans="1:23" x14ac:dyDescent="0.3">
      <c r="A294" s="205" t="s">
        <v>82</v>
      </c>
      <c r="B294" s="205"/>
      <c r="C294" s="205"/>
      <c r="D294" s="205"/>
      <c r="E294" s="205"/>
      <c r="F294" s="205"/>
      <c r="G294" s="205"/>
      <c r="H294" s="205"/>
      <c r="I294" s="205"/>
      <c r="J294" s="124">
        <f>J293*18/100</f>
        <v>67549.5</v>
      </c>
      <c r="K294" s="1"/>
      <c r="L294" s="1"/>
      <c r="M294" s="1"/>
      <c r="N294" s="1"/>
      <c r="O294" s="1"/>
      <c r="P294" s="1"/>
      <c r="Q294" s="1"/>
      <c r="R294" s="1"/>
      <c r="S294" s="1"/>
      <c r="T294" s="1"/>
      <c r="U294" s="1"/>
      <c r="V294" s="1"/>
      <c r="W294" s="142"/>
    </row>
    <row r="295" spans="1:23" x14ac:dyDescent="0.3">
      <c r="A295" s="205" t="s">
        <v>41</v>
      </c>
      <c r="B295" s="205"/>
      <c r="C295" s="205"/>
      <c r="D295" s="205"/>
      <c r="E295" s="205"/>
      <c r="F295" s="205"/>
      <c r="G295" s="205"/>
      <c r="H295" s="205"/>
      <c r="I295" s="205"/>
      <c r="J295" s="124">
        <f>SUM(J293:J294)</f>
        <v>442824.5</v>
      </c>
      <c r="K295" s="1"/>
      <c r="L295" s="1"/>
      <c r="M295" s="1"/>
      <c r="N295" s="1"/>
      <c r="O295" s="1"/>
      <c r="P295" s="1"/>
      <c r="Q295" s="1"/>
      <c r="R295" s="1"/>
      <c r="S295" s="1"/>
      <c r="T295" s="1"/>
      <c r="U295" s="1"/>
      <c r="V295" s="1"/>
      <c r="W295" s="142"/>
    </row>
    <row r="296" spans="1:23" ht="50.4" x14ac:dyDescent="0.3">
      <c r="A296" s="16">
        <v>25</v>
      </c>
      <c r="B296" s="16">
        <v>8100014733</v>
      </c>
      <c r="C296" s="16" t="s">
        <v>276</v>
      </c>
      <c r="D296" s="108" t="s">
        <v>352</v>
      </c>
      <c r="E296" s="108"/>
      <c r="F296" s="39" t="s">
        <v>353</v>
      </c>
      <c r="G296" s="16">
        <v>1</v>
      </c>
      <c r="H296" s="16" t="s">
        <v>28</v>
      </c>
      <c r="I296" s="16">
        <v>37100</v>
      </c>
      <c r="J296" s="16">
        <f>G296*I296</f>
        <v>37100</v>
      </c>
      <c r="K296" s="16"/>
      <c r="L296" s="16"/>
      <c r="M296" s="16"/>
      <c r="N296" s="16"/>
      <c r="O296" s="16">
        <v>1</v>
      </c>
      <c r="P296" s="16">
        <v>37100</v>
      </c>
      <c r="Q296" s="16">
        <f>P296*O296</f>
        <v>37100</v>
      </c>
      <c r="R296" s="18">
        <v>0.18</v>
      </c>
      <c r="S296" s="16">
        <f>Q296*R296</f>
        <v>6678</v>
      </c>
      <c r="T296" s="16">
        <f>Q296+S296</f>
        <v>43778</v>
      </c>
      <c r="U296" s="16" t="s">
        <v>354</v>
      </c>
      <c r="V296" s="19" t="s">
        <v>355</v>
      </c>
      <c r="W296" s="142"/>
    </row>
    <row r="297" spans="1:23" x14ac:dyDescent="0.3">
      <c r="A297" s="85"/>
      <c r="B297" s="85"/>
      <c r="C297" s="85"/>
      <c r="D297" s="85"/>
      <c r="E297" s="85"/>
      <c r="F297" s="16" t="s">
        <v>356</v>
      </c>
      <c r="G297" s="16">
        <v>1</v>
      </c>
      <c r="H297" s="16" t="s">
        <v>87</v>
      </c>
      <c r="I297" s="16">
        <v>8000</v>
      </c>
      <c r="J297" s="16">
        <f>G297*I297</f>
        <v>8000</v>
      </c>
      <c r="K297" s="16"/>
      <c r="L297" s="16"/>
      <c r="M297" s="16"/>
      <c r="N297" s="16"/>
      <c r="O297" s="16">
        <v>1</v>
      </c>
      <c r="P297" s="16">
        <v>8000</v>
      </c>
      <c r="Q297" s="16">
        <f t="shared" ref="Q297:Q309" si="66">P297*O297</f>
        <v>8000</v>
      </c>
      <c r="R297" s="18">
        <v>0.18</v>
      </c>
      <c r="S297" s="16">
        <f t="shared" ref="S297:S309" si="67">Q297*R297</f>
        <v>1440</v>
      </c>
      <c r="T297" s="16">
        <f t="shared" ref="T297:T309" si="68">Q297+S297</f>
        <v>9440</v>
      </c>
      <c r="U297" s="16" t="s">
        <v>354</v>
      </c>
      <c r="V297" s="19" t="s">
        <v>355</v>
      </c>
      <c r="W297" s="142"/>
    </row>
    <row r="298" spans="1:23" x14ac:dyDescent="0.3">
      <c r="A298" s="205" t="s">
        <v>39</v>
      </c>
      <c r="B298" s="205"/>
      <c r="C298" s="205"/>
      <c r="D298" s="205"/>
      <c r="E298" s="205"/>
      <c r="F298" s="205"/>
      <c r="G298" s="205"/>
      <c r="H298" s="205"/>
      <c r="I298" s="205"/>
      <c r="J298" s="124">
        <f>SUM(J296:J297)</f>
        <v>45100</v>
      </c>
      <c r="K298" s="1"/>
      <c r="L298" s="1"/>
      <c r="M298" s="1"/>
      <c r="N298" s="1"/>
      <c r="O298" s="1"/>
      <c r="P298" s="1"/>
      <c r="Q298" s="1"/>
      <c r="R298" s="86"/>
      <c r="S298" s="1"/>
      <c r="T298" s="1"/>
      <c r="U298" s="16"/>
      <c r="V298" s="19"/>
      <c r="W298" s="142"/>
    </row>
    <row r="299" spans="1:23" x14ac:dyDescent="0.3">
      <c r="A299" s="205" t="s">
        <v>82</v>
      </c>
      <c r="B299" s="205"/>
      <c r="C299" s="205"/>
      <c r="D299" s="205"/>
      <c r="E299" s="205"/>
      <c r="F299" s="205"/>
      <c r="G299" s="205"/>
      <c r="H299" s="205"/>
      <c r="I299" s="205"/>
      <c r="J299" s="124">
        <f>J298*18/100</f>
        <v>8118</v>
      </c>
      <c r="K299" s="1"/>
      <c r="L299" s="1"/>
      <c r="M299" s="1"/>
      <c r="N299" s="1"/>
      <c r="O299" s="1"/>
      <c r="P299" s="1"/>
      <c r="Q299" s="1"/>
      <c r="R299" s="86"/>
      <c r="S299" s="1"/>
      <c r="T299" s="1"/>
      <c r="U299" s="16"/>
      <c r="V299" s="19"/>
      <c r="W299" s="142"/>
    </row>
    <row r="300" spans="1:23" x14ac:dyDescent="0.3">
      <c r="A300" s="205" t="s">
        <v>41</v>
      </c>
      <c r="B300" s="205"/>
      <c r="C300" s="205"/>
      <c r="D300" s="205"/>
      <c r="E300" s="205"/>
      <c r="F300" s="205"/>
      <c r="G300" s="205"/>
      <c r="H300" s="205"/>
      <c r="I300" s="205"/>
      <c r="J300" s="124">
        <f>SUM(J298:J299)</f>
        <v>53218</v>
      </c>
      <c r="K300" s="1"/>
      <c r="L300" s="1"/>
      <c r="M300" s="1"/>
      <c r="N300" s="1"/>
      <c r="O300" s="1"/>
      <c r="P300" s="1"/>
      <c r="Q300" s="1"/>
      <c r="R300" s="86"/>
      <c r="S300" s="1"/>
      <c r="T300" s="1"/>
      <c r="U300" s="16"/>
      <c r="V300" s="19"/>
      <c r="W300" s="142"/>
    </row>
    <row r="301" spans="1:23" x14ac:dyDescent="0.3">
      <c r="A301" s="1"/>
      <c r="B301" s="1"/>
      <c r="C301" s="1"/>
      <c r="D301" s="1"/>
      <c r="E301" s="1"/>
      <c r="F301" s="1"/>
      <c r="G301" s="1"/>
      <c r="H301" s="1"/>
      <c r="I301" s="1"/>
      <c r="J301" s="1"/>
      <c r="K301" s="1"/>
      <c r="L301" s="1"/>
      <c r="M301" s="1"/>
      <c r="N301" s="1"/>
      <c r="O301" s="1"/>
      <c r="P301" s="1"/>
      <c r="Q301" s="1"/>
      <c r="R301" s="86"/>
      <c r="S301" s="1"/>
      <c r="T301" s="1"/>
      <c r="U301" s="16"/>
      <c r="V301" s="19"/>
      <c r="W301" s="142"/>
    </row>
    <row r="302" spans="1:23" ht="50.4" x14ac:dyDescent="0.3">
      <c r="A302" s="16">
        <v>26</v>
      </c>
      <c r="B302" s="16">
        <v>8100014734</v>
      </c>
      <c r="C302" s="16" t="s">
        <v>276</v>
      </c>
      <c r="D302" s="108" t="s">
        <v>357</v>
      </c>
      <c r="E302" s="108"/>
      <c r="F302" s="39" t="s">
        <v>353</v>
      </c>
      <c r="G302" s="16">
        <v>1</v>
      </c>
      <c r="H302" s="16" t="s">
        <v>28</v>
      </c>
      <c r="I302" s="16">
        <v>37100</v>
      </c>
      <c r="J302" s="16">
        <f>G302*I302</f>
        <v>37100</v>
      </c>
      <c r="K302" s="16"/>
      <c r="L302" s="16"/>
      <c r="M302" s="16"/>
      <c r="N302" s="16"/>
      <c r="O302" s="16">
        <v>1</v>
      </c>
      <c r="P302" s="16">
        <v>37100</v>
      </c>
      <c r="Q302" s="16">
        <f t="shared" si="66"/>
        <v>37100</v>
      </c>
      <c r="R302" s="18">
        <v>0.18</v>
      </c>
      <c r="S302" s="16">
        <f t="shared" si="67"/>
        <v>6678</v>
      </c>
      <c r="T302" s="16">
        <f t="shared" si="68"/>
        <v>43778</v>
      </c>
      <c r="U302" s="16" t="s">
        <v>358</v>
      </c>
      <c r="V302" s="19" t="s">
        <v>355</v>
      </c>
      <c r="W302" s="142"/>
    </row>
    <row r="303" spans="1:23" x14ac:dyDescent="0.3">
      <c r="A303" s="85"/>
      <c r="B303" s="85"/>
      <c r="C303" s="85"/>
      <c r="D303" s="85"/>
      <c r="E303" s="85"/>
      <c r="F303" s="16" t="s">
        <v>356</v>
      </c>
      <c r="G303" s="16">
        <v>1</v>
      </c>
      <c r="H303" s="16" t="s">
        <v>87</v>
      </c>
      <c r="I303" s="16">
        <v>8000</v>
      </c>
      <c r="J303" s="16">
        <f>G303*I303</f>
        <v>8000</v>
      </c>
      <c r="K303" s="16"/>
      <c r="L303" s="16"/>
      <c r="M303" s="16"/>
      <c r="N303" s="16"/>
      <c r="O303" s="16">
        <v>1</v>
      </c>
      <c r="P303" s="16">
        <v>8000</v>
      </c>
      <c r="Q303" s="16">
        <f t="shared" si="66"/>
        <v>8000</v>
      </c>
      <c r="R303" s="18">
        <v>0.18</v>
      </c>
      <c r="S303" s="16">
        <f t="shared" si="67"/>
        <v>1440</v>
      </c>
      <c r="T303" s="16">
        <f t="shared" si="68"/>
        <v>9440</v>
      </c>
      <c r="U303" s="16" t="s">
        <v>358</v>
      </c>
      <c r="V303" s="19" t="s">
        <v>355</v>
      </c>
      <c r="W303" s="142"/>
    </row>
    <row r="304" spans="1:23" x14ac:dyDescent="0.3">
      <c r="A304" s="205" t="s">
        <v>39</v>
      </c>
      <c r="B304" s="205"/>
      <c r="C304" s="205"/>
      <c r="D304" s="205"/>
      <c r="E304" s="205"/>
      <c r="F304" s="205"/>
      <c r="G304" s="205"/>
      <c r="H304" s="205"/>
      <c r="I304" s="205"/>
      <c r="J304" s="124">
        <f>SUM(J302:J303)</f>
        <v>45100</v>
      </c>
      <c r="K304" s="1"/>
      <c r="L304" s="1"/>
      <c r="M304" s="1"/>
      <c r="N304" s="1"/>
      <c r="O304" s="1"/>
      <c r="P304" s="1"/>
      <c r="Q304" s="1"/>
      <c r="R304" s="86"/>
      <c r="S304" s="1"/>
      <c r="T304" s="1"/>
      <c r="U304" s="16"/>
      <c r="V304" s="19"/>
      <c r="W304" s="142"/>
    </row>
    <row r="305" spans="1:23" x14ac:dyDescent="0.3">
      <c r="A305" s="205" t="s">
        <v>82</v>
      </c>
      <c r="B305" s="205"/>
      <c r="C305" s="205"/>
      <c r="D305" s="205"/>
      <c r="E305" s="205"/>
      <c r="F305" s="205"/>
      <c r="G305" s="205"/>
      <c r="H305" s="205"/>
      <c r="I305" s="205"/>
      <c r="J305" s="124">
        <f>J304*18/100</f>
        <v>8118</v>
      </c>
      <c r="K305" s="1"/>
      <c r="L305" s="1"/>
      <c r="M305" s="1"/>
      <c r="N305" s="1"/>
      <c r="O305" s="1"/>
      <c r="P305" s="1"/>
      <c r="Q305" s="1"/>
      <c r="R305" s="86"/>
      <c r="S305" s="1"/>
      <c r="T305" s="1"/>
      <c r="U305" s="16"/>
      <c r="V305" s="19"/>
      <c r="W305" s="142"/>
    </row>
    <row r="306" spans="1:23" x14ac:dyDescent="0.3">
      <c r="A306" s="205" t="s">
        <v>41</v>
      </c>
      <c r="B306" s="205"/>
      <c r="C306" s="205"/>
      <c r="D306" s="205"/>
      <c r="E306" s="205"/>
      <c r="F306" s="205"/>
      <c r="G306" s="205"/>
      <c r="H306" s="205"/>
      <c r="I306" s="205"/>
      <c r="J306" s="124">
        <f>SUM(J304:J305)</f>
        <v>53218</v>
      </c>
      <c r="K306" s="1"/>
      <c r="L306" s="1"/>
      <c r="M306" s="1"/>
      <c r="N306" s="1"/>
      <c r="O306" s="1"/>
      <c r="P306" s="1"/>
      <c r="Q306" s="1"/>
      <c r="R306" s="86"/>
      <c r="S306" s="1"/>
      <c r="T306" s="1"/>
      <c r="U306" s="16"/>
      <c r="V306" s="19"/>
      <c r="W306" s="142"/>
    </row>
    <row r="307" spans="1:23" x14ac:dyDescent="0.3">
      <c r="A307" s="1"/>
      <c r="B307" s="1"/>
      <c r="C307" s="1"/>
      <c r="D307" s="1"/>
      <c r="E307" s="1"/>
      <c r="F307" s="1"/>
      <c r="G307" s="1"/>
      <c r="H307" s="1"/>
      <c r="I307" s="1"/>
      <c r="J307" s="1"/>
      <c r="K307" s="1"/>
      <c r="L307" s="1"/>
      <c r="M307" s="1"/>
      <c r="N307" s="1"/>
      <c r="O307" s="1"/>
      <c r="P307" s="1"/>
      <c r="Q307" s="1"/>
      <c r="R307" s="86"/>
      <c r="S307" s="1"/>
      <c r="T307" s="1"/>
      <c r="U307" s="16"/>
      <c r="V307" s="19"/>
      <c r="W307" s="142"/>
    </row>
    <row r="308" spans="1:23" ht="50.4" x14ac:dyDescent="0.3">
      <c r="A308" s="16">
        <v>28</v>
      </c>
      <c r="B308" s="16">
        <v>8100014735</v>
      </c>
      <c r="C308" s="16" t="s">
        <v>276</v>
      </c>
      <c r="D308" s="108" t="s">
        <v>359</v>
      </c>
      <c r="E308" s="108"/>
      <c r="F308" s="39" t="s">
        <v>353</v>
      </c>
      <c r="G308" s="16">
        <v>1</v>
      </c>
      <c r="H308" s="16" t="s">
        <v>28</v>
      </c>
      <c r="I308" s="16">
        <v>37100</v>
      </c>
      <c r="J308" s="16">
        <f>G308*I308</f>
        <v>37100</v>
      </c>
      <c r="K308" s="16"/>
      <c r="L308" s="16"/>
      <c r="M308" s="16"/>
      <c r="N308" s="16"/>
      <c r="O308" s="16">
        <v>1</v>
      </c>
      <c r="P308" s="16">
        <v>37100</v>
      </c>
      <c r="Q308" s="16">
        <f t="shared" si="66"/>
        <v>37100</v>
      </c>
      <c r="R308" s="18">
        <v>0.18</v>
      </c>
      <c r="S308" s="16">
        <f t="shared" si="67"/>
        <v>6678</v>
      </c>
      <c r="T308" s="16">
        <f t="shared" si="68"/>
        <v>43778</v>
      </c>
      <c r="U308" s="16" t="s">
        <v>360</v>
      </c>
      <c r="V308" s="19" t="s">
        <v>355</v>
      </c>
      <c r="W308" s="142"/>
    </row>
    <row r="309" spans="1:23" x14ac:dyDescent="0.3">
      <c r="A309" s="85"/>
      <c r="B309" s="85"/>
      <c r="C309" s="85"/>
      <c r="D309" s="85"/>
      <c r="E309" s="85"/>
      <c r="F309" s="16" t="s">
        <v>356</v>
      </c>
      <c r="G309" s="16">
        <v>1</v>
      </c>
      <c r="H309" s="16" t="s">
        <v>87</v>
      </c>
      <c r="I309" s="16">
        <v>8000</v>
      </c>
      <c r="J309" s="16">
        <f>G309*I309</f>
        <v>8000</v>
      </c>
      <c r="K309" s="16"/>
      <c r="L309" s="16"/>
      <c r="M309" s="16"/>
      <c r="N309" s="16"/>
      <c r="O309" s="16">
        <v>1</v>
      </c>
      <c r="P309" s="16">
        <v>8000</v>
      </c>
      <c r="Q309" s="16">
        <f t="shared" si="66"/>
        <v>8000</v>
      </c>
      <c r="R309" s="18">
        <v>0.18</v>
      </c>
      <c r="S309" s="16">
        <f t="shared" si="67"/>
        <v>1440</v>
      </c>
      <c r="T309" s="16">
        <f t="shared" si="68"/>
        <v>9440</v>
      </c>
      <c r="U309" s="16" t="s">
        <v>360</v>
      </c>
      <c r="V309" s="19" t="s">
        <v>355</v>
      </c>
      <c r="W309" s="142"/>
    </row>
    <row r="310" spans="1:23" x14ac:dyDescent="0.3">
      <c r="A310" s="205" t="s">
        <v>39</v>
      </c>
      <c r="B310" s="205"/>
      <c r="C310" s="205"/>
      <c r="D310" s="205"/>
      <c r="E310" s="205"/>
      <c r="F310" s="205"/>
      <c r="G310" s="205"/>
      <c r="H310" s="205"/>
      <c r="I310" s="205"/>
      <c r="J310" s="124">
        <f>SUM(J308:J309)</f>
        <v>45100</v>
      </c>
      <c r="K310" s="1"/>
      <c r="L310" s="1"/>
      <c r="M310" s="1"/>
      <c r="N310" s="1"/>
      <c r="O310" s="1"/>
      <c r="P310" s="1"/>
      <c r="Q310" s="1"/>
      <c r="R310" s="1"/>
      <c r="S310" s="1"/>
      <c r="T310" s="1"/>
      <c r="U310" s="1"/>
      <c r="V310" s="1"/>
      <c r="W310" s="142"/>
    </row>
    <row r="311" spans="1:23" x14ac:dyDescent="0.3">
      <c r="A311" s="205" t="s">
        <v>82</v>
      </c>
      <c r="B311" s="205"/>
      <c r="C311" s="205"/>
      <c r="D311" s="205"/>
      <c r="E311" s="205"/>
      <c r="F311" s="205"/>
      <c r="G311" s="205"/>
      <c r="H311" s="205"/>
      <c r="I311" s="205"/>
      <c r="J311" s="124">
        <f>J310*18/100</f>
        <v>8118</v>
      </c>
      <c r="K311" s="1"/>
      <c r="L311" s="1"/>
      <c r="M311" s="1"/>
      <c r="N311" s="1"/>
      <c r="O311" s="1"/>
      <c r="P311" s="1"/>
      <c r="Q311" s="1"/>
      <c r="R311" s="1"/>
      <c r="S311" s="1"/>
      <c r="T311" s="1"/>
      <c r="U311" s="1"/>
      <c r="V311" s="1"/>
      <c r="W311" s="142"/>
    </row>
    <row r="312" spans="1:23" x14ac:dyDescent="0.3">
      <c r="A312" s="205" t="s">
        <v>41</v>
      </c>
      <c r="B312" s="205"/>
      <c r="C312" s="205"/>
      <c r="D312" s="205"/>
      <c r="E312" s="205"/>
      <c r="F312" s="205"/>
      <c r="G312" s="205"/>
      <c r="H312" s="205"/>
      <c r="I312" s="205"/>
      <c r="J312" s="124">
        <f>SUM(J310:J311)</f>
        <v>53218</v>
      </c>
      <c r="K312" s="1"/>
      <c r="L312" s="1"/>
      <c r="M312" s="1"/>
      <c r="N312" s="1"/>
      <c r="O312" s="1"/>
      <c r="P312" s="1"/>
      <c r="Q312" s="1"/>
      <c r="R312" s="1"/>
      <c r="S312" s="1"/>
      <c r="T312" s="1"/>
      <c r="U312" s="1"/>
      <c r="V312" s="1"/>
      <c r="W312" s="142"/>
    </row>
    <row r="313" spans="1:23" x14ac:dyDescent="0.3">
      <c r="A313" s="1"/>
      <c r="B313" s="1"/>
      <c r="C313" s="1"/>
      <c r="D313" s="1"/>
      <c r="E313" s="1"/>
      <c r="F313" s="1"/>
      <c r="G313" s="1"/>
      <c r="H313" s="1"/>
      <c r="I313" s="1"/>
      <c r="J313" s="1"/>
      <c r="K313" s="1"/>
      <c r="L313" s="1"/>
      <c r="M313" s="1"/>
      <c r="N313" s="1"/>
      <c r="O313" s="1"/>
      <c r="P313" s="1"/>
      <c r="Q313" s="1"/>
      <c r="R313" s="1"/>
      <c r="S313" s="1"/>
      <c r="T313" s="1"/>
      <c r="U313" s="1"/>
      <c r="V313" s="1"/>
      <c r="W313" s="142"/>
    </row>
    <row r="314" spans="1:23" x14ac:dyDescent="0.3">
      <c r="A314" s="16">
        <v>29</v>
      </c>
      <c r="B314" s="16">
        <v>8600050183</v>
      </c>
      <c r="C314" s="16" t="s">
        <v>361</v>
      </c>
      <c r="D314" s="16" t="s">
        <v>43</v>
      </c>
      <c r="E314" s="16"/>
      <c r="F314" s="39" t="s">
        <v>362</v>
      </c>
      <c r="G314" s="16">
        <v>120</v>
      </c>
      <c r="H314" s="16" t="s">
        <v>28</v>
      </c>
      <c r="I314" s="16">
        <v>1180</v>
      </c>
      <c r="J314" s="16">
        <f>G314*I314</f>
        <v>141600</v>
      </c>
      <c r="K314" s="16"/>
      <c r="L314" s="16"/>
      <c r="M314" s="16"/>
      <c r="N314" s="16"/>
      <c r="O314" s="16">
        <v>120</v>
      </c>
      <c r="P314" s="16">
        <v>1180</v>
      </c>
      <c r="Q314" s="16">
        <f>O314*P314</f>
        <v>141600</v>
      </c>
      <c r="R314" s="18">
        <v>0</v>
      </c>
      <c r="S314" s="16">
        <f>Q314*R314</f>
        <v>0</v>
      </c>
      <c r="T314" s="16">
        <f>Q314+S314</f>
        <v>141600</v>
      </c>
      <c r="U314" s="16" t="s">
        <v>363</v>
      </c>
      <c r="V314" s="19">
        <v>45334</v>
      </c>
      <c r="W314" s="142" t="s">
        <v>200</v>
      </c>
    </row>
    <row r="315" spans="1:23" x14ac:dyDescent="0.3">
      <c r="A315" s="1"/>
      <c r="B315" s="1"/>
      <c r="C315" s="81" t="s">
        <v>364</v>
      </c>
      <c r="D315" s="1" t="s">
        <v>326</v>
      </c>
      <c r="E315" s="1"/>
      <c r="F315" s="1"/>
      <c r="G315" s="1"/>
      <c r="H315" s="81" t="s">
        <v>28</v>
      </c>
      <c r="I315" s="1"/>
      <c r="J315" s="1"/>
      <c r="K315" s="1"/>
      <c r="L315" s="1"/>
      <c r="M315" s="1"/>
      <c r="N315" s="1"/>
      <c r="O315" s="1"/>
      <c r="P315" s="1"/>
      <c r="Q315" s="1"/>
      <c r="R315" s="1"/>
      <c r="S315" s="1"/>
      <c r="T315" s="1"/>
      <c r="U315" s="1"/>
      <c r="V315" s="1"/>
      <c r="W315" s="142"/>
    </row>
    <row r="316" spans="1:23" x14ac:dyDescent="0.3">
      <c r="A316" s="205" t="s">
        <v>39</v>
      </c>
      <c r="B316" s="205"/>
      <c r="C316" s="205"/>
      <c r="D316" s="205"/>
      <c r="E316" s="205"/>
      <c r="F316" s="205"/>
      <c r="G316" s="205"/>
      <c r="H316" s="205"/>
      <c r="I316" s="205"/>
      <c r="J316" s="1">
        <f>SUM(J314:J315)</f>
        <v>141600</v>
      </c>
      <c r="K316" s="1"/>
      <c r="L316" s="1"/>
      <c r="M316" s="1"/>
      <c r="N316" s="1"/>
      <c r="O316" s="1"/>
      <c r="P316" s="1"/>
      <c r="Q316" s="1"/>
      <c r="R316" s="1"/>
      <c r="S316" s="1"/>
      <c r="T316" s="1"/>
      <c r="U316" s="1"/>
      <c r="V316" s="1"/>
      <c r="W316" s="142"/>
    </row>
    <row r="317" spans="1:23" x14ac:dyDescent="0.3">
      <c r="A317" s="205" t="s">
        <v>82</v>
      </c>
      <c r="B317" s="205"/>
      <c r="C317" s="205"/>
      <c r="D317" s="205"/>
      <c r="E317" s="205"/>
      <c r="F317" s="205"/>
      <c r="G317" s="205"/>
      <c r="H317" s="205"/>
      <c r="I317" s="205"/>
      <c r="J317" s="1">
        <v>0</v>
      </c>
      <c r="K317" s="1"/>
      <c r="L317" s="1"/>
      <c r="M317" s="1"/>
      <c r="N317" s="1"/>
      <c r="O317" s="1"/>
      <c r="P317" s="1"/>
      <c r="Q317" s="1"/>
      <c r="R317" s="1"/>
      <c r="S317" s="1"/>
      <c r="T317" s="1"/>
      <c r="U317" s="1"/>
      <c r="V317" s="1"/>
      <c r="W317" s="142"/>
    </row>
    <row r="318" spans="1:23" x14ac:dyDescent="0.3">
      <c r="A318" s="205" t="s">
        <v>41</v>
      </c>
      <c r="B318" s="205"/>
      <c r="C318" s="205"/>
      <c r="D318" s="205"/>
      <c r="E318" s="205"/>
      <c r="F318" s="205"/>
      <c r="G318" s="205"/>
      <c r="H318" s="205"/>
      <c r="I318" s="205"/>
      <c r="J318" s="124">
        <f>SUM(J316:J317)</f>
        <v>141600</v>
      </c>
      <c r="K318" s="1"/>
      <c r="L318" s="1"/>
      <c r="M318" s="1"/>
      <c r="N318" s="1"/>
      <c r="O318" s="1"/>
      <c r="P318" s="1"/>
      <c r="Q318" s="1"/>
      <c r="R318" s="1"/>
      <c r="S318" s="1"/>
      <c r="T318" s="1"/>
      <c r="U318" s="1"/>
      <c r="V318" s="1"/>
      <c r="W318" s="142"/>
    </row>
    <row r="319" spans="1:23" x14ac:dyDescent="0.3">
      <c r="A319" s="1"/>
      <c r="B319" s="1"/>
      <c r="C319" s="1"/>
      <c r="D319" s="1"/>
      <c r="E319" s="1"/>
      <c r="F319" s="1"/>
      <c r="G319" s="1"/>
      <c r="H319" s="1"/>
      <c r="I319" s="1"/>
      <c r="J319" s="1"/>
      <c r="K319" s="1"/>
      <c r="L319" s="1"/>
      <c r="M319" s="1"/>
      <c r="N319" s="1"/>
      <c r="O319" s="1"/>
      <c r="P319" s="1"/>
      <c r="Q319" s="1"/>
      <c r="R319" s="1"/>
      <c r="S319" s="1"/>
      <c r="T319" s="1"/>
      <c r="U319" s="1"/>
      <c r="V319" s="1"/>
      <c r="W319" s="142"/>
    </row>
    <row r="320" spans="1:23" ht="25.2" x14ac:dyDescent="0.3">
      <c r="A320" s="16">
        <v>30</v>
      </c>
      <c r="B320" s="16">
        <v>8600050184</v>
      </c>
      <c r="C320" s="16" t="s">
        <v>361</v>
      </c>
      <c r="D320" s="16" t="s">
        <v>43</v>
      </c>
      <c r="E320" s="16" t="s">
        <v>127</v>
      </c>
      <c r="F320" s="39" t="s">
        <v>365</v>
      </c>
      <c r="G320" s="16">
        <v>10</v>
      </c>
      <c r="H320" s="16" t="s">
        <v>28</v>
      </c>
      <c r="I320" s="16">
        <v>750</v>
      </c>
      <c r="J320" s="16">
        <f>G320*I320</f>
        <v>7500</v>
      </c>
      <c r="K320" s="16"/>
      <c r="L320" s="16"/>
      <c r="M320" s="16"/>
      <c r="N320" s="16"/>
      <c r="O320" s="16">
        <v>10</v>
      </c>
      <c r="P320" s="16">
        <v>750</v>
      </c>
      <c r="Q320" s="16">
        <f>O320*P320</f>
        <v>7500</v>
      </c>
      <c r="R320" s="18">
        <v>0</v>
      </c>
      <c r="S320" s="16">
        <f>Q320*R320</f>
        <v>0</v>
      </c>
      <c r="T320" s="16">
        <f>Q320+S320</f>
        <v>7500</v>
      </c>
      <c r="U320" s="16" t="s">
        <v>1263</v>
      </c>
      <c r="V320" s="19" t="s">
        <v>1264</v>
      </c>
      <c r="W320" s="142" t="s">
        <v>1377</v>
      </c>
    </row>
    <row r="321" spans="1:23" x14ac:dyDescent="0.3">
      <c r="A321" s="1"/>
      <c r="B321" s="1"/>
      <c r="C321" s="1"/>
      <c r="D321" s="1"/>
      <c r="E321" s="1"/>
      <c r="F321" s="1"/>
      <c r="G321" s="1"/>
      <c r="H321" s="1"/>
      <c r="I321" s="1"/>
      <c r="J321" s="1"/>
      <c r="K321" s="1"/>
      <c r="L321" s="1"/>
      <c r="M321" s="1"/>
      <c r="N321" s="1"/>
      <c r="O321" s="1"/>
      <c r="P321" s="1"/>
      <c r="Q321" s="1"/>
      <c r="R321" s="1"/>
      <c r="S321" s="1"/>
      <c r="T321" s="1"/>
      <c r="U321" s="1"/>
      <c r="V321" s="1"/>
      <c r="W321" s="142"/>
    </row>
    <row r="322" spans="1:23" x14ac:dyDescent="0.3">
      <c r="A322" s="205" t="s">
        <v>39</v>
      </c>
      <c r="B322" s="205"/>
      <c r="C322" s="205"/>
      <c r="D322" s="205"/>
      <c r="E322" s="205"/>
      <c r="F322" s="205"/>
      <c r="G322" s="205"/>
      <c r="H322" s="205"/>
      <c r="I322" s="205"/>
      <c r="J322" s="1">
        <f>SUM(J320:J321)</f>
        <v>7500</v>
      </c>
      <c r="K322" s="1"/>
      <c r="L322" s="1"/>
      <c r="M322" s="1"/>
      <c r="N322" s="1"/>
      <c r="O322" s="1"/>
      <c r="P322" s="1"/>
      <c r="Q322" s="1"/>
      <c r="R322" s="1"/>
      <c r="S322" s="1"/>
      <c r="T322" s="1"/>
      <c r="U322" s="1"/>
      <c r="V322" s="1"/>
      <c r="W322" s="142"/>
    </row>
    <row r="323" spans="1:23" x14ac:dyDescent="0.3">
      <c r="A323" s="205" t="s">
        <v>82</v>
      </c>
      <c r="B323" s="205"/>
      <c r="C323" s="205"/>
      <c r="D323" s="205"/>
      <c r="E323" s="205"/>
      <c r="F323" s="205"/>
      <c r="G323" s="205"/>
      <c r="H323" s="205"/>
      <c r="I323" s="205"/>
      <c r="J323" s="1">
        <v>0</v>
      </c>
      <c r="K323" s="1"/>
      <c r="L323" s="1"/>
      <c r="M323" s="1"/>
      <c r="N323" s="1"/>
      <c r="O323" s="1"/>
      <c r="P323" s="1"/>
      <c r="Q323" s="1"/>
      <c r="R323" s="1"/>
      <c r="S323" s="1"/>
      <c r="T323" s="1"/>
      <c r="U323" s="1"/>
      <c r="V323" s="1"/>
      <c r="W323" s="142"/>
    </row>
    <row r="324" spans="1:23" x14ac:dyDescent="0.3">
      <c r="A324" s="205" t="s">
        <v>41</v>
      </c>
      <c r="B324" s="205"/>
      <c r="C324" s="205"/>
      <c r="D324" s="205"/>
      <c r="E324" s="205"/>
      <c r="F324" s="205"/>
      <c r="G324" s="205"/>
      <c r="H324" s="205"/>
      <c r="I324" s="205"/>
      <c r="J324" s="124">
        <f>SUM(J322:J323)</f>
        <v>7500</v>
      </c>
      <c r="K324" s="1"/>
      <c r="L324" s="1"/>
      <c r="M324" s="1"/>
      <c r="N324" s="1"/>
      <c r="O324" s="1"/>
      <c r="P324" s="1"/>
      <c r="Q324" s="1"/>
      <c r="R324" s="1"/>
      <c r="S324" s="1"/>
      <c r="T324" s="1"/>
      <c r="U324" s="1"/>
      <c r="V324" s="1"/>
      <c r="W324" s="142"/>
    </row>
    <row r="325" spans="1:23" x14ac:dyDescent="0.3">
      <c r="A325" s="126"/>
      <c r="B325" s="126"/>
      <c r="C325" s="126"/>
      <c r="D325" s="126"/>
      <c r="E325" s="126"/>
      <c r="F325" s="126"/>
      <c r="G325" s="126"/>
      <c r="H325" s="126"/>
      <c r="I325" s="126"/>
      <c r="J325" s="124"/>
      <c r="K325" s="1"/>
      <c r="L325" s="1"/>
      <c r="M325" s="1"/>
      <c r="N325" s="1"/>
      <c r="O325" s="1"/>
      <c r="P325" s="1"/>
      <c r="Q325" s="1"/>
      <c r="R325" s="1"/>
      <c r="S325" s="1"/>
      <c r="T325" s="1"/>
      <c r="U325" s="1"/>
      <c r="V325" s="1"/>
      <c r="W325" s="142"/>
    </row>
    <row r="326" spans="1:23" ht="50.4" x14ac:dyDescent="0.3">
      <c r="A326" s="85">
        <v>31</v>
      </c>
      <c r="B326" s="16">
        <v>9200123077</v>
      </c>
      <c r="C326" s="16" t="s">
        <v>361</v>
      </c>
      <c r="D326" s="16" t="s">
        <v>43</v>
      </c>
      <c r="E326" s="16" t="s">
        <v>123</v>
      </c>
      <c r="F326" s="39" t="s">
        <v>366</v>
      </c>
      <c r="G326" s="16">
        <v>130</v>
      </c>
      <c r="H326" s="16" t="s">
        <v>60</v>
      </c>
      <c r="I326" s="16">
        <v>700</v>
      </c>
      <c r="J326" s="16">
        <f>G326*I326</f>
        <v>91000</v>
      </c>
      <c r="K326" s="16">
        <v>120</v>
      </c>
      <c r="L326" s="16" t="s">
        <v>60</v>
      </c>
      <c r="M326" s="16" t="s">
        <v>91</v>
      </c>
      <c r="N326" s="16">
        <v>106</v>
      </c>
      <c r="O326" s="16">
        <v>130</v>
      </c>
      <c r="P326" s="16">
        <v>700</v>
      </c>
      <c r="Q326" s="16">
        <f>O326*P326</f>
        <v>91000</v>
      </c>
      <c r="R326" s="18">
        <v>0</v>
      </c>
      <c r="S326" s="16">
        <f>Q326*R326</f>
        <v>0</v>
      </c>
      <c r="T326" s="16">
        <f>Q326+S326</f>
        <v>91000</v>
      </c>
      <c r="U326" s="16" t="s">
        <v>367</v>
      </c>
      <c r="V326" s="19" t="s">
        <v>368</v>
      </c>
      <c r="W326" s="142" t="s">
        <v>200</v>
      </c>
    </row>
    <row r="327" spans="1:23" x14ac:dyDescent="0.3">
      <c r="A327" s="85"/>
      <c r="B327" s="85"/>
      <c r="C327" s="85"/>
      <c r="D327" s="85"/>
      <c r="E327" s="16" t="s">
        <v>123</v>
      </c>
      <c r="F327" s="16" t="s">
        <v>369</v>
      </c>
      <c r="G327" s="16">
        <v>20</v>
      </c>
      <c r="H327" s="16" t="s">
        <v>60</v>
      </c>
      <c r="I327" s="16">
        <v>400</v>
      </c>
      <c r="J327" s="16">
        <f t="shared" ref="J327:J332" si="69">G327*I327</f>
        <v>8000</v>
      </c>
      <c r="K327" s="16"/>
      <c r="L327" s="16"/>
      <c r="M327" s="16"/>
      <c r="N327" s="16"/>
      <c r="O327" s="16">
        <v>20</v>
      </c>
      <c r="P327" s="16">
        <v>400</v>
      </c>
      <c r="Q327" s="16">
        <f t="shared" ref="Q327:Q330" si="70">O327*P327</f>
        <v>8000</v>
      </c>
      <c r="R327" s="18">
        <v>0</v>
      </c>
      <c r="S327" s="16">
        <f t="shared" ref="S327:S330" si="71">Q327*R327</f>
        <v>0</v>
      </c>
      <c r="T327" s="16">
        <f t="shared" ref="T327:T330" si="72">Q327+S327</f>
        <v>8000</v>
      </c>
      <c r="U327" s="16" t="s">
        <v>367</v>
      </c>
      <c r="V327" s="19" t="s">
        <v>368</v>
      </c>
      <c r="W327" s="142" t="s">
        <v>200</v>
      </c>
    </row>
    <row r="328" spans="1:23" ht="25.2" x14ac:dyDescent="0.3">
      <c r="A328" s="85"/>
      <c r="B328" s="85"/>
      <c r="C328" s="85"/>
      <c r="D328" s="85"/>
      <c r="E328" s="16" t="s">
        <v>123</v>
      </c>
      <c r="F328" s="39" t="s">
        <v>370</v>
      </c>
      <c r="G328" s="16">
        <v>14</v>
      </c>
      <c r="H328" s="16" t="s">
        <v>28</v>
      </c>
      <c r="I328" s="16">
        <v>1170</v>
      </c>
      <c r="J328" s="16">
        <f t="shared" si="69"/>
        <v>16380</v>
      </c>
      <c r="K328" s="16"/>
      <c r="L328" s="16"/>
      <c r="M328" s="16"/>
      <c r="N328" s="16"/>
      <c r="O328" s="16">
        <v>14</v>
      </c>
      <c r="P328" s="16">
        <v>1170</v>
      </c>
      <c r="Q328" s="16">
        <f t="shared" si="70"/>
        <v>16380</v>
      </c>
      <c r="R328" s="18">
        <v>0</v>
      </c>
      <c r="S328" s="16">
        <f t="shared" si="71"/>
        <v>0</v>
      </c>
      <c r="T328" s="16">
        <f t="shared" si="72"/>
        <v>16380</v>
      </c>
      <c r="U328" s="16" t="s">
        <v>367</v>
      </c>
      <c r="V328" s="19" t="s">
        <v>368</v>
      </c>
      <c r="W328" s="142" t="s">
        <v>200</v>
      </c>
    </row>
    <row r="329" spans="1:23" ht="37.799999999999997" x14ac:dyDescent="0.3">
      <c r="A329" s="85"/>
      <c r="B329" s="85"/>
      <c r="C329" s="85"/>
      <c r="D329" s="85"/>
      <c r="E329" s="16" t="s">
        <v>123</v>
      </c>
      <c r="F329" s="39" t="s">
        <v>371</v>
      </c>
      <c r="G329" s="16">
        <v>14</v>
      </c>
      <c r="H329" s="16" t="s">
        <v>28</v>
      </c>
      <c r="I329" s="16">
        <v>3000</v>
      </c>
      <c r="J329" s="16">
        <f t="shared" si="69"/>
        <v>42000</v>
      </c>
      <c r="K329" s="16"/>
      <c r="L329" s="16"/>
      <c r="M329" s="16"/>
      <c r="N329" s="16"/>
      <c r="O329" s="16">
        <v>14</v>
      </c>
      <c r="P329" s="16">
        <v>3000</v>
      </c>
      <c r="Q329" s="16">
        <f t="shared" si="70"/>
        <v>42000</v>
      </c>
      <c r="R329" s="18">
        <v>0</v>
      </c>
      <c r="S329" s="16">
        <f t="shared" si="71"/>
        <v>0</v>
      </c>
      <c r="T329" s="16">
        <f t="shared" si="72"/>
        <v>42000</v>
      </c>
      <c r="U329" s="16" t="s">
        <v>367</v>
      </c>
      <c r="V329" s="19" t="s">
        <v>368</v>
      </c>
      <c r="W329" s="142" t="s">
        <v>200</v>
      </c>
    </row>
    <row r="330" spans="1:23" x14ac:dyDescent="0.3">
      <c r="A330" s="85"/>
      <c r="B330" s="85"/>
      <c r="C330" s="85"/>
      <c r="D330" s="85"/>
      <c r="E330" s="16" t="s">
        <v>123</v>
      </c>
      <c r="F330" s="16" t="s">
        <v>372</v>
      </c>
      <c r="G330" s="16">
        <v>1</v>
      </c>
      <c r="H330" s="16" t="s">
        <v>87</v>
      </c>
      <c r="I330" s="16">
        <v>3500</v>
      </c>
      <c r="J330" s="16">
        <f t="shared" si="69"/>
        <v>3500</v>
      </c>
      <c r="K330" s="16"/>
      <c r="L330" s="16"/>
      <c r="M330" s="16"/>
      <c r="N330" s="16"/>
      <c r="O330" s="16">
        <v>1</v>
      </c>
      <c r="P330" s="16">
        <v>3500</v>
      </c>
      <c r="Q330" s="16">
        <f t="shared" si="70"/>
        <v>3500</v>
      </c>
      <c r="R330" s="18">
        <v>0</v>
      </c>
      <c r="S330" s="16">
        <f t="shared" si="71"/>
        <v>0</v>
      </c>
      <c r="T330" s="16">
        <f t="shared" si="72"/>
        <v>3500</v>
      </c>
      <c r="U330" s="16" t="s">
        <v>367</v>
      </c>
      <c r="V330" s="19" t="s">
        <v>368</v>
      </c>
      <c r="W330" s="142" t="s">
        <v>200</v>
      </c>
    </row>
    <row r="331" spans="1:23" x14ac:dyDescent="0.3">
      <c r="A331" s="205" t="s">
        <v>39</v>
      </c>
      <c r="B331" s="205"/>
      <c r="C331" s="205"/>
      <c r="D331" s="205"/>
      <c r="E331" s="205"/>
      <c r="F331" s="205"/>
      <c r="G331" s="205"/>
      <c r="H331" s="205"/>
      <c r="I331" s="205"/>
      <c r="J331" s="1">
        <f>SUM(J326:J330)</f>
        <v>160880</v>
      </c>
      <c r="K331" s="1"/>
      <c r="L331" s="1"/>
      <c r="M331" s="1"/>
      <c r="N331" s="1"/>
      <c r="O331" s="1"/>
      <c r="P331" s="1"/>
      <c r="Q331" s="1"/>
      <c r="R331" s="1"/>
      <c r="S331" s="1"/>
      <c r="T331" s="1"/>
      <c r="U331" s="1"/>
      <c r="V331" s="1"/>
      <c r="W331" s="142"/>
    </row>
    <row r="332" spans="1:23" x14ac:dyDescent="0.3">
      <c r="A332" s="205" t="s">
        <v>82</v>
      </c>
      <c r="B332" s="205"/>
      <c r="C332" s="205"/>
      <c r="D332" s="205"/>
      <c r="E332" s="205"/>
      <c r="F332" s="205"/>
      <c r="G332" s="205"/>
      <c r="H332" s="205"/>
      <c r="I332" s="205"/>
      <c r="J332" s="1">
        <f t="shared" si="69"/>
        <v>0</v>
      </c>
      <c r="K332" s="1"/>
      <c r="L332" s="1"/>
      <c r="M332" s="1"/>
      <c r="N332" s="1"/>
      <c r="O332" s="1"/>
      <c r="P332" s="1"/>
      <c r="Q332" s="1"/>
      <c r="R332" s="1"/>
      <c r="S332" s="1"/>
      <c r="T332" s="1"/>
      <c r="U332" s="1"/>
      <c r="V332" s="1"/>
      <c r="W332" s="142"/>
    </row>
    <row r="333" spans="1:23" x14ac:dyDescent="0.3">
      <c r="A333" s="205" t="s">
        <v>41</v>
      </c>
      <c r="B333" s="205"/>
      <c r="C333" s="205"/>
      <c r="D333" s="205"/>
      <c r="E333" s="205"/>
      <c r="F333" s="205"/>
      <c r="G333" s="205"/>
      <c r="H333" s="205"/>
      <c r="I333" s="205"/>
      <c r="J333" s="124">
        <f>SUM(J331:J332)</f>
        <v>160880</v>
      </c>
      <c r="K333" s="1"/>
      <c r="L333" s="1"/>
      <c r="M333" s="1"/>
      <c r="N333" s="1"/>
      <c r="O333" s="1"/>
      <c r="P333" s="1"/>
      <c r="Q333" s="1"/>
      <c r="R333" s="1"/>
      <c r="S333" s="1"/>
      <c r="T333" s="1"/>
      <c r="U333" s="1"/>
      <c r="V333" s="1"/>
      <c r="W333" s="142"/>
    </row>
    <row r="334" spans="1:23" x14ac:dyDescent="0.3">
      <c r="A334" s="62"/>
      <c r="B334" s="8"/>
      <c r="C334" s="8"/>
      <c r="D334" s="8"/>
      <c r="E334" s="8"/>
      <c r="F334" s="8"/>
      <c r="G334" s="8"/>
      <c r="H334" s="8"/>
      <c r="I334" s="8"/>
      <c r="J334" s="8"/>
      <c r="K334" s="8"/>
      <c r="L334" s="8"/>
      <c r="M334" s="8"/>
      <c r="N334" s="8"/>
      <c r="O334" s="8"/>
      <c r="P334" s="8"/>
      <c r="Q334" s="8"/>
      <c r="R334" s="8"/>
      <c r="S334" s="8"/>
      <c r="T334" s="8"/>
      <c r="U334" s="8"/>
      <c r="V334" s="8"/>
      <c r="W334" s="142"/>
    </row>
    <row r="335" spans="1:23" ht="16.95" customHeight="1" x14ac:dyDescent="0.3">
      <c r="A335" s="1">
        <v>32</v>
      </c>
      <c r="B335" s="60">
        <v>9200123100</v>
      </c>
      <c r="C335" s="16" t="s">
        <v>361</v>
      </c>
      <c r="D335" s="16" t="s">
        <v>373</v>
      </c>
      <c r="E335" s="16"/>
      <c r="F335" s="16" t="s">
        <v>374</v>
      </c>
      <c r="G335" s="16">
        <v>1</v>
      </c>
      <c r="H335" s="16" t="s">
        <v>28</v>
      </c>
      <c r="I335" s="16">
        <v>24000</v>
      </c>
      <c r="J335" s="16">
        <f>G335*I335</f>
        <v>24000</v>
      </c>
      <c r="K335" s="30">
        <v>1</v>
      </c>
      <c r="L335" s="30" t="s">
        <v>28</v>
      </c>
      <c r="M335" s="30" t="s">
        <v>91</v>
      </c>
      <c r="N335" s="89" t="s">
        <v>375</v>
      </c>
      <c r="O335" s="30">
        <v>1</v>
      </c>
      <c r="P335" s="16">
        <v>24000</v>
      </c>
      <c r="Q335" s="16">
        <f>O335*P335</f>
        <v>24000</v>
      </c>
      <c r="R335" s="18">
        <v>0</v>
      </c>
      <c r="S335" s="16">
        <f>Q335*R335</f>
        <v>0</v>
      </c>
      <c r="T335" s="16">
        <f>Q335+S335</f>
        <v>24000</v>
      </c>
      <c r="U335" s="16" t="s">
        <v>376</v>
      </c>
      <c r="V335" s="19">
        <v>45334</v>
      </c>
      <c r="W335" s="146">
        <v>45717</v>
      </c>
    </row>
    <row r="336" spans="1:23" ht="16.95" customHeight="1" x14ac:dyDescent="0.3">
      <c r="A336" s="1"/>
      <c r="B336" s="16"/>
      <c r="C336" s="16"/>
      <c r="D336" s="16"/>
      <c r="E336" s="16"/>
      <c r="F336" s="16" t="s">
        <v>377</v>
      </c>
      <c r="G336" s="16">
        <v>1</v>
      </c>
      <c r="H336" s="16" t="s">
        <v>87</v>
      </c>
      <c r="I336" s="16">
        <v>14500</v>
      </c>
      <c r="J336" s="16">
        <f t="shared" ref="J336:J339" si="73">G336*I336</f>
        <v>14500</v>
      </c>
      <c r="K336" s="16"/>
      <c r="L336" s="16"/>
      <c r="M336" s="16"/>
      <c r="N336" s="16"/>
      <c r="O336" s="16">
        <v>1</v>
      </c>
      <c r="P336" s="16">
        <v>14500</v>
      </c>
      <c r="Q336" s="16">
        <f t="shared" ref="Q336:Q339" si="74">O336*P336</f>
        <v>14500</v>
      </c>
      <c r="R336" s="18">
        <v>0</v>
      </c>
      <c r="S336" s="16">
        <f t="shared" ref="S336:S339" si="75">Q336*R336</f>
        <v>0</v>
      </c>
      <c r="T336" s="16">
        <f t="shared" ref="T336:T339" si="76">Q336+S336</f>
        <v>14500</v>
      </c>
      <c r="U336" s="16" t="s">
        <v>376</v>
      </c>
      <c r="V336" s="19">
        <v>45334</v>
      </c>
      <c r="W336" s="146">
        <v>45717</v>
      </c>
    </row>
    <row r="337" spans="1:23" ht="16.95" customHeight="1" x14ac:dyDescent="0.3">
      <c r="A337" s="1"/>
      <c r="B337" s="16"/>
      <c r="C337" s="16"/>
      <c r="D337" s="16"/>
      <c r="E337" s="16"/>
      <c r="F337" s="16" t="s">
        <v>378</v>
      </c>
      <c r="G337" s="16">
        <v>1</v>
      </c>
      <c r="H337" s="16" t="s">
        <v>87</v>
      </c>
      <c r="I337" s="16">
        <v>2025</v>
      </c>
      <c r="J337" s="16">
        <f t="shared" si="73"/>
        <v>2025</v>
      </c>
      <c r="K337" s="16"/>
      <c r="L337" s="16"/>
      <c r="M337" s="16"/>
      <c r="N337" s="16"/>
      <c r="O337" s="16">
        <v>1</v>
      </c>
      <c r="P337" s="16">
        <v>2025</v>
      </c>
      <c r="Q337" s="16">
        <f t="shared" si="74"/>
        <v>2025</v>
      </c>
      <c r="R337" s="18">
        <v>0</v>
      </c>
      <c r="S337" s="16">
        <f t="shared" si="75"/>
        <v>0</v>
      </c>
      <c r="T337" s="16">
        <f t="shared" si="76"/>
        <v>2025</v>
      </c>
      <c r="U337" s="16" t="s">
        <v>376</v>
      </c>
      <c r="V337" s="19">
        <v>45334</v>
      </c>
      <c r="W337" s="146">
        <v>45717</v>
      </c>
    </row>
    <row r="338" spans="1:23" ht="16.95" customHeight="1" x14ac:dyDescent="0.3">
      <c r="A338" s="1"/>
      <c r="B338" s="16"/>
      <c r="C338" s="16"/>
      <c r="D338" s="16"/>
      <c r="E338" s="16"/>
      <c r="F338" s="16" t="s">
        <v>379</v>
      </c>
      <c r="G338" s="16">
        <v>1</v>
      </c>
      <c r="H338" s="16" t="s">
        <v>87</v>
      </c>
      <c r="I338" s="16">
        <v>2700</v>
      </c>
      <c r="J338" s="16">
        <f t="shared" si="73"/>
        <v>2700</v>
      </c>
      <c r="K338" s="16"/>
      <c r="L338" s="16"/>
      <c r="M338" s="16"/>
      <c r="N338" s="16"/>
      <c r="O338" s="16">
        <v>1</v>
      </c>
      <c r="P338" s="16">
        <v>5700</v>
      </c>
      <c r="Q338" s="16">
        <f t="shared" si="74"/>
        <v>5700</v>
      </c>
      <c r="R338" s="18">
        <v>0</v>
      </c>
      <c r="S338" s="16">
        <f t="shared" si="75"/>
        <v>0</v>
      </c>
      <c r="T338" s="16">
        <f t="shared" si="76"/>
        <v>5700</v>
      </c>
      <c r="U338" s="16" t="s">
        <v>376</v>
      </c>
      <c r="V338" s="19">
        <v>45334</v>
      </c>
      <c r="W338" s="146">
        <v>45717</v>
      </c>
    </row>
    <row r="339" spans="1:23" ht="16.95" customHeight="1" x14ac:dyDescent="0.3">
      <c r="A339" s="1"/>
      <c r="B339" s="16"/>
      <c r="C339" s="16"/>
      <c r="D339" s="16"/>
      <c r="E339" s="16"/>
      <c r="F339" s="16" t="s">
        <v>380</v>
      </c>
      <c r="G339" s="16">
        <v>1</v>
      </c>
      <c r="H339" s="16" t="s">
        <v>225</v>
      </c>
      <c r="I339" s="16">
        <v>2025</v>
      </c>
      <c r="J339" s="16">
        <f t="shared" si="73"/>
        <v>2025</v>
      </c>
      <c r="K339" s="16"/>
      <c r="L339" s="16"/>
      <c r="M339" s="16"/>
      <c r="N339" s="16"/>
      <c r="O339" s="16">
        <v>1</v>
      </c>
      <c r="P339" s="16">
        <v>2025</v>
      </c>
      <c r="Q339" s="16">
        <f t="shared" si="74"/>
        <v>2025</v>
      </c>
      <c r="R339" s="18">
        <v>0</v>
      </c>
      <c r="S339" s="16">
        <f t="shared" si="75"/>
        <v>0</v>
      </c>
      <c r="T339" s="16">
        <f t="shared" si="76"/>
        <v>2025</v>
      </c>
      <c r="U339" s="16" t="s">
        <v>376</v>
      </c>
      <c r="V339" s="19">
        <v>45334</v>
      </c>
      <c r="W339" s="146">
        <v>45717</v>
      </c>
    </row>
    <row r="340" spans="1:23" x14ac:dyDescent="0.3">
      <c r="A340" s="205" t="s">
        <v>39</v>
      </c>
      <c r="B340" s="205"/>
      <c r="C340" s="205"/>
      <c r="D340" s="205"/>
      <c r="E340" s="205"/>
      <c r="F340" s="205"/>
      <c r="G340" s="205"/>
      <c r="H340" s="205"/>
      <c r="I340" s="205"/>
      <c r="J340" s="126">
        <f>SUM(J335:J339)</f>
        <v>45250</v>
      </c>
      <c r="K340" s="1"/>
      <c r="L340" s="1"/>
      <c r="M340" s="1"/>
      <c r="N340" s="1"/>
      <c r="O340" s="1"/>
      <c r="P340" s="1"/>
      <c r="Q340" s="1"/>
      <c r="R340" s="1"/>
      <c r="S340" s="1"/>
      <c r="T340" s="1"/>
      <c r="U340" s="1"/>
      <c r="V340" s="1"/>
      <c r="W340" s="142"/>
    </row>
    <row r="341" spans="1:23" x14ac:dyDescent="0.3">
      <c r="A341" s="205" t="s">
        <v>82</v>
      </c>
      <c r="B341" s="205"/>
      <c r="C341" s="205"/>
      <c r="D341" s="205"/>
      <c r="E341" s="205"/>
      <c r="F341" s="205"/>
      <c r="G341" s="205"/>
      <c r="H341" s="205"/>
      <c r="I341" s="205"/>
      <c r="J341" s="126">
        <v>0</v>
      </c>
      <c r="K341" s="1"/>
      <c r="L341" s="1"/>
      <c r="M341" s="1"/>
      <c r="N341" s="1"/>
      <c r="O341" s="1"/>
      <c r="P341" s="1"/>
      <c r="Q341" s="1"/>
      <c r="R341" s="1"/>
      <c r="S341" s="1"/>
      <c r="T341" s="1"/>
      <c r="U341" s="1"/>
      <c r="V341" s="1"/>
      <c r="W341" s="142"/>
    </row>
    <row r="342" spans="1:23" x14ac:dyDescent="0.3">
      <c r="A342" s="205" t="s">
        <v>41</v>
      </c>
      <c r="B342" s="205"/>
      <c r="C342" s="205"/>
      <c r="D342" s="205"/>
      <c r="E342" s="205"/>
      <c r="F342" s="205"/>
      <c r="G342" s="205"/>
      <c r="H342" s="205"/>
      <c r="I342" s="205"/>
      <c r="J342" s="126">
        <f>SUM(J340:J341)</f>
        <v>45250</v>
      </c>
      <c r="K342" s="1"/>
      <c r="L342" s="1"/>
      <c r="M342" s="1"/>
      <c r="N342" s="1"/>
      <c r="O342" s="1"/>
      <c r="P342" s="1"/>
      <c r="Q342" s="1"/>
      <c r="R342" s="1"/>
      <c r="S342" s="1"/>
      <c r="T342" s="1"/>
      <c r="U342" s="1"/>
      <c r="V342" s="1"/>
      <c r="W342" s="142"/>
    </row>
    <row r="343" spans="1:23" x14ac:dyDescent="0.3">
      <c r="A343" s="1"/>
      <c r="B343" s="1"/>
      <c r="C343" s="1"/>
      <c r="D343" s="1"/>
      <c r="E343" s="1"/>
      <c r="F343" s="1"/>
      <c r="G343" s="1"/>
      <c r="H343" s="1"/>
      <c r="I343" s="1"/>
      <c r="J343" s="1"/>
      <c r="K343" s="1"/>
      <c r="L343" s="1"/>
      <c r="M343" s="1"/>
      <c r="N343" s="1"/>
      <c r="O343" s="1"/>
      <c r="P343" s="1"/>
      <c r="Q343" s="1"/>
      <c r="R343" s="1"/>
      <c r="S343" s="1"/>
      <c r="T343" s="1"/>
      <c r="U343" s="1"/>
      <c r="V343" s="1"/>
      <c r="W343" s="142"/>
    </row>
    <row r="344" spans="1:23" x14ac:dyDescent="0.3">
      <c r="A344" s="16">
        <v>33</v>
      </c>
      <c r="B344" s="16">
        <v>8600050278</v>
      </c>
      <c r="C344" s="19">
        <v>45361</v>
      </c>
      <c r="D344" s="16" t="s">
        <v>43</v>
      </c>
      <c r="E344" s="16"/>
      <c r="F344" s="16" t="s">
        <v>381</v>
      </c>
      <c r="G344" s="16">
        <v>20</v>
      </c>
      <c r="H344" s="16" t="s">
        <v>28</v>
      </c>
      <c r="I344" s="16">
        <v>4800</v>
      </c>
      <c r="J344" s="16">
        <f>G344*I344</f>
        <v>96000</v>
      </c>
      <c r="K344" s="16"/>
      <c r="L344" s="16"/>
      <c r="M344" s="16"/>
      <c r="N344" s="16"/>
      <c r="O344" s="16">
        <v>20</v>
      </c>
      <c r="P344" s="16">
        <v>4800</v>
      </c>
      <c r="Q344" s="16">
        <f>P344*O344</f>
        <v>96000</v>
      </c>
      <c r="R344" s="18">
        <v>0.18</v>
      </c>
      <c r="S344" s="16">
        <f>Q344*R344</f>
        <v>17280</v>
      </c>
      <c r="T344" s="16">
        <f>Q344+S344</f>
        <v>113280</v>
      </c>
      <c r="U344" s="16" t="s">
        <v>382</v>
      </c>
      <c r="V344" s="16" t="s">
        <v>254</v>
      </c>
      <c r="W344" s="142"/>
    </row>
    <row r="345" spans="1:23" x14ac:dyDescent="0.3">
      <c r="A345" s="16"/>
      <c r="B345" s="16"/>
      <c r="C345" s="16"/>
      <c r="D345" s="16"/>
      <c r="E345" s="16"/>
      <c r="F345" s="16" t="s">
        <v>383</v>
      </c>
      <c r="G345" s="16">
        <v>30</v>
      </c>
      <c r="H345" s="16" t="s">
        <v>28</v>
      </c>
      <c r="I345" s="16">
        <v>4800</v>
      </c>
      <c r="J345" s="16">
        <f t="shared" ref="J345:J363" si="77">G345*I345</f>
        <v>144000</v>
      </c>
      <c r="K345" s="16"/>
      <c r="L345" s="16"/>
      <c r="M345" s="16"/>
      <c r="N345" s="16"/>
      <c r="O345" s="16">
        <v>30</v>
      </c>
      <c r="P345" s="16">
        <v>4800</v>
      </c>
      <c r="Q345" s="16">
        <f>P345*O345</f>
        <v>144000</v>
      </c>
      <c r="R345" s="18">
        <v>0.18</v>
      </c>
      <c r="S345" s="16">
        <f>Q345*R345</f>
        <v>25920</v>
      </c>
      <c r="T345" s="16">
        <f>Q345+S345</f>
        <v>169920</v>
      </c>
      <c r="U345" s="16" t="s">
        <v>382</v>
      </c>
      <c r="V345" s="16" t="s">
        <v>254</v>
      </c>
      <c r="W345" s="142"/>
    </row>
    <row r="346" spans="1:23" x14ac:dyDescent="0.25">
      <c r="A346" s="16"/>
      <c r="B346" s="16"/>
      <c r="C346" s="16"/>
      <c r="D346" s="16"/>
      <c r="E346" s="16"/>
      <c r="F346" s="84" t="s">
        <v>384</v>
      </c>
      <c r="G346" s="16">
        <v>60</v>
      </c>
      <c r="H346" s="16" t="s">
        <v>28</v>
      </c>
      <c r="I346" s="16">
        <v>1191</v>
      </c>
      <c r="J346" s="16">
        <f t="shared" si="77"/>
        <v>71460</v>
      </c>
      <c r="K346" s="16"/>
      <c r="L346" s="16"/>
      <c r="M346" s="16"/>
      <c r="N346" s="16"/>
      <c r="O346" s="16">
        <v>60</v>
      </c>
      <c r="P346" s="16">
        <v>1190</v>
      </c>
      <c r="Q346" s="16">
        <f>P346*O346</f>
        <v>71400</v>
      </c>
      <c r="R346" s="18">
        <v>0.18</v>
      </c>
      <c r="S346" s="16">
        <f>Q346*R346</f>
        <v>12852</v>
      </c>
      <c r="T346" s="16">
        <f>Q346+S346</f>
        <v>84252</v>
      </c>
      <c r="U346" s="16" t="s">
        <v>385</v>
      </c>
      <c r="V346" s="16" t="s">
        <v>386</v>
      </c>
      <c r="W346" s="142"/>
    </row>
    <row r="347" spans="1:23" x14ac:dyDescent="0.3">
      <c r="A347" s="1"/>
      <c r="B347" s="1"/>
      <c r="C347" s="1"/>
      <c r="D347" s="1"/>
      <c r="E347" s="1"/>
      <c r="F347" s="1"/>
      <c r="G347" s="1"/>
      <c r="H347" s="1"/>
      <c r="I347" s="1"/>
      <c r="J347" s="1">
        <f t="shared" si="77"/>
        <v>0</v>
      </c>
      <c r="K347" s="1"/>
      <c r="L347" s="1"/>
      <c r="M347" s="1"/>
      <c r="N347" s="1"/>
      <c r="O347" s="1"/>
      <c r="P347" s="1"/>
      <c r="Q347" s="1"/>
      <c r="R347" s="1"/>
      <c r="S347" s="1"/>
      <c r="T347" s="1"/>
      <c r="U347" s="1"/>
      <c r="V347" s="1"/>
      <c r="W347" s="142"/>
    </row>
    <row r="348" spans="1:23" x14ac:dyDescent="0.3">
      <c r="A348" s="205" t="s">
        <v>39</v>
      </c>
      <c r="B348" s="205"/>
      <c r="C348" s="205"/>
      <c r="D348" s="205"/>
      <c r="E348" s="205"/>
      <c r="F348" s="205"/>
      <c r="G348" s="205"/>
      <c r="H348" s="205"/>
      <c r="I348" s="205"/>
      <c r="J348" s="1">
        <f>SUM(J344:J347)</f>
        <v>311460</v>
      </c>
      <c r="K348" s="1"/>
      <c r="L348" s="1"/>
      <c r="M348" s="1"/>
      <c r="N348" s="1"/>
      <c r="O348" s="1"/>
      <c r="P348" s="1"/>
      <c r="Q348" s="1"/>
      <c r="R348" s="1"/>
      <c r="S348" s="1"/>
      <c r="T348" s="1"/>
      <c r="U348" s="1"/>
      <c r="V348" s="1"/>
      <c r="W348" s="142"/>
    </row>
    <row r="349" spans="1:23" x14ac:dyDescent="0.3">
      <c r="A349" s="205" t="s">
        <v>82</v>
      </c>
      <c r="B349" s="205"/>
      <c r="C349" s="205"/>
      <c r="D349" s="205"/>
      <c r="E349" s="205"/>
      <c r="F349" s="205"/>
      <c r="G349" s="205"/>
      <c r="H349" s="205"/>
      <c r="I349" s="205"/>
      <c r="J349" s="1">
        <f>J348*18/100</f>
        <v>56062.8</v>
      </c>
      <c r="K349" s="1"/>
      <c r="L349" s="1"/>
      <c r="M349" s="1"/>
      <c r="N349" s="1"/>
      <c r="O349" s="1"/>
      <c r="P349" s="1"/>
      <c r="Q349" s="1"/>
      <c r="R349" s="1"/>
      <c r="S349" s="1"/>
      <c r="T349" s="1"/>
      <c r="U349" s="1"/>
      <c r="V349" s="1"/>
      <c r="W349" s="142"/>
    </row>
    <row r="350" spans="1:23" x14ac:dyDescent="0.3">
      <c r="A350" s="205" t="s">
        <v>41</v>
      </c>
      <c r="B350" s="205"/>
      <c r="C350" s="205"/>
      <c r="D350" s="205"/>
      <c r="E350" s="205"/>
      <c r="F350" s="205"/>
      <c r="G350" s="205"/>
      <c r="H350" s="205"/>
      <c r="I350" s="205"/>
      <c r="J350" s="124">
        <f>SUM(J348:J349)</f>
        <v>367522.8</v>
      </c>
      <c r="K350" s="1"/>
      <c r="L350" s="1"/>
      <c r="M350" s="1"/>
      <c r="N350" s="1"/>
      <c r="O350" s="1"/>
      <c r="P350" s="1"/>
      <c r="Q350" s="1"/>
      <c r="R350" s="1"/>
      <c r="S350" s="1"/>
      <c r="T350" s="1"/>
      <c r="U350" s="1"/>
      <c r="V350" s="1"/>
      <c r="W350" s="142"/>
    </row>
    <row r="351" spans="1:23" x14ac:dyDescent="0.3">
      <c r="A351" s="1"/>
      <c r="B351" s="1"/>
      <c r="C351" s="1"/>
      <c r="D351" s="1"/>
      <c r="E351" s="1"/>
      <c r="F351" s="1"/>
      <c r="G351" s="1"/>
      <c r="H351" s="1"/>
      <c r="I351" s="1"/>
      <c r="J351" s="1">
        <f t="shared" si="77"/>
        <v>0</v>
      </c>
      <c r="K351" s="1"/>
      <c r="L351" s="1"/>
      <c r="M351" s="1"/>
      <c r="N351" s="1"/>
      <c r="O351" s="1"/>
      <c r="P351" s="1"/>
      <c r="Q351" s="1"/>
      <c r="R351" s="1"/>
      <c r="S351" s="1"/>
      <c r="T351" s="1"/>
      <c r="U351" s="1"/>
      <c r="V351" s="1"/>
      <c r="W351" s="142"/>
    </row>
    <row r="352" spans="1:23" x14ac:dyDescent="0.3">
      <c r="A352" s="16">
        <v>34</v>
      </c>
      <c r="B352" s="16">
        <v>8600050331</v>
      </c>
      <c r="C352" s="19">
        <v>45392</v>
      </c>
      <c r="D352" s="16" t="s">
        <v>43</v>
      </c>
      <c r="E352" s="16"/>
      <c r="F352" s="16" t="s">
        <v>387</v>
      </c>
      <c r="G352" s="16">
        <v>50</v>
      </c>
      <c r="H352" s="16" t="s">
        <v>28</v>
      </c>
      <c r="I352" s="16">
        <v>1191</v>
      </c>
      <c r="J352" s="16">
        <f t="shared" si="77"/>
        <v>59550</v>
      </c>
      <c r="K352" s="16"/>
      <c r="L352" s="16"/>
      <c r="M352" s="16"/>
      <c r="N352" s="16"/>
      <c r="O352" s="16">
        <v>50</v>
      </c>
      <c r="P352" s="16">
        <v>1191</v>
      </c>
      <c r="Q352" s="16">
        <f>O352*P352</f>
        <v>59550</v>
      </c>
      <c r="R352" s="18">
        <v>0.18</v>
      </c>
      <c r="S352" s="16">
        <f>Q352*R352</f>
        <v>10719</v>
      </c>
      <c r="T352" s="16">
        <f>Q352+S352</f>
        <v>70269</v>
      </c>
      <c r="U352" s="16" t="s">
        <v>388</v>
      </c>
      <c r="V352" s="16" t="s">
        <v>254</v>
      </c>
      <c r="W352" s="142"/>
    </row>
    <row r="353" spans="1:23" x14ac:dyDescent="0.3">
      <c r="A353" s="1"/>
      <c r="B353" s="1"/>
      <c r="C353" s="1"/>
      <c r="D353" s="1"/>
      <c r="E353" s="1"/>
      <c r="F353" s="16" t="s">
        <v>389</v>
      </c>
      <c r="G353" s="16">
        <v>6</v>
      </c>
      <c r="H353" s="16" t="s">
        <v>28</v>
      </c>
      <c r="I353" s="16">
        <v>4800</v>
      </c>
      <c r="J353" s="16">
        <f t="shared" si="77"/>
        <v>28800</v>
      </c>
      <c r="K353" s="16"/>
      <c r="L353" s="16"/>
      <c r="M353" s="16"/>
      <c r="N353" s="16"/>
      <c r="O353" s="16">
        <v>6</v>
      </c>
      <c r="P353" s="16">
        <v>4800</v>
      </c>
      <c r="Q353" s="16">
        <f t="shared" ref="Q353:Q363" si="78">O353*P353</f>
        <v>28800</v>
      </c>
      <c r="R353" s="18">
        <v>0.18</v>
      </c>
      <c r="S353" s="16">
        <f t="shared" ref="S353:S363" si="79">Q353*R353</f>
        <v>5184</v>
      </c>
      <c r="T353" s="16">
        <f t="shared" ref="T353:T363" si="80">Q353+S353</f>
        <v>33984</v>
      </c>
      <c r="U353" s="16" t="s">
        <v>388</v>
      </c>
      <c r="V353" s="16" t="s">
        <v>254</v>
      </c>
      <c r="W353" s="142"/>
    </row>
    <row r="354" spans="1:23" x14ac:dyDescent="0.3">
      <c r="A354" s="1"/>
      <c r="B354" s="1"/>
      <c r="C354" s="1"/>
      <c r="D354" s="1"/>
      <c r="E354" s="1"/>
      <c r="F354" s="16" t="s">
        <v>390</v>
      </c>
      <c r="G354" s="16">
        <v>5</v>
      </c>
      <c r="H354" s="16" t="s">
        <v>28</v>
      </c>
      <c r="I354" s="16">
        <v>8400</v>
      </c>
      <c r="J354" s="16">
        <f t="shared" si="77"/>
        <v>42000</v>
      </c>
      <c r="K354" s="16"/>
      <c r="L354" s="16"/>
      <c r="M354" s="16"/>
      <c r="N354" s="16"/>
      <c r="O354" s="16">
        <v>5</v>
      </c>
      <c r="P354" s="16">
        <v>8400</v>
      </c>
      <c r="Q354" s="16">
        <f t="shared" si="78"/>
        <v>42000</v>
      </c>
      <c r="R354" s="18">
        <v>0.18</v>
      </c>
      <c r="S354" s="16">
        <f t="shared" si="79"/>
        <v>7560</v>
      </c>
      <c r="T354" s="16">
        <f t="shared" si="80"/>
        <v>49560</v>
      </c>
      <c r="U354" s="16" t="s">
        <v>388</v>
      </c>
      <c r="V354" s="16" t="s">
        <v>254</v>
      </c>
      <c r="W354" s="142"/>
    </row>
    <row r="355" spans="1:23" x14ac:dyDescent="0.3">
      <c r="A355" s="1"/>
      <c r="B355" s="1"/>
      <c r="C355" s="1"/>
      <c r="D355" s="1"/>
      <c r="E355" s="1"/>
      <c r="F355" s="16" t="s">
        <v>391</v>
      </c>
      <c r="G355" s="16">
        <v>5</v>
      </c>
      <c r="H355" s="16" t="s">
        <v>28</v>
      </c>
      <c r="I355" s="16">
        <v>1356</v>
      </c>
      <c r="J355" s="16">
        <f t="shared" si="77"/>
        <v>6780</v>
      </c>
      <c r="K355" s="16"/>
      <c r="L355" s="16"/>
      <c r="M355" s="16"/>
      <c r="N355" s="16"/>
      <c r="O355" s="16">
        <v>5</v>
      </c>
      <c r="P355" s="16">
        <v>1356</v>
      </c>
      <c r="Q355" s="16">
        <f t="shared" si="78"/>
        <v>6780</v>
      </c>
      <c r="R355" s="18">
        <v>0.18</v>
      </c>
      <c r="S355" s="16">
        <f t="shared" si="79"/>
        <v>1220.3999999999999</v>
      </c>
      <c r="T355" s="16">
        <f t="shared" si="80"/>
        <v>8000.4</v>
      </c>
      <c r="U355" s="16" t="s">
        <v>388</v>
      </c>
      <c r="V355" s="16" t="s">
        <v>254</v>
      </c>
      <c r="W355" s="142"/>
    </row>
    <row r="356" spans="1:23" x14ac:dyDescent="0.3">
      <c r="A356" s="1"/>
      <c r="B356" s="1"/>
      <c r="C356" s="1"/>
      <c r="D356" s="1"/>
      <c r="E356" s="1"/>
      <c r="F356" s="16" t="s">
        <v>392</v>
      </c>
      <c r="G356" s="16">
        <v>20</v>
      </c>
      <c r="H356" s="16" t="s">
        <v>28</v>
      </c>
      <c r="I356" s="16">
        <v>4800</v>
      </c>
      <c r="J356" s="16">
        <f t="shared" si="77"/>
        <v>96000</v>
      </c>
      <c r="K356" s="16"/>
      <c r="L356" s="16"/>
      <c r="M356" s="16"/>
      <c r="N356" s="16"/>
      <c r="O356" s="16">
        <v>20</v>
      </c>
      <c r="P356" s="16">
        <v>4800</v>
      </c>
      <c r="Q356" s="16">
        <f t="shared" si="78"/>
        <v>96000</v>
      </c>
      <c r="R356" s="18">
        <v>0.18</v>
      </c>
      <c r="S356" s="16">
        <f t="shared" si="79"/>
        <v>17280</v>
      </c>
      <c r="T356" s="16">
        <f t="shared" si="80"/>
        <v>113280</v>
      </c>
      <c r="U356" s="16" t="s">
        <v>388</v>
      </c>
      <c r="V356" s="16" t="s">
        <v>254</v>
      </c>
      <c r="W356" s="142"/>
    </row>
    <row r="357" spans="1:23" x14ac:dyDescent="0.3">
      <c r="A357" s="1"/>
      <c r="B357" s="1"/>
      <c r="C357" s="1"/>
      <c r="D357" s="1"/>
      <c r="E357" s="1"/>
      <c r="F357" s="16" t="s">
        <v>393</v>
      </c>
      <c r="G357" s="16">
        <v>10</v>
      </c>
      <c r="H357" s="16" t="s">
        <v>28</v>
      </c>
      <c r="I357" s="16">
        <v>160</v>
      </c>
      <c r="J357" s="16">
        <f t="shared" si="77"/>
        <v>1600</v>
      </c>
      <c r="K357" s="16"/>
      <c r="L357" s="16"/>
      <c r="M357" s="16"/>
      <c r="N357" s="16"/>
      <c r="O357" s="16">
        <v>10</v>
      </c>
      <c r="P357" s="16">
        <v>160</v>
      </c>
      <c r="Q357" s="16">
        <f t="shared" si="78"/>
        <v>1600</v>
      </c>
      <c r="R357" s="18">
        <v>0.18</v>
      </c>
      <c r="S357" s="16">
        <f t="shared" si="79"/>
        <v>288</v>
      </c>
      <c r="T357" s="16">
        <f t="shared" si="80"/>
        <v>1888</v>
      </c>
      <c r="U357" s="16" t="s">
        <v>388</v>
      </c>
      <c r="V357" s="16" t="s">
        <v>254</v>
      </c>
      <c r="W357" s="142"/>
    </row>
    <row r="358" spans="1:23" x14ac:dyDescent="0.3">
      <c r="A358" s="1"/>
      <c r="B358" s="1"/>
      <c r="C358" s="1"/>
      <c r="D358" s="1"/>
      <c r="E358" s="1"/>
      <c r="F358" s="16" t="s">
        <v>394</v>
      </c>
      <c r="G358" s="16">
        <v>50</v>
      </c>
      <c r="H358" s="16" t="s">
        <v>28</v>
      </c>
      <c r="I358" s="16">
        <v>24</v>
      </c>
      <c r="J358" s="16">
        <f t="shared" si="77"/>
        <v>1200</v>
      </c>
      <c r="K358" s="16"/>
      <c r="L358" s="16"/>
      <c r="M358" s="16"/>
      <c r="N358" s="16"/>
      <c r="O358" s="16">
        <v>50</v>
      </c>
      <c r="P358" s="16">
        <v>24</v>
      </c>
      <c r="Q358" s="16">
        <f t="shared" si="78"/>
        <v>1200</v>
      </c>
      <c r="R358" s="18">
        <v>0.18</v>
      </c>
      <c r="S358" s="16">
        <f t="shared" si="79"/>
        <v>216</v>
      </c>
      <c r="T358" s="16">
        <f t="shared" si="80"/>
        <v>1416</v>
      </c>
      <c r="U358" s="16" t="s">
        <v>388</v>
      </c>
      <c r="V358" s="16" t="s">
        <v>254</v>
      </c>
      <c r="W358" s="142"/>
    </row>
    <row r="359" spans="1:23" x14ac:dyDescent="0.3">
      <c r="A359" s="1"/>
      <c r="B359" s="1"/>
      <c r="C359" s="1"/>
      <c r="D359" s="1"/>
      <c r="E359" s="1"/>
      <c r="F359" s="16" t="s">
        <v>395</v>
      </c>
      <c r="G359" s="16">
        <v>20</v>
      </c>
      <c r="H359" s="16" t="s">
        <v>28</v>
      </c>
      <c r="I359" s="16">
        <v>2100</v>
      </c>
      <c r="J359" s="16">
        <f t="shared" si="77"/>
        <v>42000</v>
      </c>
      <c r="K359" s="16"/>
      <c r="L359" s="16"/>
      <c r="M359" s="16"/>
      <c r="N359" s="16"/>
      <c r="O359" s="16">
        <v>20</v>
      </c>
      <c r="P359" s="16">
        <v>2100</v>
      </c>
      <c r="Q359" s="16">
        <f t="shared" si="78"/>
        <v>42000</v>
      </c>
      <c r="R359" s="18">
        <v>0.18</v>
      </c>
      <c r="S359" s="16">
        <f t="shared" si="79"/>
        <v>7560</v>
      </c>
      <c r="T359" s="16">
        <f t="shared" si="80"/>
        <v>49560</v>
      </c>
      <c r="U359" s="16" t="s">
        <v>388</v>
      </c>
      <c r="V359" s="16" t="s">
        <v>254</v>
      </c>
      <c r="W359" s="142"/>
    </row>
    <row r="360" spans="1:23" x14ac:dyDescent="0.3">
      <c r="A360" s="1"/>
      <c r="B360" s="1"/>
      <c r="C360" s="1"/>
      <c r="D360" s="1"/>
      <c r="E360" s="1"/>
      <c r="F360" s="16" t="s">
        <v>396</v>
      </c>
      <c r="G360" s="16">
        <v>10</v>
      </c>
      <c r="H360" s="16" t="s">
        <v>28</v>
      </c>
      <c r="I360" s="16">
        <v>260</v>
      </c>
      <c r="J360" s="16">
        <f t="shared" si="77"/>
        <v>2600</v>
      </c>
      <c r="K360" s="16"/>
      <c r="L360" s="16"/>
      <c r="M360" s="16"/>
      <c r="N360" s="16"/>
      <c r="O360" s="16">
        <v>10</v>
      </c>
      <c r="P360" s="16">
        <v>260</v>
      </c>
      <c r="Q360" s="16">
        <f t="shared" si="78"/>
        <v>2600</v>
      </c>
      <c r="R360" s="18">
        <v>0.18</v>
      </c>
      <c r="S360" s="16">
        <f t="shared" si="79"/>
        <v>468</v>
      </c>
      <c r="T360" s="16">
        <f t="shared" si="80"/>
        <v>3068</v>
      </c>
      <c r="U360" s="16" t="s">
        <v>388</v>
      </c>
      <c r="V360" s="16" t="s">
        <v>254</v>
      </c>
      <c r="W360" s="142"/>
    </row>
    <row r="361" spans="1:23" x14ac:dyDescent="0.3">
      <c r="A361" s="1"/>
      <c r="B361" s="1"/>
      <c r="C361" s="1"/>
      <c r="D361" s="1"/>
      <c r="E361" s="1"/>
      <c r="F361" s="16" t="s">
        <v>397</v>
      </c>
      <c r="G361" s="16">
        <v>20</v>
      </c>
      <c r="H361" s="16" t="s">
        <v>28</v>
      </c>
      <c r="I361" s="16">
        <v>418</v>
      </c>
      <c r="J361" s="16">
        <f t="shared" si="77"/>
        <v>8360</v>
      </c>
      <c r="K361" s="16"/>
      <c r="L361" s="16"/>
      <c r="M361" s="16"/>
      <c r="N361" s="16"/>
      <c r="O361" s="16">
        <v>20</v>
      </c>
      <c r="P361" s="16">
        <v>418</v>
      </c>
      <c r="Q361" s="16">
        <f t="shared" si="78"/>
        <v>8360</v>
      </c>
      <c r="R361" s="18">
        <v>0.18</v>
      </c>
      <c r="S361" s="16">
        <f t="shared" si="79"/>
        <v>1504.8</v>
      </c>
      <c r="T361" s="16">
        <f t="shared" si="80"/>
        <v>9864.7999999999993</v>
      </c>
      <c r="U361" s="16" t="s">
        <v>388</v>
      </c>
      <c r="V361" s="16" t="s">
        <v>254</v>
      </c>
      <c r="W361" s="142"/>
    </row>
    <row r="362" spans="1:23" x14ac:dyDescent="0.3">
      <c r="A362" s="1"/>
      <c r="B362" s="1"/>
      <c r="C362" s="1"/>
      <c r="D362" s="1"/>
      <c r="E362" s="1"/>
      <c r="F362" s="16" t="s">
        <v>398</v>
      </c>
      <c r="G362" s="16">
        <v>100</v>
      </c>
      <c r="H362" s="16" t="s">
        <v>28</v>
      </c>
      <c r="I362" s="16">
        <v>85</v>
      </c>
      <c r="J362" s="16">
        <f t="shared" si="77"/>
        <v>8500</v>
      </c>
      <c r="K362" s="16"/>
      <c r="L362" s="16"/>
      <c r="M362" s="16"/>
      <c r="N362" s="16"/>
      <c r="O362" s="16">
        <v>100</v>
      </c>
      <c r="P362" s="16">
        <v>85</v>
      </c>
      <c r="Q362" s="16">
        <f t="shared" si="78"/>
        <v>8500</v>
      </c>
      <c r="R362" s="18">
        <v>0.18</v>
      </c>
      <c r="S362" s="16">
        <f t="shared" si="79"/>
        <v>1530</v>
      </c>
      <c r="T362" s="16">
        <f t="shared" si="80"/>
        <v>10030</v>
      </c>
      <c r="U362" s="16" t="s">
        <v>388</v>
      </c>
      <c r="V362" s="16" t="s">
        <v>254</v>
      </c>
      <c r="W362" s="142"/>
    </row>
    <row r="363" spans="1:23" x14ac:dyDescent="0.3">
      <c r="A363" s="1"/>
      <c r="B363" s="1"/>
      <c r="C363" s="1"/>
      <c r="D363" s="1"/>
      <c r="E363" s="1"/>
      <c r="F363" s="16" t="s">
        <v>399</v>
      </c>
      <c r="G363" s="16">
        <v>100</v>
      </c>
      <c r="H363" s="16" t="s">
        <v>28</v>
      </c>
      <c r="I363" s="16">
        <v>140</v>
      </c>
      <c r="J363" s="16">
        <f t="shared" si="77"/>
        <v>14000</v>
      </c>
      <c r="K363" s="16"/>
      <c r="L363" s="16"/>
      <c r="M363" s="16"/>
      <c r="N363" s="16"/>
      <c r="O363" s="16">
        <v>100</v>
      </c>
      <c r="P363" s="16">
        <v>140</v>
      </c>
      <c r="Q363" s="16">
        <f t="shared" si="78"/>
        <v>14000</v>
      </c>
      <c r="R363" s="18">
        <v>0.18</v>
      </c>
      <c r="S363" s="16">
        <f t="shared" si="79"/>
        <v>2520</v>
      </c>
      <c r="T363" s="16">
        <f t="shared" si="80"/>
        <v>16520</v>
      </c>
      <c r="U363" s="16" t="s">
        <v>388</v>
      </c>
      <c r="V363" s="16" t="s">
        <v>254</v>
      </c>
      <c r="W363" s="142"/>
    </row>
    <row r="364" spans="1:23" x14ac:dyDescent="0.3">
      <c r="A364" s="1"/>
      <c r="B364" s="1"/>
      <c r="C364" s="1"/>
      <c r="D364" s="1"/>
      <c r="E364" s="1"/>
      <c r="F364" s="1"/>
      <c r="G364" s="1"/>
      <c r="H364" s="1"/>
      <c r="I364" s="1"/>
      <c r="J364" s="1"/>
      <c r="K364" s="1"/>
      <c r="L364" s="1"/>
      <c r="M364" s="1"/>
      <c r="N364" s="1"/>
      <c r="O364" s="1"/>
      <c r="P364" s="1"/>
      <c r="Q364" s="1"/>
      <c r="R364" s="1"/>
      <c r="S364" s="1"/>
      <c r="T364" s="1"/>
      <c r="U364" s="1"/>
      <c r="V364" s="1"/>
      <c r="W364" s="142"/>
    </row>
    <row r="365" spans="1:23" x14ac:dyDescent="0.3">
      <c r="A365" s="205" t="s">
        <v>39</v>
      </c>
      <c r="B365" s="205"/>
      <c r="C365" s="205"/>
      <c r="D365" s="205"/>
      <c r="E365" s="205"/>
      <c r="F365" s="205"/>
      <c r="G365" s="205"/>
      <c r="H365" s="205"/>
      <c r="I365" s="205"/>
      <c r="J365" s="124">
        <f>SUM(J352:J364)</f>
        <v>311390</v>
      </c>
      <c r="K365" s="1"/>
      <c r="L365" s="1"/>
      <c r="M365" s="1"/>
      <c r="N365" s="1"/>
      <c r="O365" s="1"/>
      <c r="P365" s="1"/>
      <c r="Q365" s="1"/>
      <c r="R365" s="1"/>
      <c r="S365" s="1"/>
      <c r="T365" s="1"/>
      <c r="U365" s="1"/>
      <c r="V365" s="1"/>
      <c r="W365" s="142"/>
    </row>
    <row r="366" spans="1:23" x14ac:dyDescent="0.3">
      <c r="A366" s="205" t="s">
        <v>82</v>
      </c>
      <c r="B366" s="205"/>
      <c r="C366" s="205"/>
      <c r="D366" s="205"/>
      <c r="E366" s="205"/>
      <c r="F366" s="205"/>
      <c r="G366" s="205"/>
      <c r="H366" s="205"/>
      <c r="I366" s="205"/>
      <c r="J366" s="124">
        <f>J365*18/100</f>
        <v>56050.2</v>
      </c>
      <c r="K366" s="1"/>
      <c r="L366" s="1"/>
      <c r="M366" s="1"/>
      <c r="N366" s="1"/>
      <c r="O366" s="1"/>
      <c r="P366" s="1"/>
      <c r="Q366" s="1"/>
      <c r="R366" s="1"/>
      <c r="S366" s="1"/>
      <c r="T366" s="1"/>
      <c r="U366" s="1"/>
      <c r="V366" s="1"/>
      <c r="W366" s="142"/>
    </row>
    <row r="367" spans="1:23" x14ac:dyDescent="0.3">
      <c r="A367" s="205" t="s">
        <v>41</v>
      </c>
      <c r="B367" s="205"/>
      <c r="C367" s="205"/>
      <c r="D367" s="205"/>
      <c r="E367" s="205"/>
      <c r="F367" s="205"/>
      <c r="G367" s="205"/>
      <c r="H367" s="205"/>
      <c r="I367" s="205"/>
      <c r="J367" s="124">
        <f>SUM(J365:J366)</f>
        <v>367440.2</v>
      </c>
      <c r="K367" s="1"/>
      <c r="L367" s="1"/>
      <c r="M367" s="1"/>
      <c r="N367" s="1"/>
      <c r="O367" s="1"/>
      <c r="P367" s="1"/>
      <c r="Q367" s="1"/>
      <c r="R367" s="1"/>
      <c r="S367" s="1"/>
      <c r="T367" s="1">
        <f>SUM(T352:T366)</f>
        <v>367440.2</v>
      </c>
      <c r="U367" s="1"/>
      <c r="V367" s="1"/>
      <c r="W367" s="142"/>
    </row>
    <row r="368" spans="1:23" x14ac:dyDescent="0.3">
      <c r="A368" s="1"/>
      <c r="B368" s="1"/>
      <c r="C368" s="1"/>
      <c r="D368" s="1"/>
      <c r="E368" s="1"/>
      <c r="F368" s="1"/>
      <c r="G368" s="1"/>
      <c r="H368" s="1"/>
      <c r="I368" s="1"/>
      <c r="J368" s="1"/>
      <c r="K368" s="1"/>
      <c r="L368" s="1"/>
      <c r="M368" s="1"/>
      <c r="N368" s="1"/>
      <c r="O368" s="1"/>
      <c r="P368" s="1"/>
      <c r="Q368" s="1"/>
      <c r="R368" s="1"/>
      <c r="S368" s="1"/>
      <c r="T368" s="1"/>
      <c r="U368" s="1"/>
      <c r="V368" s="1"/>
      <c r="W368" s="142"/>
    </row>
    <row r="369" spans="1:23" ht="37.799999999999997" x14ac:dyDescent="0.3">
      <c r="A369" s="16">
        <v>35</v>
      </c>
      <c r="B369" s="16" t="s">
        <v>400</v>
      </c>
      <c r="C369" s="19">
        <v>45483</v>
      </c>
      <c r="D369" s="16" t="s">
        <v>43</v>
      </c>
      <c r="E369" s="16"/>
      <c r="F369" s="39" t="s">
        <v>401</v>
      </c>
      <c r="G369" s="16">
        <v>10</v>
      </c>
      <c r="H369" s="16" t="s">
        <v>28</v>
      </c>
      <c r="I369" s="16">
        <v>3200</v>
      </c>
      <c r="J369" s="16">
        <f>G369*I369</f>
        <v>32000</v>
      </c>
      <c r="K369" s="16"/>
      <c r="L369" s="16"/>
      <c r="M369" s="16"/>
      <c r="N369" s="16"/>
      <c r="O369" s="16">
        <v>10</v>
      </c>
      <c r="P369" s="16">
        <v>3200</v>
      </c>
      <c r="Q369" s="16">
        <f>O369*P369</f>
        <v>32000</v>
      </c>
      <c r="R369" s="18">
        <v>0</v>
      </c>
      <c r="S369" s="16">
        <f>Q369*R369</f>
        <v>0</v>
      </c>
      <c r="T369" s="16">
        <f>Q369+S369</f>
        <v>32000</v>
      </c>
      <c r="U369" s="16" t="s">
        <v>402</v>
      </c>
      <c r="V369" s="19">
        <v>45839</v>
      </c>
      <c r="W369" s="142"/>
    </row>
    <row r="370" spans="1:23" x14ac:dyDescent="0.3">
      <c r="A370" s="1"/>
      <c r="B370" s="1"/>
      <c r="C370" s="1"/>
      <c r="D370" s="1"/>
      <c r="E370" s="1"/>
      <c r="F370" s="1"/>
      <c r="G370" s="1"/>
      <c r="H370" s="1"/>
      <c r="I370" s="1"/>
      <c r="J370" s="1"/>
      <c r="K370" s="1"/>
      <c r="L370" s="1"/>
      <c r="M370" s="1"/>
      <c r="N370" s="1"/>
      <c r="O370" s="1"/>
      <c r="P370" s="1"/>
      <c r="Q370" s="1"/>
      <c r="R370" s="1"/>
      <c r="S370" s="1"/>
      <c r="T370" s="1"/>
      <c r="U370" s="1"/>
      <c r="V370" s="1"/>
      <c r="W370" s="142"/>
    </row>
    <row r="371" spans="1:23" x14ac:dyDescent="0.3">
      <c r="A371" s="205" t="s">
        <v>39</v>
      </c>
      <c r="B371" s="205"/>
      <c r="C371" s="205"/>
      <c r="D371" s="205"/>
      <c r="E371" s="205"/>
      <c r="F371" s="205"/>
      <c r="G371" s="205"/>
      <c r="H371" s="205"/>
      <c r="I371" s="205"/>
      <c r="J371" s="124">
        <f>SUM(J369:J370)</f>
        <v>32000</v>
      </c>
      <c r="K371" s="1"/>
      <c r="L371" s="1"/>
      <c r="M371" s="1"/>
      <c r="N371" s="1"/>
      <c r="O371" s="1"/>
      <c r="P371" s="1"/>
      <c r="Q371" s="1"/>
      <c r="R371" s="1"/>
      <c r="S371" s="1"/>
      <c r="T371" s="1"/>
      <c r="U371" s="1"/>
      <c r="V371" s="1"/>
      <c r="W371" s="142"/>
    </row>
    <row r="372" spans="1:23" x14ac:dyDescent="0.3">
      <c r="A372" s="205" t="s">
        <v>82</v>
      </c>
      <c r="B372" s="205"/>
      <c r="C372" s="205"/>
      <c r="D372" s="205"/>
      <c r="E372" s="205"/>
      <c r="F372" s="205"/>
      <c r="G372" s="205"/>
      <c r="H372" s="205"/>
      <c r="I372" s="205"/>
      <c r="J372" s="124">
        <f>J371*0/100</f>
        <v>0</v>
      </c>
      <c r="K372" s="1"/>
      <c r="L372" s="1"/>
      <c r="M372" s="1"/>
      <c r="N372" s="1"/>
      <c r="O372" s="1"/>
      <c r="P372" s="1"/>
      <c r="Q372" s="1"/>
      <c r="R372" s="1"/>
      <c r="S372" s="1"/>
      <c r="T372" s="1"/>
      <c r="U372" s="1"/>
      <c r="V372" s="1"/>
      <c r="W372" s="142"/>
    </row>
    <row r="373" spans="1:23" x14ac:dyDescent="0.3">
      <c r="A373" s="205" t="s">
        <v>41</v>
      </c>
      <c r="B373" s="205"/>
      <c r="C373" s="205"/>
      <c r="D373" s="205"/>
      <c r="E373" s="205"/>
      <c r="F373" s="205"/>
      <c r="G373" s="205"/>
      <c r="H373" s="205"/>
      <c r="I373" s="205"/>
      <c r="J373" s="124">
        <f>SUM(J371:J372)</f>
        <v>32000</v>
      </c>
      <c r="K373" s="1"/>
      <c r="L373" s="1"/>
      <c r="M373" s="1"/>
      <c r="N373" s="1"/>
      <c r="O373" s="1"/>
      <c r="P373" s="1"/>
      <c r="Q373" s="1"/>
      <c r="R373" s="1"/>
      <c r="S373" s="1"/>
      <c r="T373" s="1"/>
      <c r="U373" s="1"/>
      <c r="V373" s="1"/>
      <c r="W373" s="142"/>
    </row>
    <row r="374" spans="1:23" x14ac:dyDescent="0.3">
      <c r="A374" s="62"/>
      <c r="B374" s="8"/>
      <c r="C374" s="8"/>
      <c r="D374" s="8"/>
      <c r="E374" s="8"/>
      <c r="F374" s="8"/>
      <c r="G374" s="8"/>
      <c r="H374" s="8"/>
      <c r="I374" s="8"/>
      <c r="J374" s="8"/>
      <c r="K374" s="8"/>
      <c r="L374" s="8"/>
      <c r="M374" s="8"/>
      <c r="N374" s="8"/>
      <c r="O374" s="8"/>
      <c r="P374" s="8"/>
      <c r="Q374" s="8"/>
      <c r="R374" s="8"/>
      <c r="S374" s="8"/>
      <c r="T374" s="8"/>
      <c r="U374" s="8"/>
      <c r="V374" s="8"/>
      <c r="W374" s="142"/>
    </row>
    <row r="375" spans="1:23" x14ac:dyDescent="0.3">
      <c r="A375" s="65">
        <v>36</v>
      </c>
      <c r="B375" s="65">
        <v>8600050410</v>
      </c>
      <c r="C375" s="67">
        <v>45483</v>
      </c>
      <c r="D375" s="65" t="s">
        <v>43</v>
      </c>
      <c r="E375" s="65"/>
      <c r="F375" s="65" t="s">
        <v>403</v>
      </c>
      <c r="G375" s="65">
        <v>30</v>
      </c>
      <c r="H375" s="65" t="s">
        <v>141</v>
      </c>
      <c r="I375" s="65">
        <v>28</v>
      </c>
      <c r="J375" s="65">
        <f>G375*I375</f>
        <v>840</v>
      </c>
      <c r="K375" s="65"/>
      <c r="L375" s="65"/>
      <c r="M375" s="65"/>
      <c r="N375" s="65"/>
      <c r="O375" s="65">
        <v>30</v>
      </c>
      <c r="P375" s="65">
        <v>28</v>
      </c>
      <c r="Q375" s="65">
        <f>O375*P375</f>
        <v>840</v>
      </c>
      <c r="R375" s="65">
        <v>0</v>
      </c>
      <c r="S375" s="65">
        <f>Q375*R375</f>
        <v>0</v>
      </c>
      <c r="T375" s="65">
        <f>Q375+S375</f>
        <v>840</v>
      </c>
      <c r="U375" s="65" t="s">
        <v>404</v>
      </c>
      <c r="V375" s="65" t="s">
        <v>405</v>
      </c>
      <c r="W375" s="142"/>
    </row>
    <row r="376" spans="1:23" x14ac:dyDescent="0.3">
      <c r="A376" s="59"/>
      <c r="B376" s="59"/>
      <c r="C376" s="59"/>
      <c r="D376" s="65"/>
      <c r="E376" s="65"/>
      <c r="F376" s="65" t="s">
        <v>406</v>
      </c>
      <c r="G376" s="65">
        <v>20</v>
      </c>
      <c r="H376" s="65" t="s">
        <v>28</v>
      </c>
      <c r="I376" s="65">
        <v>90</v>
      </c>
      <c r="J376" s="65">
        <f t="shared" ref="J376:J384" si="81">G376*I376</f>
        <v>1800</v>
      </c>
      <c r="K376" s="65"/>
      <c r="L376" s="65"/>
      <c r="M376" s="65"/>
      <c r="N376" s="65"/>
      <c r="O376" s="65">
        <v>20</v>
      </c>
      <c r="P376" s="65">
        <v>90</v>
      </c>
      <c r="Q376" s="65">
        <f t="shared" ref="Q376:Q384" si="82">O376*P376</f>
        <v>1800</v>
      </c>
      <c r="R376" s="65">
        <v>0</v>
      </c>
      <c r="S376" s="65">
        <f t="shared" ref="S376:S384" si="83">Q376*R376</f>
        <v>0</v>
      </c>
      <c r="T376" s="65">
        <f t="shared" ref="T376:T384" si="84">Q376+S376</f>
        <v>1800</v>
      </c>
      <c r="U376" s="65" t="s">
        <v>404</v>
      </c>
      <c r="V376" s="65" t="s">
        <v>405</v>
      </c>
      <c r="W376" s="142"/>
    </row>
    <row r="377" spans="1:23" ht="25.2" x14ac:dyDescent="0.3">
      <c r="A377" s="59"/>
      <c r="B377" s="59"/>
      <c r="C377" s="59"/>
      <c r="D377" s="65"/>
      <c r="E377" s="65"/>
      <c r="F377" s="66" t="s">
        <v>407</v>
      </c>
      <c r="G377" s="65">
        <v>5</v>
      </c>
      <c r="H377" s="65" t="s">
        <v>28</v>
      </c>
      <c r="I377" s="65">
        <v>6500</v>
      </c>
      <c r="J377" s="65">
        <f t="shared" si="81"/>
        <v>32500</v>
      </c>
      <c r="K377" s="65"/>
      <c r="L377" s="65"/>
      <c r="M377" s="65"/>
      <c r="N377" s="65"/>
      <c r="O377" s="65">
        <v>5</v>
      </c>
      <c r="P377" s="65">
        <v>6500</v>
      </c>
      <c r="Q377" s="65">
        <f t="shared" si="82"/>
        <v>32500</v>
      </c>
      <c r="R377" s="65">
        <v>0</v>
      </c>
      <c r="S377" s="65">
        <f t="shared" si="83"/>
        <v>0</v>
      </c>
      <c r="T377" s="65">
        <f t="shared" si="84"/>
        <v>32500</v>
      </c>
      <c r="U377" s="65" t="s">
        <v>404</v>
      </c>
      <c r="V377" s="65" t="s">
        <v>405</v>
      </c>
      <c r="W377" s="142"/>
    </row>
    <row r="378" spans="1:23" ht="25.2" x14ac:dyDescent="0.3">
      <c r="A378" s="59"/>
      <c r="B378" s="59"/>
      <c r="C378" s="59"/>
      <c r="D378" s="65"/>
      <c r="E378" s="65"/>
      <c r="F378" s="66" t="s">
        <v>408</v>
      </c>
      <c r="G378" s="65">
        <v>5</v>
      </c>
      <c r="H378" s="65" t="s">
        <v>28</v>
      </c>
      <c r="I378" s="65">
        <v>9941</v>
      </c>
      <c r="J378" s="65">
        <f t="shared" si="81"/>
        <v>49705</v>
      </c>
      <c r="K378" s="65"/>
      <c r="L378" s="65"/>
      <c r="M378" s="65"/>
      <c r="N378" s="65"/>
      <c r="O378" s="65">
        <v>5</v>
      </c>
      <c r="P378" s="65">
        <v>9941</v>
      </c>
      <c r="Q378" s="65">
        <f t="shared" si="82"/>
        <v>49705</v>
      </c>
      <c r="R378" s="65">
        <v>0</v>
      </c>
      <c r="S378" s="65">
        <f t="shared" si="83"/>
        <v>0</v>
      </c>
      <c r="T378" s="65">
        <f t="shared" si="84"/>
        <v>49705</v>
      </c>
      <c r="U378" s="65" t="s">
        <v>404</v>
      </c>
      <c r="V378" s="65" t="s">
        <v>405</v>
      </c>
      <c r="W378" s="142"/>
    </row>
    <row r="379" spans="1:23" ht="25.2" x14ac:dyDescent="0.3">
      <c r="A379" s="59"/>
      <c r="B379" s="59"/>
      <c r="C379" s="59"/>
      <c r="D379" s="65"/>
      <c r="E379" s="65"/>
      <c r="F379" s="66" t="s">
        <v>409</v>
      </c>
      <c r="G379" s="65">
        <v>3</v>
      </c>
      <c r="H379" s="65" t="s">
        <v>28</v>
      </c>
      <c r="I379" s="65">
        <v>12731</v>
      </c>
      <c r="J379" s="65">
        <f t="shared" si="81"/>
        <v>38193</v>
      </c>
      <c r="K379" s="65"/>
      <c r="L379" s="65"/>
      <c r="M379" s="65"/>
      <c r="N379" s="65"/>
      <c r="O379" s="65">
        <v>3</v>
      </c>
      <c r="P379" s="65">
        <v>12731</v>
      </c>
      <c r="Q379" s="65">
        <f t="shared" si="82"/>
        <v>38193</v>
      </c>
      <c r="R379" s="65">
        <v>0</v>
      </c>
      <c r="S379" s="65">
        <f t="shared" si="83"/>
        <v>0</v>
      </c>
      <c r="T379" s="65">
        <f t="shared" si="84"/>
        <v>38193</v>
      </c>
      <c r="U379" s="65" t="s">
        <v>404</v>
      </c>
      <c r="V379" s="65" t="s">
        <v>405</v>
      </c>
      <c r="W379" s="142"/>
    </row>
    <row r="380" spans="1:23" ht="25.2" x14ac:dyDescent="0.3">
      <c r="A380" s="59"/>
      <c r="B380" s="59"/>
      <c r="C380" s="59"/>
      <c r="D380" s="65"/>
      <c r="E380" s="65"/>
      <c r="F380" s="66" t="s">
        <v>410</v>
      </c>
      <c r="G380" s="65">
        <v>2</v>
      </c>
      <c r="H380" s="65" t="s">
        <v>28</v>
      </c>
      <c r="I380" s="65">
        <v>12060</v>
      </c>
      <c r="J380" s="65">
        <f t="shared" si="81"/>
        <v>24120</v>
      </c>
      <c r="K380" s="65"/>
      <c r="L380" s="65"/>
      <c r="M380" s="65"/>
      <c r="N380" s="65"/>
      <c r="O380" s="65">
        <v>2</v>
      </c>
      <c r="P380" s="65">
        <v>12060</v>
      </c>
      <c r="Q380" s="65">
        <f t="shared" si="82"/>
        <v>24120</v>
      </c>
      <c r="R380" s="65">
        <v>0</v>
      </c>
      <c r="S380" s="65">
        <f t="shared" si="83"/>
        <v>0</v>
      </c>
      <c r="T380" s="65">
        <f t="shared" si="84"/>
        <v>24120</v>
      </c>
      <c r="U380" s="65" t="s">
        <v>404</v>
      </c>
      <c r="V380" s="65" t="s">
        <v>405</v>
      </c>
      <c r="W380" s="142"/>
    </row>
    <row r="381" spans="1:23" ht="25.2" x14ac:dyDescent="0.3">
      <c r="A381" s="59"/>
      <c r="B381" s="59"/>
      <c r="C381" s="59"/>
      <c r="D381" s="65"/>
      <c r="E381" s="65"/>
      <c r="F381" s="66" t="s">
        <v>411</v>
      </c>
      <c r="G381" s="65">
        <v>2</v>
      </c>
      <c r="H381" s="65" t="s">
        <v>28</v>
      </c>
      <c r="I381" s="65">
        <v>27245</v>
      </c>
      <c r="J381" s="65">
        <f t="shared" si="81"/>
        <v>54490</v>
      </c>
      <c r="K381" s="65"/>
      <c r="L381" s="65"/>
      <c r="M381" s="65"/>
      <c r="N381" s="65"/>
      <c r="O381" s="65">
        <v>2</v>
      </c>
      <c r="P381" s="65">
        <v>27245</v>
      </c>
      <c r="Q381" s="65">
        <f t="shared" si="82"/>
        <v>54490</v>
      </c>
      <c r="R381" s="65">
        <v>0</v>
      </c>
      <c r="S381" s="65">
        <f t="shared" si="83"/>
        <v>0</v>
      </c>
      <c r="T381" s="65">
        <f t="shared" si="84"/>
        <v>54490</v>
      </c>
      <c r="U381" s="65" t="s">
        <v>404</v>
      </c>
      <c r="V381" s="65" t="s">
        <v>405</v>
      </c>
      <c r="W381" s="142"/>
    </row>
    <row r="382" spans="1:23" x14ac:dyDescent="0.3">
      <c r="A382" s="59"/>
      <c r="B382" s="59"/>
      <c r="C382" s="59"/>
      <c r="D382" s="65"/>
      <c r="E382" s="65"/>
      <c r="F382" s="65" t="s">
        <v>412</v>
      </c>
      <c r="G382" s="65">
        <v>50</v>
      </c>
      <c r="H382" s="65" t="s">
        <v>28</v>
      </c>
      <c r="I382" s="65">
        <v>125</v>
      </c>
      <c r="J382" s="65">
        <f t="shared" si="81"/>
        <v>6250</v>
      </c>
      <c r="K382" s="65"/>
      <c r="L382" s="65"/>
      <c r="M382" s="65"/>
      <c r="N382" s="65"/>
      <c r="O382" s="65">
        <v>50</v>
      </c>
      <c r="P382" s="65">
        <v>125</v>
      </c>
      <c r="Q382" s="65">
        <f t="shared" si="82"/>
        <v>6250</v>
      </c>
      <c r="R382" s="65">
        <v>0</v>
      </c>
      <c r="S382" s="65">
        <f t="shared" si="83"/>
        <v>0</v>
      </c>
      <c r="T382" s="65">
        <f t="shared" si="84"/>
        <v>6250</v>
      </c>
      <c r="U382" s="65" t="s">
        <v>404</v>
      </c>
      <c r="V382" s="65" t="s">
        <v>405</v>
      </c>
      <c r="W382" s="142"/>
    </row>
    <row r="383" spans="1:23" ht="25.2" x14ac:dyDescent="0.3">
      <c r="A383" s="59"/>
      <c r="B383" s="59"/>
      <c r="C383" s="59"/>
      <c r="D383" s="65"/>
      <c r="E383" s="65"/>
      <c r="F383" s="66" t="s">
        <v>413</v>
      </c>
      <c r="G383" s="65">
        <v>50</v>
      </c>
      <c r="H383" s="65" t="s">
        <v>28</v>
      </c>
      <c r="I383" s="65">
        <v>105</v>
      </c>
      <c r="J383" s="65">
        <f t="shared" si="81"/>
        <v>5250</v>
      </c>
      <c r="K383" s="65"/>
      <c r="L383" s="65"/>
      <c r="M383" s="65"/>
      <c r="N383" s="65"/>
      <c r="O383" s="65">
        <v>50</v>
      </c>
      <c r="P383" s="65">
        <v>105</v>
      </c>
      <c r="Q383" s="65">
        <f t="shared" si="82"/>
        <v>5250</v>
      </c>
      <c r="R383" s="65">
        <v>0</v>
      </c>
      <c r="S383" s="65">
        <f t="shared" si="83"/>
        <v>0</v>
      </c>
      <c r="T383" s="65">
        <f t="shared" si="84"/>
        <v>5250</v>
      </c>
      <c r="U383" s="65" t="s">
        <v>404</v>
      </c>
      <c r="V383" s="65" t="s">
        <v>405</v>
      </c>
      <c r="W383" s="142"/>
    </row>
    <row r="384" spans="1:23" ht="25.2" x14ac:dyDescent="0.3">
      <c r="A384" s="59"/>
      <c r="B384" s="59"/>
      <c r="C384" s="59"/>
      <c r="D384" s="65"/>
      <c r="E384" s="65"/>
      <c r="F384" s="66" t="s">
        <v>414</v>
      </c>
      <c r="G384" s="65">
        <v>50</v>
      </c>
      <c r="H384" s="65" t="s">
        <v>28</v>
      </c>
      <c r="I384" s="65">
        <v>100</v>
      </c>
      <c r="J384" s="65">
        <f t="shared" si="81"/>
        <v>5000</v>
      </c>
      <c r="K384" s="65"/>
      <c r="L384" s="65"/>
      <c r="M384" s="65"/>
      <c r="N384" s="65"/>
      <c r="O384" s="65">
        <v>50</v>
      </c>
      <c r="P384" s="65">
        <v>100</v>
      </c>
      <c r="Q384" s="65">
        <f t="shared" si="82"/>
        <v>5000</v>
      </c>
      <c r="R384" s="65">
        <v>0</v>
      </c>
      <c r="S384" s="65">
        <f t="shared" si="83"/>
        <v>0</v>
      </c>
      <c r="T384" s="65">
        <f t="shared" si="84"/>
        <v>5000</v>
      </c>
      <c r="U384" s="65" t="s">
        <v>404</v>
      </c>
      <c r="V384" s="65" t="s">
        <v>405</v>
      </c>
      <c r="W384" s="142"/>
    </row>
    <row r="385" spans="1:23" x14ac:dyDescent="0.3">
      <c r="A385" s="59"/>
      <c r="B385" s="59"/>
      <c r="C385" s="59"/>
      <c r="D385" s="59"/>
      <c r="E385" s="59"/>
      <c r="F385" s="59"/>
      <c r="G385" s="59"/>
      <c r="H385" s="59"/>
      <c r="I385" s="59"/>
      <c r="J385" s="59"/>
      <c r="K385" s="59"/>
      <c r="L385" s="59"/>
      <c r="M385" s="59"/>
      <c r="N385" s="59"/>
      <c r="O385" s="59"/>
      <c r="P385" s="59"/>
      <c r="Q385" s="59"/>
      <c r="R385" s="59"/>
      <c r="S385" s="59">
        <f>SUM(S375:S384)</f>
        <v>0</v>
      </c>
      <c r="T385" s="59">
        <f>SUM(T375:T384)</f>
        <v>218148</v>
      </c>
      <c r="U385" s="59"/>
      <c r="V385" s="59"/>
      <c r="W385" s="142"/>
    </row>
    <row r="386" spans="1:23" x14ac:dyDescent="0.3">
      <c r="A386" s="206" t="s">
        <v>39</v>
      </c>
      <c r="B386" s="206"/>
      <c r="C386" s="206"/>
      <c r="D386" s="206"/>
      <c r="E386" s="206"/>
      <c r="F386" s="206"/>
      <c r="G386" s="206"/>
      <c r="H386" s="206"/>
      <c r="I386" s="206"/>
      <c r="J386" s="125">
        <f>SUM(J375:J385)</f>
        <v>218148</v>
      </c>
      <c r="K386" s="59"/>
      <c r="L386" s="59"/>
      <c r="M386" s="59"/>
      <c r="N386" s="59"/>
      <c r="O386" s="59"/>
      <c r="P386" s="59"/>
      <c r="Q386" s="59"/>
      <c r="R386" s="59"/>
      <c r="S386" s="59"/>
      <c r="T386" s="59"/>
      <c r="U386" s="59"/>
      <c r="V386" s="59"/>
      <c r="W386" s="142"/>
    </row>
    <row r="387" spans="1:23" x14ac:dyDescent="0.3">
      <c r="A387" s="206" t="s">
        <v>82</v>
      </c>
      <c r="B387" s="206"/>
      <c r="C387" s="206"/>
      <c r="D387" s="206"/>
      <c r="E387" s="206"/>
      <c r="F387" s="206"/>
      <c r="G387" s="206"/>
      <c r="H387" s="206"/>
      <c r="I387" s="206"/>
      <c r="J387" s="125">
        <v>0</v>
      </c>
      <c r="K387" s="59"/>
      <c r="L387" s="59"/>
      <c r="M387" s="59"/>
      <c r="N387" s="59"/>
      <c r="O387" s="59"/>
      <c r="P387" s="59"/>
      <c r="Q387" s="59"/>
      <c r="R387" s="59"/>
      <c r="S387" s="59"/>
      <c r="T387" s="59"/>
      <c r="U387" s="59"/>
      <c r="V387" s="59"/>
      <c r="W387" s="142"/>
    </row>
    <row r="388" spans="1:23" x14ac:dyDescent="0.3">
      <c r="A388" s="206" t="s">
        <v>41</v>
      </c>
      <c r="B388" s="206"/>
      <c r="C388" s="206"/>
      <c r="D388" s="206"/>
      <c r="E388" s="206"/>
      <c r="F388" s="206"/>
      <c r="G388" s="206"/>
      <c r="H388" s="206"/>
      <c r="I388" s="206"/>
      <c r="J388" s="125">
        <f>SUM(J386:J387)</f>
        <v>218148</v>
      </c>
      <c r="K388" s="59"/>
      <c r="L388" s="59"/>
      <c r="M388" s="59"/>
      <c r="N388" s="59"/>
      <c r="O388" s="59"/>
      <c r="P388" s="59"/>
      <c r="Q388" s="59"/>
      <c r="R388" s="59"/>
      <c r="S388" s="59"/>
      <c r="T388" s="59"/>
      <c r="U388" s="59"/>
      <c r="V388" s="59"/>
      <c r="W388" s="142"/>
    </row>
    <row r="389" spans="1:23"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142"/>
    </row>
    <row r="390" spans="1:23" x14ac:dyDescent="0.3">
      <c r="A390" s="65">
        <v>37</v>
      </c>
      <c r="B390" s="65">
        <v>8500032985</v>
      </c>
      <c r="C390" s="67">
        <v>45514</v>
      </c>
      <c r="D390" s="65" t="s">
        <v>43</v>
      </c>
      <c r="E390" s="65" t="s">
        <v>127</v>
      </c>
      <c r="F390" s="65" t="s">
        <v>415</v>
      </c>
      <c r="G390" s="65">
        <v>1</v>
      </c>
      <c r="H390" s="65" t="s">
        <v>28</v>
      </c>
      <c r="I390" s="65">
        <v>22000</v>
      </c>
      <c r="J390" s="65">
        <f>G390*I390</f>
        <v>22000</v>
      </c>
      <c r="K390" s="65"/>
      <c r="L390" s="65"/>
      <c r="M390" s="65"/>
      <c r="N390" s="65"/>
      <c r="O390" s="65">
        <v>1</v>
      </c>
      <c r="P390" s="65">
        <v>22000</v>
      </c>
      <c r="Q390" s="65">
        <f>O390*P390</f>
        <v>22000</v>
      </c>
      <c r="R390" s="82">
        <v>0</v>
      </c>
      <c r="S390" s="65">
        <f>Q390*R390</f>
        <v>0</v>
      </c>
      <c r="T390" s="65">
        <f>Q390+S390</f>
        <v>22000</v>
      </c>
      <c r="U390" s="65" t="s">
        <v>416</v>
      </c>
      <c r="V390" s="67" t="s">
        <v>417</v>
      </c>
      <c r="W390" s="142" t="s">
        <v>418</v>
      </c>
    </row>
    <row r="391" spans="1:23" x14ac:dyDescent="0.3">
      <c r="A391" s="59"/>
      <c r="B391" s="65"/>
      <c r="C391" s="65"/>
      <c r="D391" s="65"/>
      <c r="E391" s="65" t="s">
        <v>127</v>
      </c>
      <c r="F391" s="65" t="s">
        <v>419</v>
      </c>
      <c r="G391" s="65">
        <v>4</v>
      </c>
      <c r="H391" s="65" t="s">
        <v>28</v>
      </c>
      <c r="I391" s="65">
        <v>800</v>
      </c>
      <c r="J391" s="65">
        <f>G391*I391</f>
        <v>3200</v>
      </c>
      <c r="K391" s="65"/>
      <c r="L391" s="65"/>
      <c r="M391" s="65"/>
      <c r="N391" s="65"/>
      <c r="O391" s="65">
        <v>4</v>
      </c>
      <c r="P391" s="65">
        <v>800</v>
      </c>
      <c r="Q391" s="65">
        <f>O391*P391</f>
        <v>3200</v>
      </c>
      <c r="R391" s="82">
        <v>0</v>
      </c>
      <c r="S391" s="65">
        <f>Q391*R391</f>
        <v>0</v>
      </c>
      <c r="T391" s="65">
        <f>Q391+S391</f>
        <v>3200</v>
      </c>
      <c r="U391" s="65" t="s">
        <v>416</v>
      </c>
      <c r="V391" s="67" t="s">
        <v>417</v>
      </c>
      <c r="W391" s="142" t="s">
        <v>418</v>
      </c>
    </row>
    <row r="392" spans="1:23" x14ac:dyDescent="0.3">
      <c r="A392" s="206" t="s">
        <v>39</v>
      </c>
      <c r="B392" s="206"/>
      <c r="C392" s="206"/>
      <c r="D392" s="206"/>
      <c r="E392" s="206"/>
      <c r="F392" s="206"/>
      <c r="G392" s="206"/>
      <c r="H392" s="206"/>
      <c r="I392" s="206"/>
      <c r="J392" s="125">
        <f>SUM(J390:J391)</f>
        <v>25200</v>
      </c>
      <c r="K392" s="59"/>
      <c r="L392" s="59"/>
      <c r="M392" s="59"/>
      <c r="N392" s="59"/>
      <c r="O392" s="59"/>
      <c r="P392" s="59"/>
      <c r="Q392" s="59"/>
      <c r="R392" s="59"/>
      <c r="S392" s="59"/>
      <c r="T392" s="59"/>
      <c r="U392" s="59"/>
      <c r="V392" s="59"/>
      <c r="W392" s="142"/>
    </row>
    <row r="393" spans="1:23" x14ac:dyDescent="0.3">
      <c r="A393" s="206" t="s">
        <v>82</v>
      </c>
      <c r="B393" s="206"/>
      <c r="C393" s="206"/>
      <c r="D393" s="206"/>
      <c r="E393" s="206"/>
      <c r="F393" s="206"/>
      <c r="G393" s="206"/>
      <c r="H393" s="206"/>
      <c r="I393" s="206"/>
      <c r="J393" s="125">
        <f>J392*0/100</f>
        <v>0</v>
      </c>
      <c r="K393" s="59"/>
      <c r="L393" s="59"/>
      <c r="M393" s="59"/>
      <c r="N393" s="59"/>
      <c r="O393" s="59"/>
      <c r="P393" s="59"/>
      <c r="Q393" s="59"/>
      <c r="R393" s="59"/>
      <c r="S393" s="59"/>
      <c r="T393" s="59"/>
      <c r="U393" s="59"/>
      <c r="V393" s="59"/>
      <c r="W393" s="142"/>
    </row>
    <row r="394" spans="1:23" x14ac:dyDescent="0.3">
      <c r="A394" s="206" t="s">
        <v>41</v>
      </c>
      <c r="B394" s="206"/>
      <c r="C394" s="206"/>
      <c r="D394" s="206"/>
      <c r="E394" s="206"/>
      <c r="F394" s="206"/>
      <c r="G394" s="206"/>
      <c r="H394" s="206"/>
      <c r="I394" s="206"/>
      <c r="J394" s="125">
        <f>SUM(J392:J393)</f>
        <v>25200</v>
      </c>
      <c r="K394" s="59"/>
      <c r="L394" s="59"/>
      <c r="M394" s="59"/>
      <c r="N394" s="59"/>
      <c r="O394" s="59"/>
      <c r="P394" s="59"/>
      <c r="Q394" s="59"/>
      <c r="R394" s="59"/>
      <c r="S394" s="59"/>
      <c r="T394" s="59"/>
      <c r="U394" s="59"/>
      <c r="V394" s="59"/>
      <c r="W394" s="142"/>
    </row>
    <row r="395" spans="1:23"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142"/>
    </row>
    <row r="396" spans="1:23" ht="25.2" x14ac:dyDescent="0.3">
      <c r="A396" s="65">
        <v>38</v>
      </c>
      <c r="B396" s="65">
        <v>9200123698</v>
      </c>
      <c r="C396" s="67">
        <v>45514</v>
      </c>
      <c r="D396" s="65" t="s">
        <v>43</v>
      </c>
      <c r="E396" s="65"/>
      <c r="F396" s="66" t="s">
        <v>420</v>
      </c>
      <c r="G396" s="65">
        <v>180</v>
      </c>
      <c r="H396" s="65" t="s">
        <v>302</v>
      </c>
      <c r="I396" s="65">
        <v>395</v>
      </c>
      <c r="J396" s="65">
        <f>G396*I396</f>
        <v>71100</v>
      </c>
      <c r="K396" s="90" t="s">
        <v>421</v>
      </c>
      <c r="L396" s="91"/>
      <c r="M396" s="65" t="s">
        <v>91</v>
      </c>
      <c r="N396" s="90" t="s">
        <v>422</v>
      </c>
      <c r="O396" s="65">
        <v>180</v>
      </c>
      <c r="P396" s="65">
        <v>395</v>
      </c>
      <c r="Q396" s="65">
        <f>O396*P396</f>
        <v>71100</v>
      </c>
      <c r="R396" s="82">
        <v>0</v>
      </c>
      <c r="S396" s="65">
        <f>Q396*R396</f>
        <v>0</v>
      </c>
      <c r="T396" s="65">
        <f>Q396+S396</f>
        <v>71100</v>
      </c>
      <c r="U396" s="65" t="s">
        <v>423</v>
      </c>
      <c r="V396" s="67">
        <v>45334</v>
      </c>
      <c r="W396" s="142" t="s">
        <v>1073</v>
      </c>
    </row>
    <row r="397" spans="1:23" x14ac:dyDescent="0.3">
      <c r="A397" s="65"/>
      <c r="B397" s="65"/>
      <c r="C397" s="65"/>
      <c r="D397" s="65"/>
      <c r="E397" s="65"/>
      <c r="F397" s="65" t="s">
        <v>424</v>
      </c>
      <c r="G397" s="65">
        <v>1</v>
      </c>
      <c r="H397" s="65" t="s">
        <v>87</v>
      </c>
      <c r="I397" s="65">
        <v>3900</v>
      </c>
      <c r="J397" s="65">
        <f>G397*I397</f>
        <v>3900</v>
      </c>
      <c r="K397" s="65"/>
      <c r="L397" s="65"/>
      <c r="M397" s="65"/>
      <c r="N397" s="65"/>
      <c r="O397" s="65">
        <v>1</v>
      </c>
      <c r="P397" s="65">
        <v>3900</v>
      </c>
      <c r="Q397" s="65">
        <f>O397*P397</f>
        <v>3900</v>
      </c>
      <c r="R397" s="82">
        <v>0</v>
      </c>
      <c r="S397" s="65">
        <f>Q397*R397</f>
        <v>0</v>
      </c>
      <c r="T397" s="65">
        <f>Q397+S397</f>
        <v>3900</v>
      </c>
      <c r="U397" s="65" t="s">
        <v>423</v>
      </c>
      <c r="V397" s="67">
        <v>45334</v>
      </c>
      <c r="W397" s="142" t="s">
        <v>1073</v>
      </c>
    </row>
    <row r="398" spans="1:23" x14ac:dyDescent="0.3">
      <c r="A398" s="206" t="s">
        <v>39</v>
      </c>
      <c r="B398" s="206"/>
      <c r="C398" s="206"/>
      <c r="D398" s="206"/>
      <c r="E398" s="206"/>
      <c r="F398" s="206"/>
      <c r="G398" s="206"/>
      <c r="H398" s="206"/>
      <c r="I398" s="206"/>
      <c r="J398" s="125">
        <f>SUM(J396:J397)</f>
        <v>75000</v>
      </c>
      <c r="K398" s="59"/>
      <c r="L398" s="59"/>
      <c r="M398" s="59"/>
      <c r="N398" s="59"/>
      <c r="O398" s="59"/>
      <c r="P398" s="59"/>
      <c r="Q398" s="59"/>
      <c r="R398" s="59"/>
      <c r="S398" s="59"/>
      <c r="T398" s="59"/>
      <c r="U398" s="59"/>
      <c r="V398" s="59"/>
      <c r="W398" s="142"/>
    </row>
    <row r="399" spans="1:23" x14ac:dyDescent="0.3">
      <c r="A399" s="206" t="s">
        <v>82</v>
      </c>
      <c r="B399" s="206"/>
      <c r="C399" s="206"/>
      <c r="D399" s="206"/>
      <c r="E399" s="206"/>
      <c r="F399" s="206"/>
      <c r="G399" s="206"/>
      <c r="H399" s="206"/>
      <c r="I399" s="206"/>
      <c r="J399" s="125">
        <f>J398*0</f>
        <v>0</v>
      </c>
      <c r="K399" s="59"/>
      <c r="L399" s="59"/>
      <c r="M399" s="59"/>
      <c r="N399" s="59"/>
      <c r="O399" s="59"/>
      <c r="P399" s="59"/>
      <c r="Q399" s="59"/>
      <c r="R399" s="59"/>
      <c r="S399" s="59"/>
      <c r="T399" s="59"/>
      <c r="U399" s="59"/>
      <c r="V399" s="59"/>
      <c r="W399" s="142"/>
    </row>
    <row r="400" spans="1:23" x14ac:dyDescent="0.3">
      <c r="A400" s="206" t="s">
        <v>41</v>
      </c>
      <c r="B400" s="206"/>
      <c r="C400" s="206"/>
      <c r="D400" s="206"/>
      <c r="E400" s="206"/>
      <c r="F400" s="206"/>
      <c r="G400" s="206"/>
      <c r="H400" s="206"/>
      <c r="I400" s="206"/>
      <c r="J400" s="125">
        <f>SUM(J398:J399)</f>
        <v>75000</v>
      </c>
      <c r="K400" s="59"/>
      <c r="L400" s="59"/>
      <c r="M400" s="59"/>
      <c r="N400" s="59"/>
      <c r="O400" s="59"/>
      <c r="P400" s="59"/>
      <c r="Q400" s="59"/>
      <c r="R400" s="59"/>
      <c r="S400" s="59"/>
      <c r="T400" s="59"/>
      <c r="U400" s="59"/>
      <c r="V400" s="59"/>
      <c r="W400" s="142"/>
    </row>
    <row r="401" spans="1:23"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142"/>
    </row>
    <row r="402" spans="1:23" x14ac:dyDescent="0.3">
      <c r="A402" s="65">
        <v>39</v>
      </c>
      <c r="B402" s="65">
        <v>8600050468</v>
      </c>
      <c r="C402" s="67">
        <v>45545</v>
      </c>
      <c r="D402" s="65" t="s">
        <v>43</v>
      </c>
      <c r="E402" s="65"/>
      <c r="F402" s="65" t="s">
        <v>425</v>
      </c>
      <c r="G402" s="65">
        <v>60</v>
      </c>
      <c r="H402" s="65" t="s">
        <v>28</v>
      </c>
      <c r="I402" s="65">
        <v>1191</v>
      </c>
      <c r="J402" s="65">
        <f>G402*I402</f>
        <v>71460</v>
      </c>
      <c r="K402" s="65"/>
      <c r="L402" s="65"/>
      <c r="M402" s="65"/>
      <c r="N402" s="65"/>
      <c r="O402" s="65">
        <v>60</v>
      </c>
      <c r="P402" s="65">
        <v>1191</v>
      </c>
      <c r="Q402" s="65">
        <f>O402*P402</f>
        <v>71460</v>
      </c>
      <c r="R402" s="82">
        <v>0.18</v>
      </c>
      <c r="S402" s="65">
        <f>Q402*R402</f>
        <v>12862.8</v>
      </c>
      <c r="T402" s="65">
        <f>Q402+S402</f>
        <v>84322.8</v>
      </c>
      <c r="U402" s="65" t="s">
        <v>426</v>
      </c>
      <c r="V402" s="65" t="s">
        <v>254</v>
      </c>
      <c r="W402" s="142"/>
    </row>
    <row r="403" spans="1:23" x14ac:dyDescent="0.3">
      <c r="A403" s="59"/>
      <c r="B403" s="59"/>
      <c r="C403" s="59"/>
      <c r="D403" s="59"/>
      <c r="E403" s="59"/>
      <c r="F403" s="66" t="s">
        <v>427</v>
      </c>
      <c r="G403" s="65">
        <v>12</v>
      </c>
      <c r="H403" s="65" t="s">
        <v>28</v>
      </c>
      <c r="I403" s="65">
        <v>4800</v>
      </c>
      <c r="J403" s="65">
        <f t="shared" ref="J403:J414" si="85">G403*I403</f>
        <v>57600</v>
      </c>
      <c r="K403" s="65"/>
      <c r="L403" s="65"/>
      <c r="M403" s="65"/>
      <c r="N403" s="65"/>
      <c r="O403" s="65">
        <v>12</v>
      </c>
      <c r="P403" s="65">
        <v>4800</v>
      </c>
      <c r="Q403" s="65">
        <f t="shared" ref="Q403:Q414" si="86">O403*P403</f>
        <v>57600</v>
      </c>
      <c r="R403" s="82">
        <v>0.18</v>
      </c>
      <c r="S403" s="65">
        <f t="shared" ref="S403:S414" si="87">Q403*R403</f>
        <v>10368</v>
      </c>
      <c r="T403" s="65">
        <f t="shared" ref="T403:T414" si="88">Q403+S403</f>
        <v>67968</v>
      </c>
      <c r="U403" s="65" t="s">
        <v>426</v>
      </c>
      <c r="V403" s="65" t="s">
        <v>254</v>
      </c>
      <c r="W403" s="142"/>
    </row>
    <row r="404" spans="1:23" x14ac:dyDescent="0.3">
      <c r="A404" s="59"/>
      <c r="B404" s="59"/>
      <c r="C404" s="59"/>
      <c r="D404" s="59"/>
      <c r="E404" s="59"/>
      <c r="F404" s="65" t="s">
        <v>428</v>
      </c>
      <c r="G404" s="65">
        <v>10</v>
      </c>
      <c r="H404" s="65" t="s">
        <v>28</v>
      </c>
      <c r="I404" s="65">
        <v>1356</v>
      </c>
      <c r="J404" s="65">
        <f t="shared" si="85"/>
        <v>13560</v>
      </c>
      <c r="K404" s="65"/>
      <c r="L404" s="65"/>
      <c r="M404" s="65"/>
      <c r="N404" s="65"/>
      <c r="O404" s="65">
        <v>10</v>
      </c>
      <c r="P404" s="65">
        <v>1356</v>
      </c>
      <c r="Q404" s="65">
        <f t="shared" si="86"/>
        <v>13560</v>
      </c>
      <c r="R404" s="82">
        <v>0.18</v>
      </c>
      <c r="S404" s="65">
        <f t="shared" si="87"/>
        <v>2440.7999999999997</v>
      </c>
      <c r="T404" s="65">
        <f t="shared" si="88"/>
        <v>16000.8</v>
      </c>
      <c r="U404" s="65" t="s">
        <v>426</v>
      </c>
      <c r="V404" s="65" t="s">
        <v>254</v>
      </c>
      <c r="W404" s="142"/>
    </row>
    <row r="405" spans="1:23" x14ac:dyDescent="0.3">
      <c r="A405" s="59"/>
      <c r="B405" s="59"/>
      <c r="C405" s="59"/>
      <c r="D405" s="59"/>
      <c r="E405" s="59"/>
      <c r="F405" s="65" t="s">
        <v>429</v>
      </c>
      <c r="G405" s="65">
        <v>25</v>
      </c>
      <c r="H405" s="65" t="s">
        <v>28</v>
      </c>
      <c r="I405" s="65">
        <v>4800</v>
      </c>
      <c r="J405" s="65">
        <f t="shared" si="85"/>
        <v>120000</v>
      </c>
      <c r="K405" s="65"/>
      <c r="L405" s="65"/>
      <c r="M405" s="65"/>
      <c r="N405" s="65"/>
      <c r="O405" s="65">
        <v>25</v>
      </c>
      <c r="P405" s="65">
        <v>4800</v>
      </c>
      <c r="Q405" s="65">
        <f t="shared" si="86"/>
        <v>120000</v>
      </c>
      <c r="R405" s="82">
        <v>0.18</v>
      </c>
      <c r="S405" s="65">
        <f t="shared" si="87"/>
        <v>21600</v>
      </c>
      <c r="T405" s="65">
        <f t="shared" si="88"/>
        <v>141600</v>
      </c>
      <c r="U405" s="65" t="s">
        <v>426</v>
      </c>
      <c r="V405" s="65" t="s">
        <v>254</v>
      </c>
      <c r="W405" s="142"/>
    </row>
    <row r="406" spans="1:23" x14ac:dyDescent="0.3">
      <c r="A406" s="59"/>
      <c r="B406" s="59"/>
      <c r="C406" s="59"/>
      <c r="D406" s="59"/>
      <c r="E406" s="59"/>
      <c r="F406" s="66" t="s">
        <v>430</v>
      </c>
      <c r="G406" s="65">
        <v>10</v>
      </c>
      <c r="H406" s="65" t="s">
        <v>28</v>
      </c>
      <c r="I406" s="65">
        <v>2100</v>
      </c>
      <c r="J406" s="65">
        <f t="shared" si="85"/>
        <v>21000</v>
      </c>
      <c r="K406" s="65"/>
      <c r="L406" s="65"/>
      <c r="M406" s="65"/>
      <c r="N406" s="65"/>
      <c r="O406" s="65">
        <v>10</v>
      </c>
      <c r="P406" s="65">
        <v>2100</v>
      </c>
      <c r="Q406" s="65">
        <f t="shared" si="86"/>
        <v>21000</v>
      </c>
      <c r="R406" s="82">
        <v>0.18</v>
      </c>
      <c r="S406" s="65">
        <f t="shared" si="87"/>
        <v>3780</v>
      </c>
      <c r="T406" s="65">
        <f t="shared" si="88"/>
        <v>24780</v>
      </c>
      <c r="U406" s="65" t="s">
        <v>426</v>
      </c>
      <c r="V406" s="65" t="s">
        <v>254</v>
      </c>
      <c r="W406" s="142"/>
    </row>
    <row r="407" spans="1:23" x14ac:dyDescent="0.3">
      <c r="A407" s="59"/>
      <c r="B407" s="59"/>
      <c r="C407" s="59"/>
      <c r="D407" s="59"/>
      <c r="E407" s="59"/>
      <c r="F407" s="65" t="s">
        <v>431</v>
      </c>
      <c r="G407" s="65">
        <v>100</v>
      </c>
      <c r="H407" s="65" t="s">
        <v>28</v>
      </c>
      <c r="I407" s="65">
        <v>85</v>
      </c>
      <c r="J407" s="65">
        <f t="shared" si="85"/>
        <v>8500</v>
      </c>
      <c r="K407" s="65"/>
      <c r="L407" s="65"/>
      <c r="M407" s="65"/>
      <c r="N407" s="65"/>
      <c r="O407" s="65">
        <v>100</v>
      </c>
      <c r="P407" s="65">
        <v>85</v>
      </c>
      <c r="Q407" s="65">
        <f t="shared" si="86"/>
        <v>8500</v>
      </c>
      <c r="R407" s="82">
        <v>0.18</v>
      </c>
      <c r="S407" s="65">
        <f t="shared" si="87"/>
        <v>1530</v>
      </c>
      <c r="T407" s="65">
        <f t="shared" si="88"/>
        <v>10030</v>
      </c>
      <c r="U407" s="65" t="s">
        <v>426</v>
      </c>
      <c r="V407" s="65" t="s">
        <v>254</v>
      </c>
      <c r="W407" s="142"/>
    </row>
    <row r="408" spans="1:23" x14ac:dyDescent="0.3">
      <c r="A408" s="59"/>
      <c r="B408" s="59"/>
      <c r="C408" s="59"/>
      <c r="D408" s="59"/>
      <c r="E408" s="59"/>
      <c r="F408" s="65" t="s">
        <v>432</v>
      </c>
      <c r="G408" s="65">
        <v>100</v>
      </c>
      <c r="H408" s="65" t="s">
        <v>28</v>
      </c>
      <c r="I408" s="65">
        <v>140</v>
      </c>
      <c r="J408" s="65">
        <f t="shared" si="85"/>
        <v>14000</v>
      </c>
      <c r="K408" s="65"/>
      <c r="L408" s="65"/>
      <c r="M408" s="65"/>
      <c r="N408" s="65"/>
      <c r="O408" s="65">
        <v>100</v>
      </c>
      <c r="P408" s="65">
        <v>140</v>
      </c>
      <c r="Q408" s="65">
        <f t="shared" si="86"/>
        <v>14000</v>
      </c>
      <c r="R408" s="82">
        <v>0.18</v>
      </c>
      <c r="S408" s="65">
        <f t="shared" si="87"/>
        <v>2520</v>
      </c>
      <c r="T408" s="65">
        <f t="shared" si="88"/>
        <v>16520</v>
      </c>
      <c r="U408" s="65" t="s">
        <v>426</v>
      </c>
      <c r="V408" s="65" t="s">
        <v>254</v>
      </c>
      <c r="W408" s="142"/>
    </row>
    <row r="409" spans="1:23" ht="25.2" x14ac:dyDescent="0.3">
      <c r="A409" s="59"/>
      <c r="B409" s="59"/>
      <c r="C409" s="59"/>
      <c r="D409" s="59"/>
      <c r="E409" s="59"/>
      <c r="F409" s="66" t="s">
        <v>433</v>
      </c>
      <c r="G409" s="65">
        <v>15</v>
      </c>
      <c r="H409" s="65" t="s">
        <v>28</v>
      </c>
      <c r="I409" s="65">
        <v>2500</v>
      </c>
      <c r="J409" s="65">
        <f t="shared" si="85"/>
        <v>37500</v>
      </c>
      <c r="K409" s="65"/>
      <c r="L409" s="65"/>
      <c r="M409" s="65"/>
      <c r="N409" s="65"/>
      <c r="O409" s="65">
        <v>15</v>
      </c>
      <c r="P409" s="65">
        <v>2500</v>
      </c>
      <c r="Q409" s="65">
        <f t="shared" si="86"/>
        <v>37500</v>
      </c>
      <c r="R409" s="82">
        <v>0.18</v>
      </c>
      <c r="S409" s="65">
        <f t="shared" si="87"/>
        <v>6750</v>
      </c>
      <c r="T409" s="65">
        <f t="shared" si="88"/>
        <v>44250</v>
      </c>
      <c r="U409" s="65" t="s">
        <v>426</v>
      </c>
      <c r="V409" s="65" t="s">
        <v>254</v>
      </c>
      <c r="W409" s="142"/>
    </row>
    <row r="410" spans="1:23" x14ac:dyDescent="0.3">
      <c r="A410" s="59"/>
      <c r="B410" s="59"/>
      <c r="C410" s="59"/>
      <c r="D410" s="59"/>
      <c r="E410" s="59"/>
      <c r="F410" s="65" t="s">
        <v>434</v>
      </c>
      <c r="G410" s="65">
        <v>5</v>
      </c>
      <c r="H410" s="65" t="s">
        <v>28</v>
      </c>
      <c r="I410" s="65">
        <v>3600</v>
      </c>
      <c r="J410" s="65">
        <f t="shared" si="85"/>
        <v>18000</v>
      </c>
      <c r="K410" s="65"/>
      <c r="L410" s="65"/>
      <c r="M410" s="65"/>
      <c r="N410" s="65"/>
      <c r="O410" s="65">
        <v>5</v>
      </c>
      <c r="P410" s="65">
        <v>3600</v>
      </c>
      <c r="Q410" s="65">
        <f t="shared" si="86"/>
        <v>18000</v>
      </c>
      <c r="R410" s="82">
        <v>0.18</v>
      </c>
      <c r="S410" s="65">
        <f t="shared" si="87"/>
        <v>3240</v>
      </c>
      <c r="T410" s="65">
        <f t="shared" si="88"/>
        <v>21240</v>
      </c>
      <c r="U410" s="65" t="s">
        <v>426</v>
      </c>
      <c r="V410" s="65" t="s">
        <v>254</v>
      </c>
      <c r="W410" s="142"/>
    </row>
    <row r="411" spans="1:23" ht="25.2" x14ac:dyDescent="0.3">
      <c r="A411" s="59"/>
      <c r="B411" s="59"/>
      <c r="C411" s="59"/>
      <c r="D411" s="59"/>
      <c r="E411" s="59"/>
      <c r="F411" s="66" t="s">
        <v>435</v>
      </c>
      <c r="G411" s="65">
        <v>5</v>
      </c>
      <c r="H411" s="65" t="s">
        <v>28</v>
      </c>
      <c r="I411" s="65">
        <v>2300</v>
      </c>
      <c r="J411" s="65">
        <f t="shared" si="85"/>
        <v>11500</v>
      </c>
      <c r="K411" s="65"/>
      <c r="L411" s="65"/>
      <c r="M411" s="65"/>
      <c r="N411" s="65"/>
      <c r="O411" s="65">
        <v>5</v>
      </c>
      <c r="P411" s="65">
        <v>2300</v>
      </c>
      <c r="Q411" s="65">
        <f t="shared" si="86"/>
        <v>11500</v>
      </c>
      <c r="R411" s="82">
        <v>0.18</v>
      </c>
      <c r="S411" s="65">
        <f t="shared" si="87"/>
        <v>2070</v>
      </c>
      <c r="T411" s="65">
        <f t="shared" si="88"/>
        <v>13570</v>
      </c>
      <c r="U411" s="65" t="s">
        <v>426</v>
      </c>
      <c r="V411" s="65" t="s">
        <v>254</v>
      </c>
      <c r="W411" s="142"/>
    </row>
    <row r="412" spans="1:23" x14ac:dyDescent="0.3">
      <c r="A412" s="59"/>
      <c r="B412" s="59"/>
      <c r="C412" s="59"/>
      <c r="D412" s="59"/>
      <c r="E412" s="59"/>
      <c r="F412" s="66" t="s">
        <v>436</v>
      </c>
      <c r="G412" s="65">
        <v>50</v>
      </c>
      <c r="H412" s="65" t="s">
        <v>28</v>
      </c>
      <c r="I412" s="65">
        <v>15</v>
      </c>
      <c r="J412" s="65">
        <f t="shared" si="85"/>
        <v>750</v>
      </c>
      <c r="K412" s="65"/>
      <c r="L412" s="65"/>
      <c r="M412" s="65"/>
      <c r="N412" s="65"/>
      <c r="O412" s="65">
        <v>50</v>
      </c>
      <c r="P412" s="65">
        <v>15</v>
      </c>
      <c r="Q412" s="65">
        <f t="shared" si="86"/>
        <v>750</v>
      </c>
      <c r="R412" s="82">
        <v>0.18</v>
      </c>
      <c r="S412" s="65">
        <f t="shared" si="87"/>
        <v>135</v>
      </c>
      <c r="T412" s="65">
        <f t="shared" si="88"/>
        <v>885</v>
      </c>
      <c r="U412" s="65" t="s">
        <v>426</v>
      </c>
      <c r="V412" s="65" t="s">
        <v>254</v>
      </c>
      <c r="W412" s="142"/>
    </row>
    <row r="413" spans="1:23" x14ac:dyDescent="0.3">
      <c r="A413" s="59"/>
      <c r="B413" s="59"/>
      <c r="C413" s="59"/>
      <c r="D413" s="59"/>
      <c r="E413" s="59"/>
      <c r="F413" s="66" t="s">
        <v>437</v>
      </c>
      <c r="G413" s="65">
        <v>20</v>
      </c>
      <c r="H413" s="65" t="s">
        <v>28</v>
      </c>
      <c r="I413" s="65">
        <v>80</v>
      </c>
      <c r="J413" s="65">
        <f t="shared" si="85"/>
        <v>1600</v>
      </c>
      <c r="K413" s="65"/>
      <c r="L413" s="65"/>
      <c r="M413" s="65"/>
      <c r="N413" s="65"/>
      <c r="O413" s="65">
        <v>20</v>
      </c>
      <c r="P413" s="65">
        <v>80</v>
      </c>
      <c r="Q413" s="65">
        <f t="shared" si="86"/>
        <v>1600</v>
      </c>
      <c r="R413" s="82">
        <v>0.18</v>
      </c>
      <c r="S413" s="65">
        <f t="shared" si="87"/>
        <v>288</v>
      </c>
      <c r="T413" s="65">
        <f t="shared" si="88"/>
        <v>1888</v>
      </c>
      <c r="U413" s="65" t="s">
        <v>426</v>
      </c>
      <c r="V413" s="65" t="s">
        <v>254</v>
      </c>
      <c r="W413" s="142"/>
    </row>
    <row r="414" spans="1:23" x14ac:dyDescent="0.3">
      <c r="A414" s="59"/>
      <c r="B414" s="59"/>
      <c r="C414" s="59"/>
      <c r="D414" s="59"/>
      <c r="E414" s="59"/>
      <c r="F414" s="65" t="s">
        <v>438</v>
      </c>
      <c r="G414" s="65">
        <v>10</v>
      </c>
      <c r="H414" s="65" t="s">
        <v>28</v>
      </c>
      <c r="I414" s="65">
        <v>1250</v>
      </c>
      <c r="J414" s="65">
        <f t="shared" si="85"/>
        <v>12500</v>
      </c>
      <c r="K414" s="65"/>
      <c r="L414" s="65"/>
      <c r="M414" s="65"/>
      <c r="N414" s="65"/>
      <c r="O414" s="65">
        <v>10</v>
      </c>
      <c r="P414" s="65">
        <v>1250</v>
      </c>
      <c r="Q414" s="65">
        <f t="shared" si="86"/>
        <v>12500</v>
      </c>
      <c r="R414" s="82">
        <v>0.18</v>
      </c>
      <c r="S414" s="65">
        <f t="shared" si="87"/>
        <v>2250</v>
      </c>
      <c r="T414" s="65">
        <f t="shared" si="88"/>
        <v>14750</v>
      </c>
      <c r="U414" s="65" t="s">
        <v>426</v>
      </c>
      <c r="V414" s="65" t="s">
        <v>254</v>
      </c>
      <c r="W414" s="142"/>
    </row>
    <row r="415" spans="1:23" x14ac:dyDescent="0.3">
      <c r="A415" s="206" t="s">
        <v>39</v>
      </c>
      <c r="B415" s="206"/>
      <c r="C415" s="206"/>
      <c r="D415" s="206"/>
      <c r="E415" s="206"/>
      <c r="F415" s="206"/>
      <c r="G415" s="206"/>
      <c r="H415" s="206"/>
      <c r="I415" s="206"/>
      <c r="J415" s="125">
        <f>SUM(J402:J414)</f>
        <v>387970</v>
      </c>
      <c r="K415" s="59"/>
      <c r="L415" s="59"/>
      <c r="M415" s="59"/>
      <c r="N415" s="59"/>
      <c r="O415" s="59"/>
      <c r="P415" s="59"/>
      <c r="Q415" s="59"/>
      <c r="R415" s="59"/>
      <c r="S415" s="59"/>
      <c r="T415" s="59"/>
      <c r="U415" s="59"/>
      <c r="V415" s="59"/>
      <c r="W415" s="142"/>
    </row>
    <row r="416" spans="1:23" x14ac:dyDescent="0.3">
      <c r="A416" s="206" t="s">
        <v>82</v>
      </c>
      <c r="B416" s="206"/>
      <c r="C416" s="206"/>
      <c r="D416" s="206"/>
      <c r="E416" s="206"/>
      <c r="F416" s="206"/>
      <c r="G416" s="206"/>
      <c r="H416" s="206"/>
      <c r="I416" s="206"/>
      <c r="J416" s="125">
        <f>J415*18/100</f>
        <v>69834.600000000006</v>
      </c>
      <c r="K416" s="59"/>
      <c r="L416" s="59"/>
      <c r="M416" s="59"/>
      <c r="N416" s="59"/>
      <c r="O416" s="59"/>
      <c r="P416" s="59"/>
      <c r="Q416" s="59"/>
      <c r="R416" s="59"/>
      <c r="S416" s="59"/>
      <c r="T416" s="59"/>
      <c r="U416" s="59"/>
      <c r="V416" s="59"/>
      <c r="W416" s="142"/>
    </row>
    <row r="417" spans="1:23" x14ac:dyDescent="0.3">
      <c r="A417" s="206" t="s">
        <v>41</v>
      </c>
      <c r="B417" s="206"/>
      <c r="C417" s="206"/>
      <c r="D417" s="206"/>
      <c r="E417" s="206"/>
      <c r="F417" s="206"/>
      <c r="G417" s="206"/>
      <c r="H417" s="206"/>
      <c r="I417" s="206"/>
      <c r="J417" s="125">
        <f>SUM(J415:J416)</f>
        <v>457804.6</v>
      </c>
      <c r="K417" s="59"/>
      <c r="L417" s="59"/>
      <c r="M417" s="59"/>
      <c r="N417" s="59"/>
      <c r="O417" s="59"/>
      <c r="P417" s="59"/>
      <c r="Q417" s="59"/>
      <c r="R417" s="59"/>
      <c r="S417" s="59"/>
      <c r="T417" s="59">
        <f>SUM(T402:T416)</f>
        <v>457804.6</v>
      </c>
      <c r="U417" s="59"/>
      <c r="V417" s="59"/>
      <c r="W417" s="142"/>
    </row>
    <row r="418" spans="1:23"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142"/>
    </row>
    <row r="419" spans="1:23" ht="25.2" x14ac:dyDescent="0.3">
      <c r="A419" s="65">
        <v>40</v>
      </c>
      <c r="B419" s="65">
        <v>8100014982</v>
      </c>
      <c r="C419" s="65" t="s">
        <v>439</v>
      </c>
      <c r="D419" s="65" t="s">
        <v>43</v>
      </c>
      <c r="E419" s="65"/>
      <c r="F419" s="66" t="s">
        <v>440</v>
      </c>
      <c r="G419" s="65">
        <v>15</v>
      </c>
      <c r="H419" s="65" t="s">
        <v>60</v>
      </c>
      <c r="I419" s="65">
        <v>55</v>
      </c>
      <c r="J419" s="65">
        <f>G419*I419</f>
        <v>825</v>
      </c>
      <c r="K419" s="65"/>
      <c r="L419" s="65"/>
      <c r="M419" s="65"/>
      <c r="N419" s="65"/>
      <c r="O419" s="65">
        <v>15</v>
      </c>
      <c r="P419" s="65">
        <v>55</v>
      </c>
      <c r="Q419" s="65">
        <f>O419*P419</f>
        <v>825</v>
      </c>
      <c r="R419" s="65"/>
      <c r="S419" s="65"/>
      <c r="T419" s="65"/>
      <c r="U419" s="65" t="s">
        <v>441</v>
      </c>
      <c r="V419" s="65" t="s">
        <v>386</v>
      </c>
      <c r="W419" s="142"/>
    </row>
    <row r="420" spans="1:23" ht="25.2" x14ac:dyDescent="0.3">
      <c r="A420" s="65"/>
      <c r="B420" s="65"/>
      <c r="C420" s="65"/>
      <c r="D420" s="65"/>
      <c r="E420" s="65"/>
      <c r="F420" s="66" t="s">
        <v>442</v>
      </c>
      <c r="G420" s="65">
        <v>30</v>
      </c>
      <c r="H420" s="65" t="s">
        <v>28</v>
      </c>
      <c r="I420" s="65">
        <v>15</v>
      </c>
      <c r="J420" s="65">
        <f t="shared" ref="J420:J432" si="89">G420*I420</f>
        <v>450</v>
      </c>
      <c r="K420" s="65"/>
      <c r="L420" s="65"/>
      <c r="M420" s="65"/>
      <c r="N420" s="65"/>
      <c r="O420" s="65">
        <v>30</v>
      </c>
      <c r="P420" s="65">
        <v>15</v>
      </c>
      <c r="Q420" s="65">
        <f t="shared" ref="Q420:Q431" si="90">O420*P420</f>
        <v>450</v>
      </c>
      <c r="R420" s="65"/>
      <c r="S420" s="65"/>
      <c r="T420" s="65"/>
      <c r="U420" s="65" t="s">
        <v>441</v>
      </c>
      <c r="V420" s="65" t="s">
        <v>386</v>
      </c>
      <c r="W420" s="142"/>
    </row>
    <row r="421" spans="1:23" ht="25.2" x14ac:dyDescent="0.3">
      <c r="A421" s="65"/>
      <c r="B421" s="65"/>
      <c r="C421" s="65"/>
      <c r="D421" s="65"/>
      <c r="E421" s="65"/>
      <c r="F421" s="66" t="s">
        <v>443</v>
      </c>
      <c r="G421" s="65">
        <v>85</v>
      </c>
      <c r="H421" s="65" t="s">
        <v>28</v>
      </c>
      <c r="I421" s="65">
        <v>15</v>
      </c>
      <c r="J421" s="65">
        <f t="shared" si="89"/>
        <v>1275</v>
      </c>
      <c r="K421" s="65"/>
      <c r="L421" s="65"/>
      <c r="M421" s="65"/>
      <c r="N421" s="65"/>
      <c r="O421" s="65">
        <v>85</v>
      </c>
      <c r="P421" s="65">
        <v>15</v>
      </c>
      <c r="Q421" s="65">
        <f t="shared" si="90"/>
        <v>1275</v>
      </c>
      <c r="R421" s="65"/>
      <c r="S421" s="65"/>
      <c r="T421" s="65"/>
      <c r="U421" s="65" t="s">
        <v>441</v>
      </c>
      <c r="V421" s="65" t="s">
        <v>386</v>
      </c>
      <c r="W421" s="142"/>
    </row>
    <row r="422" spans="1:23" ht="25.2" x14ac:dyDescent="0.3">
      <c r="A422" s="65"/>
      <c r="B422" s="65"/>
      <c r="C422" s="65"/>
      <c r="D422" s="65"/>
      <c r="E422" s="65"/>
      <c r="F422" s="66" t="s">
        <v>444</v>
      </c>
      <c r="G422" s="65">
        <v>15</v>
      </c>
      <c r="H422" s="65" t="s">
        <v>28</v>
      </c>
      <c r="I422" s="65">
        <v>175</v>
      </c>
      <c r="J422" s="65">
        <f t="shared" si="89"/>
        <v>2625</v>
      </c>
      <c r="K422" s="65"/>
      <c r="L422" s="65"/>
      <c r="M422" s="65"/>
      <c r="N422" s="65"/>
      <c r="O422" s="65">
        <v>15</v>
      </c>
      <c r="P422" s="65">
        <v>175</v>
      </c>
      <c r="Q422" s="65">
        <f t="shared" si="90"/>
        <v>2625</v>
      </c>
      <c r="R422" s="65"/>
      <c r="S422" s="65"/>
      <c r="T422" s="65"/>
      <c r="U422" s="65" t="s">
        <v>441</v>
      </c>
      <c r="V422" s="65" t="s">
        <v>386</v>
      </c>
      <c r="W422" s="142"/>
    </row>
    <row r="423" spans="1:23" ht="25.2" x14ac:dyDescent="0.3">
      <c r="A423" s="65"/>
      <c r="B423" s="65"/>
      <c r="C423" s="65"/>
      <c r="D423" s="65"/>
      <c r="E423" s="65"/>
      <c r="F423" s="66" t="s">
        <v>445</v>
      </c>
      <c r="G423" s="65">
        <v>20</v>
      </c>
      <c r="H423" s="65" t="s">
        <v>28</v>
      </c>
      <c r="I423" s="65">
        <v>1300</v>
      </c>
      <c r="J423" s="65">
        <f t="shared" si="89"/>
        <v>26000</v>
      </c>
      <c r="K423" s="65"/>
      <c r="L423" s="65"/>
      <c r="M423" s="65"/>
      <c r="N423" s="65"/>
      <c r="O423" s="65">
        <v>20</v>
      </c>
      <c r="P423" s="65">
        <v>1300</v>
      </c>
      <c r="Q423" s="65">
        <f t="shared" si="90"/>
        <v>26000</v>
      </c>
      <c r="R423" s="65"/>
      <c r="S423" s="65"/>
      <c r="T423" s="65"/>
      <c r="U423" s="65" t="s">
        <v>441</v>
      </c>
      <c r="V423" s="65" t="s">
        <v>386</v>
      </c>
      <c r="W423" s="142"/>
    </row>
    <row r="424" spans="1:23" ht="25.2" x14ac:dyDescent="0.3">
      <c r="A424" s="65"/>
      <c r="B424" s="65"/>
      <c r="C424" s="65"/>
      <c r="D424" s="65"/>
      <c r="E424" s="65"/>
      <c r="F424" s="66" t="s">
        <v>446</v>
      </c>
      <c r="G424" s="65">
        <v>140</v>
      </c>
      <c r="H424" s="65" t="s">
        <v>28</v>
      </c>
      <c r="I424" s="65">
        <v>280</v>
      </c>
      <c r="J424" s="65">
        <f t="shared" si="89"/>
        <v>39200</v>
      </c>
      <c r="K424" s="65"/>
      <c r="L424" s="65"/>
      <c r="M424" s="65"/>
      <c r="N424" s="65"/>
      <c r="O424" s="65">
        <v>140</v>
      </c>
      <c r="P424" s="65">
        <v>280</v>
      </c>
      <c r="Q424" s="65">
        <f t="shared" si="90"/>
        <v>39200</v>
      </c>
      <c r="R424" s="65"/>
      <c r="S424" s="65"/>
      <c r="T424" s="65"/>
      <c r="U424" s="65" t="s">
        <v>441</v>
      </c>
      <c r="V424" s="65" t="s">
        <v>386</v>
      </c>
      <c r="W424" s="142"/>
    </row>
    <row r="425" spans="1:23" ht="25.2" x14ac:dyDescent="0.3">
      <c r="A425" s="65"/>
      <c r="B425" s="65"/>
      <c r="C425" s="65"/>
      <c r="D425" s="65"/>
      <c r="E425" s="65"/>
      <c r="F425" s="66" t="s">
        <v>447</v>
      </c>
      <c r="G425" s="65">
        <v>70</v>
      </c>
      <c r="H425" s="65" t="s">
        <v>28</v>
      </c>
      <c r="I425" s="65">
        <v>18</v>
      </c>
      <c r="J425" s="65">
        <f t="shared" si="89"/>
        <v>1260</v>
      </c>
      <c r="K425" s="65"/>
      <c r="L425" s="65"/>
      <c r="M425" s="65"/>
      <c r="N425" s="65"/>
      <c r="O425" s="65">
        <v>70</v>
      </c>
      <c r="P425" s="65">
        <v>18</v>
      </c>
      <c r="Q425" s="65">
        <f t="shared" si="90"/>
        <v>1260</v>
      </c>
      <c r="R425" s="65"/>
      <c r="S425" s="65"/>
      <c r="T425" s="65"/>
      <c r="U425" s="65" t="s">
        <v>441</v>
      </c>
      <c r="V425" s="65" t="s">
        <v>386</v>
      </c>
      <c r="W425" s="142"/>
    </row>
    <row r="426" spans="1:23" ht="25.2" x14ac:dyDescent="0.3">
      <c r="A426" s="65"/>
      <c r="B426" s="65"/>
      <c r="C426" s="65"/>
      <c r="D426" s="65"/>
      <c r="E426" s="65"/>
      <c r="F426" s="66" t="s">
        <v>448</v>
      </c>
      <c r="G426" s="65">
        <v>70</v>
      </c>
      <c r="H426" s="65" t="s">
        <v>28</v>
      </c>
      <c r="I426" s="65">
        <v>18</v>
      </c>
      <c r="J426" s="65">
        <f t="shared" si="89"/>
        <v>1260</v>
      </c>
      <c r="K426" s="65"/>
      <c r="L426" s="65"/>
      <c r="M426" s="65"/>
      <c r="N426" s="65"/>
      <c r="O426" s="65">
        <v>70</v>
      </c>
      <c r="P426" s="65">
        <v>18</v>
      </c>
      <c r="Q426" s="65">
        <f t="shared" si="90"/>
        <v>1260</v>
      </c>
      <c r="R426" s="65"/>
      <c r="S426" s="65"/>
      <c r="T426" s="65"/>
      <c r="U426" s="65" t="s">
        <v>441</v>
      </c>
      <c r="V426" s="65" t="s">
        <v>386</v>
      </c>
      <c r="W426" s="142"/>
    </row>
    <row r="427" spans="1:23" x14ac:dyDescent="0.3">
      <c r="A427" s="65"/>
      <c r="B427" s="65"/>
      <c r="C427" s="65"/>
      <c r="D427" s="65"/>
      <c r="E427" s="65"/>
      <c r="F427" s="65" t="s">
        <v>449</v>
      </c>
      <c r="G427" s="65">
        <v>2</v>
      </c>
      <c r="H427" s="65" t="s">
        <v>53</v>
      </c>
      <c r="I427" s="65">
        <v>490</v>
      </c>
      <c r="J427" s="65">
        <f t="shared" si="89"/>
        <v>980</v>
      </c>
      <c r="K427" s="65"/>
      <c r="L427" s="65"/>
      <c r="M427" s="65"/>
      <c r="N427" s="65"/>
      <c r="O427" s="65">
        <v>2</v>
      </c>
      <c r="P427" s="65">
        <v>490</v>
      </c>
      <c r="Q427" s="65">
        <f t="shared" si="90"/>
        <v>980</v>
      </c>
      <c r="R427" s="65"/>
      <c r="S427" s="65"/>
      <c r="T427" s="65"/>
      <c r="U427" s="65" t="s">
        <v>441</v>
      </c>
      <c r="V427" s="65" t="s">
        <v>386</v>
      </c>
      <c r="W427" s="142"/>
    </row>
    <row r="428" spans="1:23" ht="25.2" x14ac:dyDescent="0.3">
      <c r="A428" s="65"/>
      <c r="B428" s="65"/>
      <c r="C428" s="65"/>
      <c r="D428" s="65"/>
      <c r="E428" s="65"/>
      <c r="F428" s="66" t="s">
        <v>450</v>
      </c>
      <c r="G428" s="65">
        <v>12</v>
      </c>
      <c r="H428" s="65" t="s">
        <v>60</v>
      </c>
      <c r="I428" s="65">
        <v>82</v>
      </c>
      <c r="J428" s="65">
        <f t="shared" si="89"/>
        <v>984</v>
      </c>
      <c r="K428" s="65"/>
      <c r="L428" s="65"/>
      <c r="M428" s="65"/>
      <c r="N428" s="65"/>
      <c r="O428" s="65">
        <v>12</v>
      </c>
      <c r="P428" s="65">
        <v>82</v>
      </c>
      <c r="Q428" s="65">
        <f t="shared" si="90"/>
        <v>984</v>
      </c>
      <c r="R428" s="65"/>
      <c r="S428" s="65"/>
      <c r="T428" s="65"/>
      <c r="U428" s="65" t="s">
        <v>441</v>
      </c>
      <c r="V428" s="65" t="s">
        <v>386</v>
      </c>
      <c r="W428" s="142"/>
    </row>
    <row r="429" spans="1:23" ht="25.2" x14ac:dyDescent="0.3">
      <c r="A429" s="65"/>
      <c r="B429" s="65"/>
      <c r="C429" s="65"/>
      <c r="D429" s="65"/>
      <c r="E429" s="65"/>
      <c r="F429" s="66" t="s">
        <v>451</v>
      </c>
      <c r="G429" s="65">
        <v>90</v>
      </c>
      <c r="H429" s="65" t="s">
        <v>60</v>
      </c>
      <c r="I429" s="65">
        <v>102</v>
      </c>
      <c r="J429" s="65">
        <f t="shared" si="89"/>
        <v>9180</v>
      </c>
      <c r="K429" s="65"/>
      <c r="L429" s="65"/>
      <c r="M429" s="65"/>
      <c r="N429" s="65"/>
      <c r="O429" s="65">
        <v>90</v>
      </c>
      <c r="P429" s="65">
        <v>102</v>
      </c>
      <c r="Q429" s="65">
        <f t="shared" si="90"/>
        <v>9180</v>
      </c>
      <c r="R429" s="65"/>
      <c r="S429" s="65"/>
      <c r="T429" s="65"/>
      <c r="U429" s="65" t="s">
        <v>441</v>
      </c>
      <c r="V429" s="65" t="s">
        <v>386</v>
      </c>
      <c r="W429" s="142"/>
    </row>
    <row r="430" spans="1:23" ht="50.4" x14ac:dyDescent="0.3">
      <c r="A430" s="65"/>
      <c r="B430" s="65"/>
      <c r="C430" s="65"/>
      <c r="D430" s="65"/>
      <c r="E430" s="65"/>
      <c r="F430" s="66" t="s">
        <v>452</v>
      </c>
      <c r="G430" s="65">
        <v>1</v>
      </c>
      <c r="H430" s="65" t="s">
        <v>87</v>
      </c>
      <c r="I430" s="65">
        <v>7000</v>
      </c>
      <c r="J430" s="65">
        <f t="shared" si="89"/>
        <v>7000</v>
      </c>
      <c r="K430" s="65"/>
      <c r="L430" s="65"/>
      <c r="M430" s="65"/>
      <c r="N430" s="65"/>
      <c r="O430" s="65">
        <v>1</v>
      </c>
      <c r="P430" s="65">
        <v>7000</v>
      </c>
      <c r="Q430" s="65">
        <f t="shared" si="90"/>
        <v>7000</v>
      </c>
      <c r="R430" s="65"/>
      <c r="S430" s="65"/>
      <c r="T430" s="65"/>
      <c r="U430" s="65" t="s">
        <v>453</v>
      </c>
      <c r="V430" s="67">
        <v>45334</v>
      </c>
      <c r="W430" s="142" t="s">
        <v>200</v>
      </c>
    </row>
    <row r="431" spans="1:23" ht="25.2" x14ac:dyDescent="0.3">
      <c r="A431" s="65"/>
      <c r="B431" s="65"/>
      <c r="C431" s="65"/>
      <c r="D431" s="65"/>
      <c r="E431" s="65"/>
      <c r="F431" s="66" t="s">
        <v>454</v>
      </c>
      <c r="G431" s="65">
        <v>1</v>
      </c>
      <c r="H431" s="65" t="s">
        <v>87</v>
      </c>
      <c r="I431" s="65">
        <v>2800</v>
      </c>
      <c r="J431" s="65">
        <f t="shared" si="89"/>
        <v>2800</v>
      </c>
      <c r="K431" s="65"/>
      <c r="L431" s="65"/>
      <c r="M431" s="65"/>
      <c r="N431" s="65"/>
      <c r="O431" s="65">
        <v>1</v>
      </c>
      <c r="P431" s="65">
        <v>2800</v>
      </c>
      <c r="Q431" s="65">
        <f t="shared" si="90"/>
        <v>2800</v>
      </c>
      <c r="R431" s="65"/>
      <c r="S431" s="65"/>
      <c r="T431" s="65"/>
      <c r="U431" s="65" t="s">
        <v>453</v>
      </c>
      <c r="V431" s="67">
        <v>45334</v>
      </c>
      <c r="W431" s="142" t="s">
        <v>200</v>
      </c>
    </row>
    <row r="432" spans="1:23" ht="25.2" x14ac:dyDescent="0.3">
      <c r="A432" s="59"/>
      <c r="B432" s="59"/>
      <c r="C432" s="59"/>
      <c r="D432" s="59"/>
      <c r="E432" s="59"/>
      <c r="F432" s="66" t="s">
        <v>455</v>
      </c>
      <c r="G432" s="65">
        <v>30</v>
      </c>
      <c r="H432" s="65" t="s">
        <v>28</v>
      </c>
      <c r="I432" s="65">
        <v>22</v>
      </c>
      <c r="J432" s="65">
        <f t="shared" si="89"/>
        <v>660</v>
      </c>
      <c r="K432" s="65"/>
      <c r="L432" s="65"/>
      <c r="M432" s="65"/>
      <c r="N432" s="65"/>
      <c r="O432" s="65">
        <v>30</v>
      </c>
      <c r="P432" s="65">
        <v>22</v>
      </c>
      <c r="Q432" s="65">
        <f>O432*P432</f>
        <v>660</v>
      </c>
      <c r="R432" s="65"/>
      <c r="S432" s="65"/>
      <c r="T432" s="65"/>
      <c r="U432" s="65" t="s">
        <v>441</v>
      </c>
      <c r="V432" s="65" t="s">
        <v>386</v>
      </c>
      <c r="W432" s="142"/>
    </row>
    <row r="433" spans="1:23" x14ac:dyDescent="0.3">
      <c r="A433" s="206" t="s">
        <v>39</v>
      </c>
      <c r="B433" s="206"/>
      <c r="C433" s="206"/>
      <c r="D433" s="206"/>
      <c r="E433" s="206"/>
      <c r="F433" s="206"/>
      <c r="G433" s="206"/>
      <c r="H433" s="206"/>
      <c r="I433" s="206"/>
      <c r="J433" s="59">
        <f>SUM(J419:J432)</f>
        <v>94499</v>
      </c>
      <c r="K433" s="59"/>
      <c r="L433" s="59"/>
      <c r="M433" s="59"/>
      <c r="N433" s="59"/>
      <c r="O433" s="59"/>
      <c r="P433" s="59"/>
      <c r="Q433" s="59"/>
      <c r="R433" s="59"/>
      <c r="S433" s="59"/>
      <c r="T433" s="59"/>
      <c r="U433" s="59"/>
      <c r="V433" s="59"/>
      <c r="W433" s="142"/>
    </row>
    <row r="434" spans="1:23" x14ac:dyDescent="0.3">
      <c r="A434" s="206" t="s">
        <v>82</v>
      </c>
      <c r="B434" s="206"/>
      <c r="C434" s="206"/>
      <c r="D434" s="206"/>
      <c r="E434" s="206"/>
      <c r="F434" s="206"/>
      <c r="G434" s="206"/>
      <c r="H434" s="206"/>
      <c r="I434" s="206"/>
      <c r="J434" s="59">
        <v>0</v>
      </c>
      <c r="K434" s="59"/>
      <c r="L434" s="59"/>
      <c r="M434" s="59"/>
      <c r="N434" s="59"/>
      <c r="O434" s="59"/>
      <c r="P434" s="59"/>
      <c r="Q434" s="59"/>
      <c r="R434" s="59"/>
      <c r="S434" s="59"/>
      <c r="T434" s="59"/>
      <c r="U434" s="59"/>
      <c r="V434" s="59"/>
      <c r="W434" s="142"/>
    </row>
    <row r="435" spans="1:23" x14ac:dyDescent="0.3">
      <c r="A435" s="206" t="s">
        <v>41</v>
      </c>
      <c r="B435" s="206"/>
      <c r="C435" s="206"/>
      <c r="D435" s="206"/>
      <c r="E435" s="206"/>
      <c r="F435" s="206"/>
      <c r="G435" s="206"/>
      <c r="H435" s="206"/>
      <c r="I435" s="206"/>
      <c r="J435" s="59">
        <f>SUM(J433:J434)</f>
        <v>94499</v>
      </c>
      <c r="K435" s="59"/>
      <c r="L435" s="59"/>
      <c r="M435" s="59"/>
      <c r="N435" s="59"/>
      <c r="O435" s="59"/>
      <c r="P435" s="59"/>
      <c r="Q435" s="59"/>
      <c r="R435" s="59"/>
      <c r="S435" s="59"/>
      <c r="T435" s="59"/>
      <c r="U435" s="59"/>
      <c r="V435" s="59"/>
      <c r="W435" s="142"/>
    </row>
    <row r="436" spans="1:23" x14ac:dyDescent="0.3">
      <c r="A436" s="125"/>
      <c r="B436" s="125"/>
      <c r="C436" s="125"/>
      <c r="D436" s="125"/>
      <c r="E436" s="125"/>
      <c r="F436" s="125"/>
      <c r="G436" s="125"/>
      <c r="H436" s="125"/>
      <c r="I436" s="125"/>
      <c r="J436" s="59"/>
      <c r="K436" s="59"/>
      <c r="L436" s="59"/>
      <c r="M436" s="59"/>
      <c r="N436" s="59"/>
      <c r="O436" s="59"/>
      <c r="P436" s="59"/>
      <c r="Q436" s="59"/>
      <c r="R436" s="59"/>
      <c r="S436" s="59"/>
      <c r="T436" s="59"/>
      <c r="U436" s="59"/>
      <c r="V436" s="59"/>
      <c r="W436" s="142"/>
    </row>
    <row r="437" spans="1:23" ht="25.2" x14ac:dyDescent="0.3">
      <c r="A437" s="16">
        <v>41</v>
      </c>
      <c r="B437" s="16">
        <v>9200124118</v>
      </c>
      <c r="C437" s="16" t="s">
        <v>439</v>
      </c>
      <c r="D437" s="16" t="s">
        <v>456</v>
      </c>
      <c r="E437" s="16" t="s">
        <v>123</v>
      </c>
      <c r="F437" s="39" t="s">
        <v>457</v>
      </c>
      <c r="G437" s="16">
        <v>1</v>
      </c>
      <c r="H437" s="16" t="s">
        <v>87</v>
      </c>
      <c r="I437" s="16">
        <v>26850</v>
      </c>
      <c r="J437" s="16">
        <f>G437*I437</f>
        <v>26850</v>
      </c>
      <c r="K437" s="16"/>
      <c r="L437" s="16"/>
      <c r="M437" s="16"/>
      <c r="N437" s="16"/>
      <c r="O437" s="16">
        <v>1</v>
      </c>
      <c r="P437" s="16">
        <v>26850</v>
      </c>
      <c r="Q437" s="16">
        <f>O437*P437</f>
        <v>26850</v>
      </c>
      <c r="R437" s="18">
        <v>0</v>
      </c>
      <c r="S437" s="16">
        <v>0</v>
      </c>
      <c r="T437" s="16">
        <v>26850</v>
      </c>
      <c r="U437" s="65" t="s">
        <v>458</v>
      </c>
      <c r="V437" s="67">
        <v>45393</v>
      </c>
      <c r="W437" s="142" t="s">
        <v>2652</v>
      </c>
    </row>
    <row r="438" spans="1:23" x14ac:dyDescent="0.3">
      <c r="A438" s="1"/>
      <c r="B438" s="1"/>
      <c r="C438" s="1"/>
      <c r="D438" s="1"/>
      <c r="E438" s="1"/>
      <c r="F438" s="22"/>
      <c r="G438" s="1"/>
      <c r="H438" s="1"/>
      <c r="I438" s="1"/>
      <c r="J438" s="1"/>
      <c r="K438" s="1"/>
      <c r="L438" s="1"/>
      <c r="M438" s="1"/>
      <c r="N438" s="1"/>
      <c r="O438" s="1"/>
      <c r="P438" s="1"/>
      <c r="Q438" s="1"/>
      <c r="R438" s="1"/>
      <c r="S438" s="1"/>
      <c r="T438" s="1"/>
      <c r="U438" s="1"/>
      <c r="V438" s="1"/>
      <c r="W438" s="142"/>
    </row>
    <row r="439" spans="1:23" x14ac:dyDescent="0.3">
      <c r="A439" s="219" t="s">
        <v>39</v>
      </c>
      <c r="B439" s="219"/>
      <c r="C439" s="219"/>
      <c r="D439" s="219"/>
      <c r="E439" s="219"/>
      <c r="F439" s="219"/>
      <c r="G439" s="219"/>
      <c r="H439" s="219"/>
      <c r="I439" s="219"/>
      <c r="J439" s="1">
        <f>SUM(J437)</f>
        <v>26850</v>
      </c>
      <c r="K439" s="1"/>
      <c r="L439" s="1"/>
      <c r="M439" s="1"/>
      <c r="N439" s="1"/>
      <c r="O439" s="1"/>
      <c r="P439" s="1"/>
      <c r="Q439" s="1"/>
      <c r="R439" s="1"/>
      <c r="S439" s="1"/>
      <c r="T439" s="1"/>
      <c r="U439" s="1"/>
      <c r="V439" s="1"/>
      <c r="W439" s="142"/>
    </row>
    <row r="440" spans="1:23" x14ac:dyDescent="0.3">
      <c r="A440" s="219" t="s">
        <v>82</v>
      </c>
      <c r="B440" s="219"/>
      <c r="C440" s="219"/>
      <c r="D440" s="219"/>
      <c r="E440" s="219"/>
      <c r="F440" s="219"/>
      <c r="G440" s="219"/>
      <c r="H440" s="219"/>
      <c r="I440" s="219"/>
      <c r="J440" s="1">
        <v>0</v>
      </c>
      <c r="K440" s="1"/>
      <c r="L440" s="1"/>
      <c r="M440" s="1"/>
      <c r="N440" s="1"/>
      <c r="O440" s="1"/>
      <c r="P440" s="1"/>
      <c r="Q440" s="1"/>
      <c r="R440" s="1"/>
      <c r="S440" s="1"/>
      <c r="T440" s="1"/>
      <c r="U440" s="1"/>
      <c r="V440" s="1"/>
      <c r="W440" s="142"/>
    </row>
    <row r="441" spans="1:23" x14ac:dyDescent="0.3">
      <c r="A441" s="219" t="s">
        <v>41</v>
      </c>
      <c r="B441" s="219"/>
      <c r="C441" s="219"/>
      <c r="D441" s="219"/>
      <c r="E441" s="219"/>
      <c r="F441" s="219"/>
      <c r="G441" s="219"/>
      <c r="H441" s="219"/>
      <c r="I441" s="219"/>
      <c r="J441" s="124">
        <f>SUM(J439:J440)</f>
        <v>26850</v>
      </c>
      <c r="K441" s="1"/>
      <c r="L441" s="1"/>
      <c r="M441" s="1"/>
      <c r="N441" s="1"/>
      <c r="O441" s="1"/>
      <c r="P441" s="1"/>
      <c r="Q441" s="1"/>
      <c r="R441" s="1"/>
      <c r="S441" s="1"/>
      <c r="T441" s="1"/>
      <c r="U441" s="1"/>
      <c r="V441" s="1"/>
      <c r="W441" s="142"/>
    </row>
    <row r="442" spans="1:23" x14ac:dyDescent="0.3">
      <c r="A442" s="124"/>
      <c r="B442" s="124"/>
      <c r="C442" s="124"/>
      <c r="D442" s="124"/>
      <c r="E442" s="124"/>
      <c r="F442" s="124"/>
      <c r="G442" s="124"/>
      <c r="H442" s="124"/>
      <c r="I442" s="124"/>
      <c r="J442" s="124"/>
      <c r="K442" s="1"/>
      <c r="L442" s="1"/>
      <c r="M442" s="1"/>
      <c r="N442" s="1"/>
      <c r="O442" s="1"/>
      <c r="P442" s="1"/>
      <c r="Q442" s="1"/>
      <c r="R442" s="1"/>
      <c r="S442" s="1"/>
      <c r="T442" s="1"/>
      <c r="U442" s="1"/>
      <c r="V442" s="1"/>
      <c r="W442" s="142"/>
    </row>
    <row r="443" spans="1:23" x14ac:dyDescent="0.3">
      <c r="A443" s="1">
        <v>42</v>
      </c>
      <c r="B443" s="16">
        <v>8100015015</v>
      </c>
      <c r="C443" s="16" t="s">
        <v>405</v>
      </c>
      <c r="D443" s="16" t="s">
        <v>43</v>
      </c>
      <c r="E443" s="16" t="s">
        <v>127</v>
      </c>
      <c r="F443" s="39" t="s">
        <v>459</v>
      </c>
      <c r="G443" s="16">
        <v>750</v>
      </c>
      <c r="H443" s="16" t="s">
        <v>60</v>
      </c>
      <c r="I443" s="16">
        <v>95</v>
      </c>
      <c r="J443" s="16">
        <f>G443*I443</f>
        <v>71250</v>
      </c>
      <c r="K443" s="16"/>
      <c r="L443" s="16"/>
      <c r="M443" s="16"/>
      <c r="N443" s="16"/>
      <c r="O443" s="16">
        <v>750</v>
      </c>
      <c r="P443" s="16">
        <v>95</v>
      </c>
      <c r="Q443" s="16">
        <f>O443*P443</f>
        <v>71250</v>
      </c>
      <c r="R443" s="16">
        <v>0</v>
      </c>
      <c r="S443" s="16">
        <v>0</v>
      </c>
      <c r="T443" s="16">
        <f>Q443+S443</f>
        <v>71250</v>
      </c>
      <c r="U443" s="16" t="s">
        <v>460</v>
      </c>
      <c r="V443" s="16" t="s">
        <v>254</v>
      </c>
      <c r="W443" s="142"/>
    </row>
    <row r="444" spans="1:23" ht="25.2" x14ac:dyDescent="0.3">
      <c r="A444" s="1"/>
      <c r="B444" s="1"/>
      <c r="C444" s="1"/>
      <c r="D444" s="1"/>
      <c r="E444" s="16" t="s">
        <v>123</v>
      </c>
      <c r="F444" s="39" t="s">
        <v>461</v>
      </c>
      <c r="G444" s="16">
        <v>750</v>
      </c>
      <c r="H444" s="16" t="s">
        <v>60</v>
      </c>
      <c r="I444" s="16">
        <v>24</v>
      </c>
      <c r="J444" s="16">
        <f t="shared" ref="J444:J460" si="91">G444*I444</f>
        <v>18000</v>
      </c>
      <c r="K444" s="16"/>
      <c r="L444" s="16"/>
      <c r="M444" s="16"/>
      <c r="N444" s="16"/>
      <c r="O444" s="121">
        <v>550</v>
      </c>
      <c r="P444" s="121">
        <v>24</v>
      </c>
      <c r="Q444" s="121">
        <f t="shared" ref="Q444:Q451" si="92">O444*P444</f>
        <v>13200</v>
      </c>
      <c r="R444" s="121">
        <v>0</v>
      </c>
      <c r="S444" s="121">
        <v>0</v>
      </c>
      <c r="T444" s="121">
        <f t="shared" ref="T444:T451" si="93">Q444+S444</f>
        <v>13200</v>
      </c>
      <c r="U444" s="121" t="s">
        <v>462</v>
      </c>
      <c r="V444" s="121" t="s">
        <v>463</v>
      </c>
      <c r="W444" s="146">
        <v>45994</v>
      </c>
    </row>
    <row r="445" spans="1:23" ht="25.2" x14ac:dyDescent="0.3">
      <c r="A445" s="1"/>
      <c r="B445" s="1"/>
      <c r="C445" s="1"/>
      <c r="D445" s="1"/>
      <c r="E445" s="16" t="s">
        <v>123</v>
      </c>
      <c r="F445" s="39" t="s">
        <v>464</v>
      </c>
      <c r="G445" s="16">
        <v>750</v>
      </c>
      <c r="H445" s="16" t="s">
        <v>60</v>
      </c>
      <c r="I445" s="16">
        <v>35</v>
      </c>
      <c r="J445" s="16">
        <f t="shared" si="91"/>
        <v>26250</v>
      </c>
      <c r="K445" s="119">
        <v>750</v>
      </c>
      <c r="L445" s="119" t="s">
        <v>60</v>
      </c>
      <c r="M445" s="119" t="s">
        <v>91</v>
      </c>
      <c r="N445" s="119" t="s">
        <v>465</v>
      </c>
      <c r="O445" s="121">
        <v>750</v>
      </c>
      <c r="P445" s="121">
        <v>35</v>
      </c>
      <c r="Q445" s="121">
        <f t="shared" si="92"/>
        <v>26250</v>
      </c>
      <c r="R445" s="121">
        <v>0</v>
      </c>
      <c r="S445" s="121">
        <v>0</v>
      </c>
      <c r="T445" s="121">
        <f t="shared" si="93"/>
        <v>26250</v>
      </c>
      <c r="U445" s="121" t="s">
        <v>462</v>
      </c>
      <c r="V445" s="121" t="s">
        <v>463</v>
      </c>
      <c r="W445" s="146">
        <v>45994</v>
      </c>
    </row>
    <row r="446" spans="1:23" x14ac:dyDescent="0.3">
      <c r="A446" s="1"/>
      <c r="B446" s="1"/>
      <c r="C446" s="1"/>
      <c r="D446" s="1" t="s">
        <v>2651</v>
      </c>
      <c r="E446" s="161" t="s">
        <v>123</v>
      </c>
      <c r="F446" s="161" t="s">
        <v>466</v>
      </c>
      <c r="G446" s="161">
        <v>500</v>
      </c>
      <c r="H446" s="161" t="s">
        <v>111</v>
      </c>
      <c r="I446" s="161">
        <v>83</v>
      </c>
      <c r="J446" s="161">
        <f t="shared" si="91"/>
        <v>41500</v>
      </c>
      <c r="K446" s="85"/>
      <c r="L446" s="85"/>
      <c r="M446" s="85"/>
      <c r="N446" s="85"/>
      <c r="O446" s="85"/>
      <c r="P446" s="85">
        <v>83</v>
      </c>
      <c r="Q446" s="85">
        <f t="shared" si="92"/>
        <v>0</v>
      </c>
      <c r="R446" s="85">
        <v>0</v>
      </c>
      <c r="S446" s="85">
        <v>0</v>
      </c>
      <c r="T446" s="85">
        <f t="shared" si="93"/>
        <v>0</v>
      </c>
      <c r="U446" s="85"/>
      <c r="V446" s="85"/>
      <c r="W446" s="142"/>
    </row>
    <row r="447" spans="1:23" x14ac:dyDescent="0.3">
      <c r="A447" s="1"/>
      <c r="B447" s="1"/>
      <c r="C447" s="1"/>
      <c r="D447" s="1" t="s">
        <v>2651</v>
      </c>
      <c r="E447" s="161" t="s">
        <v>123</v>
      </c>
      <c r="F447" s="161" t="s">
        <v>467</v>
      </c>
      <c r="G447" s="161">
        <v>500</v>
      </c>
      <c r="H447" s="161" t="s">
        <v>111</v>
      </c>
      <c r="I447" s="161">
        <v>65</v>
      </c>
      <c r="J447" s="161">
        <f t="shared" si="91"/>
        <v>32500</v>
      </c>
      <c r="K447" s="85"/>
      <c r="L447" s="85"/>
      <c r="M447" s="85"/>
      <c r="N447" s="85"/>
      <c r="O447" s="85"/>
      <c r="P447" s="85">
        <v>65</v>
      </c>
      <c r="Q447" s="85">
        <f t="shared" si="92"/>
        <v>0</v>
      </c>
      <c r="R447" s="85">
        <v>0</v>
      </c>
      <c r="S447" s="85">
        <v>0</v>
      </c>
      <c r="T447" s="85">
        <f t="shared" si="93"/>
        <v>0</v>
      </c>
      <c r="U447" s="85"/>
      <c r="V447" s="85"/>
      <c r="W447" s="142"/>
    </row>
    <row r="448" spans="1:23" x14ac:dyDescent="0.3">
      <c r="A448" s="1"/>
      <c r="B448" s="1"/>
      <c r="C448" s="1"/>
      <c r="D448" s="1" t="s">
        <v>2651</v>
      </c>
      <c r="E448" s="161" t="s">
        <v>123</v>
      </c>
      <c r="F448" s="161" t="s">
        <v>468</v>
      </c>
      <c r="G448" s="161">
        <v>900</v>
      </c>
      <c r="H448" s="161" t="s">
        <v>111</v>
      </c>
      <c r="I448" s="161">
        <v>24</v>
      </c>
      <c r="J448" s="161">
        <f t="shared" si="91"/>
        <v>21600</v>
      </c>
      <c r="K448" s="85"/>
      <c r="L448" s="85"/>
      <c r="M448" s="85"/>
      <c r="N448" s="85"/>
      <c r="O448" s="85"/>
      <c r="P448" s="85">
        <v>24</v>
      </c>
      <c r="Q448" s="85">
        <f t="shared" si="92"/>
        <v>0</v>
      </c>
      <c r="R448" s="85">
        <v>0</v>
      </c>
      <c r="S448" s="85">
        <v>0</v>
      </c>
      <c r="T448" s="85">
        <f t="shared" si="93"/>
        <v>0</v>
      </c>
      <c r="U448" s="85"/>
      <c r="V448" s="85"/>
      <c r="W448" s="142"/>
    </row>
    <row r="449" spans="1:23" ht="25.2" x14ac:dyDescent="0.3">
      <c r="A449" s="1"/>
      <c r="B449" s="1"/>
      <c r="C449" s="1"/>
      <c r="D449" s="1" t="s">
        <v>2651</v>
      </c>
      <c r="E449" s="161" t="s">
        <v>123</v>
      </c>
      <c r="F449" s="162" t="s">
        <v>469</v>
      </c>
      <c r="G449" s="161">
        <v>1000</v>
      </c>
      <c r="H449" s="161" t="s">
        <v>111</v>
      </c>
      <c r="I449" s="161">
        <v>147</v>
      </c>
      <c r="J449" s="161">
        <f t="shared" si="91"/>
        <v>147000</v>
      </c>
      <c r="K449" s="85"/>
      <c r="L449" s="85"/>
      <c r="M449" s="85"/>
      <c r="N449" s="85"/>
      <c r="O449" s="85"/>
      <c r="P449" s="85">
        <v>147</v>
      </c>
      <c r="Q449" s="85">
        <f t="shared" si="92"/>
        <v>0</v>
      </c>
      <c r="R449" s="85">
        <v>0</v>
      </c>
      <c r="S449" s="85">
        <v>0</v>
      </c>
      <c r="T449" s="85">
        <f t="shared" si="93"/>
        <v>0</v>
      </c>
      <c r="U449" s="85"/>
      <c r="V449" s="85"/>
      <c r="W449" s="142"/>
    </row>
    <row r="450" spans="1:23" x14ac:dyDescent="0.3">
      <c r="A450" s="1"/>
      <c r="B450" s="1"/>
      <c r="C450" s="1"/>
      <c r="D450" s="1" t="s">
        <v>2651</v>
      </c>
      <c r="E450" s="161" t="s">
        <v>123</v>
      </c>
      <c r="F450" s="161" t="s">
        <v>470</v>
      </c>
      <c r="G450" s="161">
        <v>250</v>
      </c>
      <c r="H450" s="161" t="s">
        <v>252</v>
      </c>
      <c r="I450" s="161">
        <v>110</v>
      </c>
      <c r="J450" s="161">
        <f t="shared" si="91"/>
        <v>27500</v>
      </c>
      <c r="K450" s="85"/>
      <c r="L450" s="85"/>
      <c r="M450" s="85"/>
      <c r="N450" s="85"/>
      <c r="O450" s="85"/>
      <c r="P450" s="85">
        <v>110</v>
      </c>
      <c r="Q450" s="85">
        <f t="shared" si="92"/>
        <v>0</v>
      </c>
      <c r="R450" s="85">
        <v>0</v>
      </c>
      <c r="S450" s="85">
        <v>0</v>
      </c>
      <c r="T450" s="85">
        <f t="shared" si="93"/>
        <v>0</v>
      </c>
      <c r="U450" s="85"/>
      <c r="V450" s="85"/>
      <c r="W450" s="142"/>
    </row>
    <row r="451" spans="1:23" ht="25.2" x14ac:dyDescent="0.3">
      <c r="A451" s="1"/>
      <c r="B451" s="1"/>
      <c r="C451" s="1"/>
      <c r="D451" s="1"/>
      <c r="E451" s="16" t="s">
        <v>123</v>
      </c>
      <c r="F451" s="39" t="s">
        <v>471</v>
      </c>
      <c r="G451" s="16">
        <v>26</v>
      </c>
      <c r="H451" s="16" t="s">
        <v>28</v>
      </c>
      <c r="I451" s="16">
        <v>707.69299999999998</v>
      </c>
      <c r="J451" s="16">
        <f t="shared" si="91"/>
        <v>18400.018</v>
      </c>
      <c r="K451" s="16"/>
      <c r="L451" s="16"/>
      <c r="M451" s="16"/>
      <c r="N451" s="16"/>
      <c r="O451" s="121">
        <v>26</v>
      </c>
      <c r="P451" s="121">
        <v>707.69230000000005</v>
      </c>
      <c r="Q451" s="121">
        <f t="shared" si="92"/>
        <v>18399.999800000001</v>
      </c>
      <c r="R451" s="121">
        <v>0</v>
      </c>
      <c r="S451" s="121">
        <v>0</v>
      </c>
      <c r="T451" s="121">
        <f t="shared" si="93"/>
        <v>18399.999800000001</v>
      </c>
      <c r="U451" s="121" t="s">
        <v>462</v>
      </c>
      <c r="V451" s="121" t="s">
        <v>463</v>
      </c>
      <c r="W451" s="146">
        <v>45994</v>
      </c>
    </row>
    <row r="452" spans="1:23" x14ac:dyDescent="0.3">
      <c r="A452" s="1"/>
      <c r="B452" s="1"/>
      <c r="C452" s="1"/>
      <c r="D452" s="1"/>
      <c r="E452" s="1"/>
      <c r="F452" s="1"/>
      <c r="G452" s="1"/>
      <c r="H452" s="1"/>
      <c r="I452" s="1"/>
      <c r="J452" s="1"/>
      <c r="K452" s="1"/>
      <c r="L452" s="1"/>
      <c r="M452" s="1"/>
      <c r="N452" s="1"/>
      <c r="O452" s="1"/>
      <c r="P452" s="1"/>
      <c r="Q452" s="1"/>
      <c r="R452" s="1"/>
      <c r="S452" s="1"/>
      <c r="T452" s="1"/>
      <c r="U452" s="1"/>
      <c r="V452" s="1"/>
      <c r="W452" s="142"/>
    </row>
    <row r="453" spans="1:23" x14ac:dyDescent="0.3">
      <c r="A453" s="219" t="s">
        <v>39</v>
      </c>
      <c r="B453" s="219"/>
      <c r="C453" s="219"/>
      <c r="D453" s="219"/>
      <c r="E453" s="219"/>
      <c r="F453" s="219"/>
      <c r="G453" s="219"/>
      <c r="H453" s="219"/>
      <c r="I453" s="219"/>
      <c r="J453" s="124">
        <f>SUM(J443:J452)</f>
        <v>404000.01799999998</v>
      </c>
      <c r="K453" s="1"/>
      <c r="L453" s="1"/>
      <c r="M453" s="1"/>
      <c r="N453" s="1"/>
      <c r="O453" s="1"/>
      <c r="P453" s="1"/>
      <c r="Q453" s="1"/>
      <c r="R453" s="1"/>
      <c r="S453" s="1"/>
      <c r="T453" s="1"/>
      <c r="U453" s="1"/>
      <c r="V453" s="1"/>
      <c r="W453" s="142"/>
    </row>
    <row r="454" spans="1:23" x14ac:dyDescent="0.3">
      <c r="A454" s="219" t="s">
        <v>82</v>
      </c>
      <c r="B454" s="219"/>
      <c r="C454" s="219"/>
      <c r="D454" s="219"/>
      <c r="E454" s="219"/>
      <c r="F454" s="219"/>
      <c r="G454" s="219"/>
      <c r="H454" s="219"/>
      <c r="I454" s="219"/>
      <c r="J454" s="124">
        <f>J453*0/100</f>
        <v>0</v>
      </c>
      <c r="K454" s="1"/>
      <c r="L454" s="1"/>
      <c r="M454" s="1"/>
      <c r="N454" s="1"/>
      <c r="O454" s="1"/>
      <c r="P454" s="1"/>
      <c r="Q454" s="1"/>
      <c r="R454" s="1"/>
      <c r="S454" s="1"/>
      <c r="T454" s="1"/>
      <c r="U454" s="1"/>
      <c r="V454" s="1"/>
      <c r="W454" s="142"/>
    </row>
    <row r="455" spans="1:23" x14ac:dyDescent="0.3">
      <c r="A455" s="219" t="s">
        <v>41</v>
      </c>
      <c r="B455" s="219"/>
      <c r="C455" s="219"/>
      <c r="D455" s="219"/>
      <c r="E455" s="219"/>
      <c r="F455" s="219"/>
      <c r="G455" s="219"/>
      <c r="H455" s="219"/>
      <c r="I455" s="219"/>
      <c r="J455" s="124">
        <f>SUM(J453:J454)</f>
        <v>404000.01799999998</v>
      </c>
      <c r="K455" s="1"/>
      <c r="L455" s="1"/>
      <c r="M455" s="1"/>
      <c r="N455" s="1"/>
      <c r="O455" s="1"/>
      <c r="P455" s="1"/>
      <c r="Q455" s="1"/>
      <c r="R455" s="1"/>
      <c r="S455" s="1"/>
      <c r="T455" s="1">
        <f>SUM(T443:T454)</f>
        <v>129099.99980000001</v>
      </c>
      <c r="U455" s="1"/>
      <c r="V455" s="1"/>
      <c r="W455" s="142"/>
    </row>
    <row r="456" spans="1:23" x14ac:dyDescent="0.3">
      <c r="A456" s="1"/>
      <c r="B456" s="1"/>
      <c r="C456" s="1"/>
      <c r="D456" s="1"/>
      <c r="E456" s="1"/>
      <c r="F456" s="1"/>
      <c r="G456" s="1"/>
      <c r="H456" s="1"/>
      <c r="I456" s="1"/>
      <c r="J456" s="1">
        <f t="shared" si="91"/>
        <v>0</v>
      </c>
      <c r="K456" s="1"/>
      <c r="L456" s="1"/>
      <c r="M456" s="1"/>
      <c r="N456" s="1"/>
      <c r="O456" s="1"/>
      <c r="P456" s="1"/>
      <c r="Q456" s="1"/>
      <c r="R456" s="1"/>
      <c r="S456" s="1"/>
      <c r="T456" s="1"/>
      <c r="U456" s="1"/>
      <c r="V456" s="1"/>
      <c r="W456" s="142"/>
    </row>
    <row r="457" spans="1:23" x14ac:dyDescent="0.3">
      <c r="A457" s="16">
        <v>43</v>
      </c>
      <c r="B457" s="16">
        <v>8100015047</v>
      </c>
      <c r="C457" s="16" t="s">
        <v>472</v>
      </c>
      <c r="D457" s="16" t="s">
        <v>43</v>
      </c>
      <c r="E457" s="16" t="s">
        <v>127</v>
      </c>
      <c r="F457" s="16" t="s">
        <v>473</v>
      </c>
      <c r="G457" s="16">
        <v>500</v>
      </c>
      <c r="H457" s="16" t="s">
        <v>60</v>
      </c>
      <c r="I457" s="16">
        <v>75</v>
      </c>
      <c r="J457" s="16">
        <f t="shared" si="91"/>
        <v>37500</v>
      </c>
      <c r="K457" s="16"/>
      <c r="L457" s="16"/>
      <c r="M457" s="16"/>
      <c r="N457" s="16"/>
      <c r="O457" s="16">
        <v>500</v>
      </c>
      <c r="P457" s="16">
        <v>75</v>
      </c>
      <c r="Q457" s="16">
        <f>O457*P457</f>
        <v>37500</v>
      </c>
      <c r="R457" s="16">
        <v>0</v>
      </c>
      <c r="S457" s="16">
        <v>0</v>
      </c>
      <c r="T457" s="16">
        <f>Q457+S457</f>
        <v>37500</v>
      </c>
      <c r="U457" s="16" t="s">
        <v>474</v>
      </c>
      <c r="V457" s="16" t="s">
        <v>472</v>
      </c>
      <c r="W457" s="142"/>
    </row>
    <row r="458" spans="1:23" x14ac:dyDescent="0.3">
      <c r="A458" s="1"/>
      <c r="B458" s="1"/>
      <c r="C458" s="1"/>
      <c r="D458" s="1"/>
      <c r="E458" s="16" t="s">
        <v>123</v>
      </c>
      <c r="F458" s="39" t="s">
        <v>475</v>
      </c>
      <c r="G458" s="16">
        <v>95</v>
      </c>
      <c r="H458" s="16" t="s">
        <v>28</v>
      </c>
      <c r="I458" s="16">
        <v>250</v>
      </c>
      <c r="J458" s="16">
        <f t="shared" si="91"/>
        <v>23750</v>
      </c>
      <c r="K458" s="16">
        <v>95</v>
      </c>
      <c r="L458" s="16" t="s">
        <v>28</v>
      </c>
      <c r="M458" s="16" t="s">
        <v>91</v>
      </c>
      <c r="N458" s="16">
        <v>121</v>
      </c>
      <c r="O458" s="16"/>
      <c r="P458" s="16"/>
      <c r="Q458" s="16"/>
      <c r="R458" s="16"/>
      <c r="S458" s="16"/>
      <c r="T458" s="16"/>
      <c r="U458" s="173" t="s">
        <v>474</v>
      </c>
      <c r="V458" s="173" t="s">
        <v>472</v>
      </c>
      <c r="W458" s="142"/>
    </row>
    <row r="459" spans="1:23" x14ac:dyDescent="0.3">
      <c r="A459" s="1"/>
      <c r="B459" s="1"/>
      <c r="C459" s="1"/>
      <c r="D459" s="1"/>
      <c r="E459" s="16" t="s">
        <v>123</v>
      </c>
      <c r="F459" s="16" t="s">
        <v>476</v>
      </c>
      <c r="G459" s="16">
        <v>500</v>
      </c>
      <c r="H459" s="16" t="s">
        <v>28</v>
      </c>
      <c r="I459" s="16">
        <v>45</v>
      </c>
      <c r="J459" s="16">
        <f t="shared" si="91"/>
        <v>22500</v>
      </c>
      <c r="K459" s="16"/>
      <c r="L459" s="16"/>
      <c r="M459" s="16"/>
      <c r="N459" s="16"/>
      <c r="O459" s="16"/>
      <c r="P459" s="16"/>
      <c r="Q459" s="16"/>
      <c r="R459" s="16"/>
      <c r="S459" s="16"/>
      <c r="T459" s="16"/>
      <c r="U459" s="173" t="s">
        <v>474</v>
      </c>
      <c r="V459" s="173" t="s">
        <v>472</v>
      </c>
      <c r="W459" s="142"/>
    </row>
    <row r="460" spans="1:23" x14ac:dyDescent="0.3">
      <c r="A460" s="1"/>
      <c r="B460" s="1"/>
      <c r="C460" s="1"/>
      <c r="D460" s="1"/>
      <c r="E460" s="16" t="s">
        <v>123</v>
      </c>
      <c r="F460" s="16" t="s">
        <v>477</v>
      </c>
      <c r="G460" s="16">
        <v>500</v>
      </c>
      <c r="H460" s="16" t="s">
        <v>28</v>
      </c>
      <c r="I460" s="16">
        <v>75</v>
      </c>
      <c r="J460" s="16">
        <f t="shared" si="91"/>
        <v>37500</v>
      </c>
      <c r="K460" s="16">
        <v>500</v>
      </c>
      <c r="L460" s="16" t="s">
        <v>60</v>
      </c>
      <c r="M460" s="16" t="s">
        <v>91</v>
      </c>
      <c r="N460" s="16" t="s">
        <v>478</v>
      </c>
      <c r="O460" s="16"/>
      <c r="P460" s="16"/>
      <c r="Q460" s="16"/>
      <c r="R460" s="16"/>
      <c r="S460" s="16"/>
      <c r="T460" s="16"/>
      <c r="U460" s="173" t="s">
        <v>474</v>
      </c>
      <c r="V460" s="173" t="s">
        <v>472</v>
      </c>
      <c r="W460" s="142"/>
    </row>
    <row r="461" spans="1:23" x14ac:dyDescent="0.3">
      <c r="A461" s="219" t="s">
        <v>39</v>
      </c>
      <c r="B461" s="219"/>
      <c r="C461" s="219"/>
      <c r="D461" s="219"/>
      <c r="E461" s="219"/>
      <c r="F461" s="219"/>
      <c r="G461" s="219"/>
      <c r="H461" s="219"/>
      <c r="I461" s="219"/>
      <c r="J461" s="124">
        <f>SUM(J457:J460)</f>
        <v>121250</v>
      </c>
      <c r="K461" s="1"/>
      <c r="L461" s="1"/>
      <c r="M461" s="1"/>
      <c r="N461" s="1"/>
      <c r="O461" s="1"/>
      <c r="P461" s="1"/>
      <c r="Q461" s="1"/>
      <c r="R461" s="1"/>
      <c r="S461" s="1"/>
      <c r="T461" s="1"/>
      <c r="U461" s="1"/>
      <c r="V461" s="1"/>
      <c r="W461" s="142"/>
    </row>
    <row r="462" spans="1:23" x14ac:dyDescent="0.3">
      <c r="A462" s="219" t="s">
        <v>82</v>
      </c>
      <c r="B462" s="219"/>
      <c r="C462" s="219"/>
      <c r="D462" s="219"/>
      <c r="E462" s="219"/>
      <c r="F462" s="219"/>
      <c r="G462" s="219"/>
      <c r="H462" s="219"/>
      <c r="I462" s="219"/>
      <c r="J462" s="124">
        <v>0</v>
      </c>
      <c r="K462" s="1"/>
      <c r="L462" s="1"/>
      <c r="M462" s="1"/>
      <c r="N462" s="1"/>
      <c r="O462" s="1"/>
      <c r="P462" s="1"/>
      <c r="Q462" s="1"/>
      <c r="R462" s="1"/>
      <c r="S462" s="1"/>
      <c r="T462" s="1"/>
      <c r="U462" s="1"/>
      <c r="V462" s="1"/>
      <c r="W462" s="142"/>
    </row>
    <row r="463" spans="1:23" x14ac:dyDescent="0.3">
      <c r="A463" s="219" t="s">
        <v>41</v>
      </c>
      <c r="B463" s="219"/>
      <c r="C463" s="219"/>
      <c r="D463" s="219"/>
      <c r="E463" s="219"/>
      <c r="F463" s="219"/>
      <c r="G463" s="219"/>
      <c r="H463" s="219"/>
      <c r="I463" s="219"/>
      <c r="J463" s="124">
        <f>SUM(J461:J462)</f>
        <v>121250</v>
      </c>
      <c r="K463" s="1"/>
      <c r="L463" s="1"/>
      <c r="M463" s="1"/>
      <c r="N463" s="1"/>
      <c r="O463" s="1"/>
      <c r="P463" s="1"/>
      <c r="Q463" s="1"/>
      <c r="R463" s="1"/>
      <c r="S463" s="1"/>
      <c r="T463" s="1"/>
      <c r="U463" s="1"/>
      <c r="V463" s="1"/>
      <c r="W463" s="142"/>
    </row>
    <row r="464" spans="1:23" x14ac:dyDescent="0.3">
      <c r="A464" s="1"/>
      <c r="B464" s="1"/>
      <c r="C464" s="1"/>
      <c r="D464" s="1"/>
      <c r="E464" s="1"/>
      <c r="F464" s="1"/>
      <c r="G464" s="1"/>
      <c r="H464" s="1"/>
      <c r="I464" s="1"/>
      <c r="J464" s="1"/>
      <c r="K464" s="1"/>
      <c r="L464" s="1"/>
      <c r="M464" s="1"/>
      <c r="N464" s="1"/>
      <c r="O464" s="1"/>
      <c r="P464" s="1"/>
      <c r="Q464" s="1"/>
      <c r="R464" s="1"/>
      <c r="S464" s="1"/>
      <c r="T464" s="1"/>
      <c r="U464" s="1"/>
      <c r="V464" s="1"/>
      <c r="W464" s="142"/>
    </row>
    <row r="465" spans="1:23" ht="37.799999999999997" x14ac:dyDescent="0.3">
      <c r="A465" s="16">
        <v>44</v>
      </c>
      <c r="B465" s="16">
        <v>9200124295</v>
      </c>
      <c r="C465" s="16" t="s">
        <v>472</v>
      </c>
      <c r="D465" s="16" t="s">
        <v>43</v>
      </c>
      <c r="E465" s="16" t="s">
        <v>123</v>
      </c>
      <c r="F465" s="39" t="s">
        <v>479</v>
      </c>
      <c r="G465" s="16">
        <v>1</v>
      </c>
      <c r="H465" s="16" t="s">
        <v>28</v>
      </c>
      <c r="I465" s="16">
        <v>81000</v>
      </c>
      <c r="J465" s="16">
        <f>G465*I465</f>
        <v>81000</v>
      </c>
      <c r="K465" s="16">
        <v>1</v>
      </c>
      <c r="L465" s="16" t="s">
        <v>28</v>
      </c>
      <c r="M465" s="16" t="s">
        <v>91</v>
      </c>
      <c r="N465" s="16" t="s">
        <v>480</v>
      </c>
      <c r="O465" s="16">
        <v>1</v>
      </c>
      <c r="P465" s="16">
        <v>81000</v>
      </c>
      <c r="Q465" s="16">
        <f>O465*P465</f>
        <v>81000</v>
      </c>
      <c r="R465" s="18">
        <v>0</v>
      </c>
      <c r="S465" s="16">
        <f>Q465*R465</f>
        <v>0</v>
      </c>
      <c r="T465" s="16">
        <f>Q465+S465</f>
        <v>81000</v>
      </c>
      <c r="U465" s="16" t="s">
        <v>481</v>
      </c>
      <c r="V465" s="19">
        <v>45334</v>
      </c>
      <c r="W465" s="142" t="s">
        <v>200</v>
      </c>
    </row>
    <row r="466" spans="1:23" x14ac:dyDescent="0.3">
      <c r="A466" s="219" t="s">
        <v>39</v>
      </c>
      <c r="B466" s="219"/>
      <c r="C466" s="219"/>
      <c r="D466" s="219"/>
      <c r="E466" s="219"/>
      <c r="F466" s="219"/>
      <c r="G466" s="219"/>
      <c r="H466" s="219"/>
      <c r="I466" s="219"/>
      <c r="J466" s="124">
        <f>SUM(J465)</f>
        <v>81000</v>
      </c>
      <c r="K466" s="1"/>
      <c r="L466" s="1"/>
      <c r="M466" s="1"/>
      <c r="N466" s="1"/>
      <c r="O466" s="1"/>
      <c r="P466" s="1"/>
      <c r="Q466" s="1"/>
      <c r="R466" s="1"/>
      <c r="S466" s="1"/>
      <c r="T466" s="1"/>
      <c r="U466" s="1"/>
      <c r="V466" s="1"/>
      <c r="W466" s="142"/>
    </row>
    <row r="467" spans="1:23" x14ac:dyDescent="0.3">
      <c r="A467" s="219" t="s">
        <v>82</v>
      </c>
      <c r="B467" s="219"/>
      <c r="C467" s="219"/>
      <c r="D467" s="219"/>
      <c r="E467" s="219"/>
      <c r="F467" s="219"/>
      <c r="G467" s="219"/>
      <c r="H467" s="219"/>
      <c r="I467" s="219"/>
      <c r="J467" s="124">
        <v>0</v>
      </c>
      <c r="K467" s="1"/>
      <c r="L467" s="1"/>
      <c r="M467" s="1"/>
      <c r="N467" s="1"/>
      <c r="O467" s="1"/>
      <c r="P467" s="1"/>
      <c r="Q467" s="1"/>
      <c r="R467" s="1"/>
      <c r="S467" s="1"/>
      <c r="T467" s="1"/>
      <c r="U467" s="1"/>
      <c r="V467" s="1"/>
      <c r="W467" s="142"/>
    </row>
    <row r="468" spans="1:23" x14ac:dyDescent="0.3">
      <c r="A468" s="219" t="s">
        <v>41</v>
      </c>
      <c r="B468" s="219"/>
      <c r="C468" s="219"/>
      <c r="D468" s="219"/>
      <c r="E468" s="219"/>
      <c r="F468" s="219"/>
      <c r="G468" s="219"/>
      <c r="H468" s="219"/>
      <c r="I468" s="219"/>
      <c r="J468" s="124">
        <f>SUM(J466:J467)</f>
        <v>81000</v>
      </c>
      <c r="K468" s="1"/>
      <c r="L468" s="1"/>
      <c r="M468" s="1"/>
      <c r="N468" s="1"/>
      <c r="O468" s="1"/>
      <c r="P468" s="1"/>
      <c r="Q468" s="1"/>
      <c r="R468" s="1"/>
      <c r="S468" s="1"/>
      <c r="T468" s="1"/>
      <c r="U468" s="1"/>
      <c r="V468" s="1"/>
      <c r="W468" s="142"/>
    </row>
    <row r="469" spans="1:23" x14ac:dyDescent="0.3">
      <c r="A469" s="1"/>
      <c r="B469" s="1"/>
      <c r="C469" s="1"/>
      <c r="D469" s="1"/>
      <c r="E469" s="1"/>
      <c r="F469" s="1"/>
      <c r="G469" s="1"/>
      <c r="H469" s="1"/>
      <c r="I469" s="1"/>
      <c r="J469" s="1">
        <f t="shared" ref="J469:J481" si="94">G469*I469</f>
        <v>0</v>
      </c>
      <c r="K469" s="1"/>
      <c r="L469" s="1"/>
      <c r="M469" s="1"/>
      <c r="N469" s="1"/>
      <c r="O469" s="1"/>
      <c r="P469" s="1"/>
      <c r="Q469" s="1"/>
      <c r="R469" s="1"/>
      <c r="S469" s="1"/>
      <c r="T469" s="1"/>
      <c r="U469" s="1"/>
      <c r="V469" s="1"/>
      <c r="W469" s="142"/>
    </row>
    <row r="470" spans="1:23" x14ac:dyDescent="0.3">
      <c r="A470" s="1">
        <v>45</v>
      </c>
      <c r="B470" s="16">
        <v>9200123435</v>
      </c>
      <c r="C470" s="16" t="s">
        <v>482</v>
      </c>
      <c r="D470" s="38" t="s">
        <v>154</v>
      </c>
      <c r="E470" s="16" t="s">
        <v>123</v>
      </c>
      <c r="F470" s="114" t="s">
        <v>483</v>
      </c>
      <c r="G470" s="16">
        <v>5</v>
      </c>
      <c r="H470" s="16" t="s">
        <v>28</v>
      </c>
      <c r="I470" s="16">
        <v>6370</v>
      </c>
      <c r="J470" s="16">
        <f t="shared" si="94"/>
        <v>31850</v>
      </c>
      <c r="K470" s="16">
        <v>5</v>
      </c>
      <c r="L470" s="16" t="s">
        <v>28</v>
      </c>
      <c r="M470" s="16" t="s">
        <v>91</v>
      </c>
      <c r="N470" s="16" t="s">
        <v>484</v>
      </c>
      <c r="O470" s="16">
        <v>5</v>
      </c>
      <c r="P470" s="16">
        <v>6370</v>
      </c>
      <c r="Q470" s="16">
        <f>O470*P470</f>
        <v>31850</v>
      </c>
      <c r="R470" s="18">
        <v>0.18</v>
      </c>
      <c r="S470" s="16">
        <f>Q470*R470</f>
        <v>5733</v>
      </c>
      <c r="T470" s="16">
        <f>Q470+S470</f>
        <v>37583</v>
      </c>
      <c r="U470" s="16" t="s">
        <v>485</v>
      </c>
      <c r="V470" s="19" t="s">
        <v>486</v>
      </c>
      <c r="W470" s="142"/>
    </row>
    <row r="471" spans="1:23" x14ac:dyDescent="0.3">
      <c r="A471" s="1"/>
      <c r="B471" s="81" t="s">
        <v>326</v>
      </c>
      <c r="C471" s="81" t="s">
        <v>487</v>
      </c>
      <c r="D471" s="1"/>
      <c r="E471" s="16" t="s">
        <v>123</v>
      </c>
      <c r="F471" s="114" t="s">
        <v>488</v>
      </c>
      <c r="G471" s="16">
        <v>1</v>
      </c>
      <c r="H471" s="16" t="s">
        <v>28</v>
      </c>
      <c r="I471" s="16">
        <v>24255</v>
      </c>
      <c r="J471" s="16">
        <f t="shared" si="94"/>
        <v>24255</v>
      </c>
      <c r="K471" s="16">
        <v>1</v>
      </c>
      <c r="L471" s="16" t="s">
        <v>28</v>
      </c>
      <c r="M471" s="16" t="s">
        <v>91</v>
      </c>
      <c r="N471" s="16" t="s">
        <v>484</v>
      </c>
      <c r="O471" s="16">
        <v>1</v>
      </c>
      <c r="P471" s="16">
        <v>24255</v>
      </c>
      <c r="Q471" s="16">
        <f t="shared" ref="Q471:Q481" si="95">O471*P471</f>
        <v>24255</v>
      </c>
      <c r="R471" s="18">
        <v>0.18</v>
      </c>
      <c r="S471" s="16">
        <f t="shared" ref="S471:S481" si="96">Q471*R471</f>
        <v>4365.8999999999996</v>
      </c>
      <c r="T471" s="16">
        <f t="shared" ref="T471:T481" si="97">Q471+S471</f>
        <v>28620.9</v>
      </c>
      <c r="U471" s="16" t="s">
        <v>485</v>
      </c>
      <c r="V471" s="19" t="s">
        <v>486</v>
      </c>
      <c r="W471" s="142"/>
    </row>
    <row r="472" spans="1:23" x14ac:dyDescent="0.3">
      <c r="A472" s="1"/>
      <c r="B472" s="1"/>
      <c r="C472" s="1"/>
      <c r="D472" s="1"/>
      <c r="E472" s="16" t="s">
        <v>123</v>
      </c>
      <c r="F472" s="114" t="s">
        <v>489</v>
      </c>
      <c r="G472" s="16">
        <v>6</v>
      </c>
      <c r="H472" s="16" t="s">
        <v>28</v>
      </c>
      <c r="I472" s="16">
        <v>7644</v>
      </c>
      <c r="J472" s="16">
        <f t="shared" si="94"/>
        <v>45864</v>
      </c>
      <c r="K472" s="16">
        <v>6</v>
      </c>
      <c r="L472" s="16" t="s">
        <v>28</v>
      </c>
      <c r="M472" s="16" t="s">
        <v>91</v>
      </c>
      <c r="N472" s="16" t="s">
        <v>490</v>
      </c>
      <c r="O472" s="16">
        <v>6</v>
      </c>
      <c r="P472" s="16">
        <v>7644</v>
      </c>
      <c r="Q472" s="16">
        <f t="shared" si="95"/>
        <v>45864</v>
      </c>
      <c r="R472" s="18">
        <v>0.18</v>
      </c>
      <c r="S472" s="16">
        <f t="shared" si="96"/>
        <v>8255.52</v>
      </c>
      <c r="T472" s="16">
        <f t="shared" si="97"/>
        <v>54119.520000000004</v>
      </c>
      <c r="U472" s="16" t="s">
        <v>485</v>
      </c>
      <c r="V472" s="19" t="s">
        <v>486</v>
      </c>
      <c r="W472" s="142"/>
    </row>
    <row r="473" spans="1:23" x14ac:dyDescent="0.3">
      <c r="A473" s="1"/>
      <c r="B473" s="1"/>
      <c r="C473" s="1"/>
      <c r="D473" s="1"/>
      <c r="E473" s="16" t="s">
        <v>123</v>
      </c>
      <c r="F473" s="114" t="s">
        <v>491</v>
      </c>
      <c r="G473" s="16">
        <v>1</v>
      </c>
      <c r="H473" s="16" t="s">
        <v>28</v>
      </c>
      <c r="I473" s="16">
        <v>4488</v>
      </c>
      <c r="J473" s="16">
        <f t="shared" si="94"/>
        <v>4488</v>
      </c>
      <c r="K473" s="16">
        <v>1</v>
      </c>
      <c r="L473" s="16" t="s">
        <v>28</v>
      </c>
      <c r="M473" s="16" t="s">
        <v>91</v>
      </c>
      <c r="N473" s="16" t="s">
        <v>484</v>
      </c>
      <c r="O473" s="16">
        <v>1</v>
      </c>
      <c r="P473" s="16">
        <v>4488</v>
      </c>
      <c r="Q473" s="16">
        <f t="shared" si="95"/>
        <v>4488</v>
      </c>
      <c r="R473" s="18">
        <v>0.18</v>
      </c>
      <c r="S473" s="16">
        <f t="shared" si="96"/>
        <v>807.83999999999992</v>
      </c>
      <c r="T473" s="16">
        <f t="shared" si="97"/>
        <v>5295.84</v>
      </c>
      <c r="U473" s="16" t="s">
        <v>485</v>
      </c>
      <c r="V473" s="19" t="s">
        <v>486</v>
      </c>
      <c r="W473" s="142"/>
    </row>
    <row r="474" spans="1:23" x14ac:dyDescent="0.3">
      <c r="A474" s="1"/>
      <c r="B474" s="1"/>
      <c r="C474" s="1"/>
      <c r="D474" s="1"/>
      <c r="E474" s="16" t="s">
        <v>123</v>
      </c>
      <c r="F474" s="114" t="s">
        <v>492</v>
      </c>
      <c r="G474" s="16">
        <v>3</v>
      </c>
      <c r="H474" s="16" t="s">
        <v>28</v>
      </c>
      <c r="I474" s="16">
        <v>5733</v>
      </c>
      <c r="J474" s="16">
        <f t="shared" si="94"/>
        <v>17199</v>
      </c>
      <c r="K474" s="16">
        <v>3</v>
      </c>
      <c r="L474" s="16" t="s">
        <v>28</v>
      </c>
      <c r="M474" s="16" t="s">
        <v>91</v>
      </c>
      <c r="N474" s="16" t="s">
        <v>490</v>
      </c>
      <c r="O474" s="16">
        <v>3</v>
      </c>
      <c r="P474" s="16">
        <v>5733</v>
      </c>
      <c r="Q474" s="16">
        <f t="shared" si="95"/>
        <v>17199</v>
      </c>
      <c r="R474" s="18">
        <v>0.18</v>
      </c>
      <c r="S474" s="16">
        <f t="shared" si="96"/>
        <v>3095.8199999999997</v>
      </c>
      <c r="T474" s="16">
        <f t="shared" si="97"/>
        <v>20294.82</v>
      </c>
      <c r="U474" s="16" t="s">
        <v>485</v>
      </c>
      <c r="V474" s="19" t="s">
        <v>486</v>
      </c>
      <c r="W474" s="142"/>
    </row>
    <row r="475" spans="1:23" x14ac:dyDescent="0.3">
      <c r="A475" s="1"/>
      <c r="B475" s="1"/>
      <c r="C475" s="1"/>
      <c r="D475" s="1" t="s">
        <v>493</v>
      </c>
      <c r="E475" s="16" t="s">
        <v>123</v>
      </c>
      <c r="F475" s="114" t="s">
        <v>494</v>
      </c>
      <c r="G475" s="16">
        <v>60</v>
      </c>
      <c r="H475" s="16" t="s">
        <v>308</v>
      </c>
      <c r="I475" s="16">
        <v>470</v>
      </c>
      <c r="J475" s="16">
        <f t="shared" si="94"/>
        <v>28200</v>
      </c>
      <c r="K475" s="16">
        <v>60</v>
      </c>
      <c r="L475" s="16" t="s">
        <v>308</v>
      </c>
      <c r="M475" s="16" t="s">
        <v>91</v>
      </c>
      <c r="N475" s="16" t="s">
        <v>490</v>
      </c>
      <c r="O475" s="16">
        <v>60</v>
      </c>
      <c r="P475" s="16">
        <v>647</v>
      </c>
      <c r="Q475" s="16">
        <f t="shared" si="95"/>
        <v>38820</v>
      </c>
      <c r="R475" s="18">
        <v>0.18</v>
      </c>
      <c r="S475" s="16">
        <f t="shared" si="96"/>
        <v>6987.5999999999995</v>
      </c>
      <c r="T475" s="16">
        <f t="shared" si="97"/>
        <v>45807.6</v>
      </c>
      <c r="U475" s="16" t="s">
        <v>485</v>
      </c>
      <c r="V475" s="19" t="s">
        <v>486</v>
      </c>
      <c r="W475" s="142"/>
    </row>
    <row r="476" spans="1:23" x14ac:dyDescent="0.3">
      <c r="A476" s="1"/>
      <c r="B476" s="1"/>
      <c r="C476" s="1"/>
      <c r="D476" s="1" t="s">
        <v>495</v>
      </c>
      <c r="E476" s="16" t="s">
        <v>123</v>
      </c>
      <c r="F476" s="114" t="s">
        <v>496</v>
      </c>
      <c r="G476" s="16">
        <v>60</v>
      </c>
      <c r="H476" s="16" t="s">
        <v>308</v>
      </c>
      <c r="I476" s="16">
        <v>647</v>
      </c>
      <c r="J476" s="16">
        <f t="shared" si="94"/>
        <v>38820</v>
      </c>
      <c r="K476" s="16">
        <v>60</v>
      </c>
      <c r="L476" s="16" t="s">
        <v>308</v>
      </c>
      <c r="M476" s="16" t="s">
        <v>91</v>
      </c>
      <c r="N476" s="16" t="s">
        <v>490</v>
      </c>
      <c r="O476" s="16">
        <v>40</v>
      </c>
      <c r="P476" s="16">
        <v>470</v>
      </c>
      <c r="Q476" s="16">
        <f t="shared" si="95"/>
        <v>18800</v>
      </c>
      <c r="R476" s="18">
        <v>0.18</v>
      </c>
      <c r="S476" s="16">
        <f t="shared" si="96"/>
        <v>3384</v>
      </c>
      <c r="T476" s="16">
        <f t="shared" si="97"/>
        <v>22184</v>
      </c>
      <c r="U476" s="16" t="s">
        <v>485</v>
      </c>
      <c r="V476" s="19" t="s">
        <v>486</v>
      </c>
      <c r="W476" s="142"/>
    </row>
    <row r="477" spans="1:23" x14ac:dyDescent="0.3">
      <c r="A477" s="1"/>
      <c r="B477" s="1"/>
      <c r="C477" s="1"/>
      <c r="D477" s="1"/>
      <c r="E477" s="16" t="s">
        <v>123</v>
      </c>
      <c r="F477" s="114" t="s">
        <v>497</v>
      </c>
      <c r="G477" s="16">
        <v>8</v>
      </c>
      <c r="H477" s="16" t="s">
        <v>28</v>
      </c>
      <c r="I477" s="16">
        <v>294</v>
      </c>
      <c r="J477" s="16">
        <f t="shared" si="94"/>
        <v>2352</v>
      </c>
      <c r="K477" s="16">
        <v>8</v>
      </c>
      <c r="L477" s="16" t="s">
        <v>28</v>
      </c>
      <c r="M477" s="16" t="s">
        <v>91</v>
      </c>
      <c r="N477" s="16" t="s">
        <v>490</v>
      </c>
      <c r="O477" s="16">
        <v>8</v>
      </c>
      <c r="P477" s="16">
        <v>294</v>
      </c>
      <c r="Q477" s="16">
        <f t="shared" si="95"/>
        <v>2352</v>
      </c>
      <c r="R477" s="18">
        <v>0.18</v>
      </c>
      <c r="S477" s="16">
        <f t="shared" si="96"/>
        <v>423.35999999999996</v>
      </c>
      <c r="T477" s="16">
        <f t="shared" si="97"/>
        <v>2775.36</v>
      </c>
      <c r="U477" s="16" t="s">
        <v>485</v>
      </c>
      <c r="V477" s="19" t="s">
        <v>486</v>
      </c>
      <c r="W477" s="142"/>
    </row>
    <row r="478" spans="1:23" x14ac:dyDescent="0.3">
      <c r="A478" s="1"/>
      <c r="B478" s="1"/>
      <c r="C478" s="1"/>
      <c r="D478" s="1"/>
      <c r="E478" s="16" t="s">
        <v>123</v>
      </c>
      <c r="F478" s="114" t="s">
        <v>498</v>
      </c>
      <c r="G478" s="16">
        <v>3</v>
      </c>
      <c r="H478" s="16" t="s">
        <v>28</v>
      </c>
      <c r="I478" s="16">
        <v>490</v>
      </c>
      <c r="J478" s="16">
        <f t="shared" si="94"/>
        <v>1470</v>
      </c>
      <c r="K478" s="16">
        <v>3</v>
      </c>
      <c r="L478" s="16" t="s">
        <v>28</v>
      </c>
      <c r="M478" s="16" t="s">
        <v>91</v>
      </c>
      <c r="N478" s="16" t="s">
        <v>490</v>
      </c>
      <c r="O478" s="16">
        <v>3</v>
      </c>
      <c r="P478" s="16">
        <v>490</v>
      </c>
      <c r="Q478" s="16">
        <f t="shared" si="95"/>
        <v>1470</v>
      </c>
      <c r="R478" s="18">
        <v>0.18</v>
      </c>
      <c r="S478" s="16">
        <f t="shared" si="96"/>
        <v>264.59999999999997</v>
      </c>
      <c r="T478" s="16">
        <f t="shared" si="97"/>
        <v>1734.6</v>
      </c>
      <c r="U478" s="16" t="s">
        <v>485</v>
      </c>
      <c r="V478" s="19" t="s">
        <v>486</v>
      </c>
      <c r="W478" s="142"/>
    </row>
    <row r="479" spans="1:23" x14ac:dyDescent="0.3">
      <c r="A479" s="1"/>
      <c r="B479" s="1"/>
      <c r="C479" s="1"/>
      <c r="D479" s="1"/>
      <c r="E479" s="16" t="s">
        <v>123</v>
      </c>
      <c r="F479" s="114" t="s">
        <v>499</v>
      </c>
      <c r="G479" s="16">
        <v>120</v>
      </c>
      <c r="H479" s="16" t="s">
        <v>308</v>
      </c>
      <c r="I479" s="16">
        <v>245</v>
      </c>
      <c r="J479" s="16">
        <f t="shared" si="94"/>
        <v>29400</v>
      </c>
      <c r="K479" s="16"/>
      <c r="L479" s="16"/>
      <c r="M479" s="16"/>
      <c r="N479" s="16"/>
      <c r="O479" s="16">
        <v>100</v>
      </c>
      <c r="P479" s="16">
        <v>245</v>
      </c>
      <c r="Q479" s="16">
        <f t="shared" si="95"/>
        <v>24500</v>
      </c>
      <c r="R479" s="18">
        <v>0.18</v>
      </c>
      <c r="S479" s="16">
        <f t="shared" si="96"/>
        <v>4410</v>
      </c>
      <c r="T479" s="16">
        <f t="shared" si="97"/>
        <v>28910</v>
      </c>
      <c r="U479" s="16" t="s">
        <v>485</v>
      </c>
      <c r="V479" s="19" t="s">
        <v>486</v>
      </c>
      <c r="W479" s="142"/>
    </row>
    <row r="480" spans="1:23" x14ac:dyDescent="0.3">
      <c r="A480" s="1"/>
      <c r="B480" s="1"/>
      <c r="C480" s="1"/>
      <c r="D480" s="1"/>
      <c r="E480" s="120"/>
      <c r="F480" s="114" t="s">
        <v>500</v>
      </c>
      <c r="G480" s="16">
        <v>1</v>
      </c>
      <c r="H480" s="16" t="s">
        <v>225</v>
      </c>
      <c r="I480" s="16">
        <v>47040</v>
      </c>
      <c r="J480" s="16">
        <f t="shared" si="94"/>
        <v>47040</v>
      </c>
      <c r="K480" s="16"/>
      <c r="L480" s="16"/>
      <c r="M480" s="16"/>
      <c r="N480" s="16"/>
      <c r="O480" s="16">
        <v>1</v>
      </c>
      <c r="P480" s="16">
        <v>47040</v>
      </c>
      <c r="Q480" s="16">
        <f t="shared" si="95"/>
        <v>47040</v>
      </c>
      <c r="R480" s="18">
        <v>0.18</v>
      </c>
      <c r="S480" s="16">
        <f t="shared" si="96"/>
        <v>8467.1999999999989</v>
      </c>
      <c r="T480" s="16">
        <f t="shared" si="97"/>
        <v>55507.199999999997</v>
      </c>
      <c r="U480" s="16" t="s">
        <v>485</v>
      </c>
      <c r="V480" s="19" t="s">
        <v>486</v>
      </c>
      <c r="W480" s="142"/>
    </row>
    <row r="481" spans="1:23" x14ac:dyDescent="0.3">
      <c r="A481" s="1"/>
      <c r="B481" s="1"/>
      <c r="C481" s="1"/>
      <c r="D481" s="1"/>
      <c r="E481" s="16" t="s">
        <v>123</v>
      </c>
      <c r="F481" s="114" t="s">
        <v>501</v>
      </c>
      <c r="G481" s="16">
        <v>10</v>
      </c>
      <c r="H481" s="16" t="s">
        <v>141</v>
      </c>
      <c r="I481" s="16">
        <v>235</v>
      </c>
      <c r="J481" s="16">
        <f t="shared" si="94"/>
        <v>2350</v>
      </c>
      <c r="K481" s="16">
        <v>10</v>
      </c>
      <c r="L481" s="16" t="s">
        <v>141</v>
      </c>
      <c r="M481" s="16" t="s">
        <v>91</v>
      </c>
      <c r="N481" s="16" t="s">
        <v>484</v>
      </c>
      <c r="O481" s="16">
        <v>10</v>
      </c>
      <c r="P481" s="16">
        <v>235</v>
      </c>
      <c r="Q481" s="16">
        <f t="shared" si="95"/>
        <v>2350</v>
      </c>
      <c r="R481" s="18">
        <v>0.18</v>
      </c>
      <c r="S481" s="16">
        <f t="shared" si="96"/>
        <v>423</v>
      </c>
      <c r="T481" s="16">
        <f t="shared" si="97"/>
        <v>2773</v>
      </c>
      <c r="U481" s="16" t="s">
        <v>485</v>
      </c>
      <c r="V481" s="19" t="s">
        <v>486</v>
      </c>
      <c r="W481" s="142"/>
    </row>
    <row r="482" spans="1:23" x14ac:dyDescent="0.3">
      <c r="A482" s="219" t="s">
        <v>39</v>
      </c>
      <c r="B482" s="219"/>
      <c r="C482" s="219"/>
      <c r="D482" s="219"/>
      <c r="E482" s="219"/>
      <c r="F482" s="219"/>
      <c r="G482" s="219"/>
      <c r="H482" s="219"/>
      <c r="I482" s="219"/>
      <c r="J482" s="124">
        <f>SUM(J470:J481)</f>
        <v>273288</v>
      </c>
      <c r="K482" s="1"/>
      <c r="L482" s="1"/>
      <c r="M482" s="1"/>
      <c r="N482" s="1"/>
      <c r="O482" s="1"/>
      <c r="P482" s="1"/>
      <c r="Q482" s="1"/>
      <c r="R482" s="1"/>
      <c r="S482" s="1"/>
      <c r="T482" s="1">
        <f>SUM(T470:T481)</f>
        <v>305605.83999999997</v>
      </c>
      <c r="U482" s="1"/>
      <c r="V482" s="1"/>
      <c r="W482" s="142"/>
    </row>
    <row r="483" spans="1:23" x14ac:dyDescent="0.3">
      <c r="A483" s="219" t="s">
        <v>187</v>
      </c>
      <c r="B483" s="219"/>
      <c r="C483" s="219"/>
      <c r="D483" s="219"/>
      <c r="E483" s="219"/>
      <c r="F483" s="219"/>
      <c r="G483" s="219"/>
      <c r="H483" s="219"/>
      <c r="I483" s="219"/>
      <c r="J483" s="124">
        <f>J482*18/100</f>
        <v>49191.839999999997</v>
      </c>
      <c r="K483" s="1"/>
      <c r="L483" s="1"/>
      <c r="M483" s="1"/>
      <c r="N483" s="1"/>
      <c r="O483" s="1"/>
      <c r="P483" s="1"/>
      <c r="Q483" s="1"/>
      <c r="R483" s="1"/>
      <c r="S483" s="1"/>
      <c r="T483" s="1"/>
      <c r="U483" s="1"/>
      <c r="V483" s="1"/>
      <c r="W483" s="142"/>
    </row>
    <row r="484" spans="1:23" x14ac:dyDescent="0.3">
      <c r="A484" s="219" t="s">
        <v>41</v>
      </c>
      <c r="B484" s="219"/>
      <c r="C484" s="219"/>
      <c r="D484" s="219"/>
      <c r="E484" s="219"/>
      <c r="F484" s="219"/>
      <c r="G484" s="219"/>
      <c r="H484" s="219"/>
      <c r="I484" s="219"/>
      <c r="J484" s="124">
        <f>SUM(J482:J483)</f>
        <v>322479.83999999997</v>
      </c>
      <c r="K484" s="1"/>
      <c r="L484" s="1"/>
      <c r="M484" s="1"/>
      <c r="N484" s="1"/>
      <c r="O484" s="1"/>
      <c r="P484" s="1"/>
      <c r="Q484" s="1"/>
      <c r="R484" s="1"/>
      <c r="S484" s="1"/>
      <c r="T484" s="1"/>
      <c r="U484" s="1"/>
      <c r="V484" s="1"/>
      <c r="W484" s="142"/>
    </row>
    <row r="485" spans="1:23" x14ac:dyDescent="0.3">
      <c r="A485" s="1"/>
      <c r="B485" s="1"/>
      <c r="C485" s="1"/>
      <c r="D485" s="1"/>
      <c r="E485" s="1"/>
      <c r="F485" s="1"/>
      <c r="G485" s="1"/>
      <c r="H485" s="1"/>
      <c r="I485" s="1"/>
      <c r="J485" s="1"/>
      <c r="K485" s="1"/>
      <c r="L485" s="1"/>
      <c r="M485" s="1"/>
      <c r="N485" s="1"/>
      <c r="O485" s="1"/>
      <c r="P485" s="1"/>
      <c r="Q485" s="1"/>
      <c r="R485" s="1"/>
      <c r="S485" s="1"/>
      <c r="T485" s="1"/>
      <c r="U485" s="1"/>
      <c r="V485" s="1"/>
      <c r="W485" s="142"/>
    </row>
    <row r="486" spans="1:23" x14ac:dyDescent="0.3">
      <c r="A486" s="1">
        <v>46</v>
      </c>
      <c r="B486" s="16">
        <v>8100015093</v>
      </c>
      <c r="C486" s="16" t="s">
        <v>482</v>
      </c>
      <c r="D486" s="38" t="s">
        <v>502</v>
      </c>
      <c r="E486" s="38"/>
      <c r="F486" s="16" t="s">
        <v>503</v>
      </c>
      <c r="G486" s="16">
        <v>50</v>
      </c>
      <c r="H486" s="16" t="s">
        <v>28</v>
      </c>
      <c r="I486" s="16">
        <v>990</v>
      </c>
      <c r="J486" s="16">
        <f>G486*I486</f>
        <v>49500</v>
      </c>
      <c r="K486" s="16"/>
      <c r="L486" s="16"/>
      <c r="M486" s="16"/>
      <c r="N486" s="16"/>
      <c r="O486" s="16">
        <v>50</v>
      </c>
      <c r="P486" s="16">
        <v>990</v>
      </c>
      <c r="Q486" s="16">
        <f>O486*P486</f>
        <v>49500</v>
      </c>
      <c r="R486" s="18">
        <v>0.18</v>
      </c>
      <c r="S486" s="16">
        <f>Q486*R486</f>
        <v>8910</v>
      </c>
      <c r="T486" s="16">
        <f>Q486+S486</f>
        <v>58410</v>
      </c>
      <c r="U486" s="16" t="s">
        <v>504</v>
      </c>
      <c r="V486" s="19">
        <v>45484</v>
      </c>
      <c r="W486" s="142"/>
    </row>
    <row r="487" spans="1:23" ht="25.2" x14ac:dyDescent="0.3">
      <c r="A487" s="1"/>
      <c r="B487" s="16"/>
      <c r="C487" s="16"/>
      <c r="D487" s="16"/>
      <c r="E487" s="16"/>
      <c r="F487" s="39" t="s">
        <v>505</v>
      </c>
      <c r="G487" s="16">
        <v>5</v>
      </c>
      <c r="H487" s="16" t="s">
        <v>28</v>
      </c>
      <c r="I487" s="16">
        <v>450</v>
      </c>
      <c r="J487" s="16">
        <f t="shared" ref="J487:J488" si="98">G487*I487</f>
        <v>2250</v>
      </c>
      <c r="K487" s="16"/>
      <c r="L487" s="16"/>
      <c r="M487" s="16"/>
      <c r="N487" s="16"/>
      <c r="O487" s="16">
        <v>5</v>
      </c>
      <c r="P487" s="16">
        <v>450</v>
      </c>
      <c r="Q487" s="16">
        <f t="shared" ref="Q487:Q488" si="99">O487*P487</f>
        <v>2250</v>
      </c>
      <c r="R487" s="18">
        <v>0.18</v>
      </c>
      <c r="S487" s="16">
        <f t="shared" ref="S487:S488" si="100">Q487*R487</f>
        <v>405</v>
      </c>
      <c r="T487" s="16">
        <f t="shared" ref="T487:T488" si="101">Q487+S487</f>
        <v>2655</v>
      </c>
      <c r="U487" s="16" t="s">
        <v>504</v>
      </c>
      <c r="V487" s="19">
        <v>45484</v>
      </c>
      <c r="W487" s="142"/>
    </row>
    <row r="488" spans="1:23" x14ac:dyDescent="0.3">
      <c r="A488" s="1"/>
      <c r="B488" s="16"/>
      <c r="C488" s="16"/>
      <c r="D488" s="16"/>
      <c r="E488" s="16"/>
      <c r="F488" s="16" t="s">
        <v>323</v>
      </c>
      <c r="G488" s="16">
        <v>1</v>
      </c>
      <c r="H488" s="16" t="s">
        <v>87</v>
      </c>
      <c r="I488" s="16">
        <v>2000</v>
      </c>
      <c r="J488" s="16">
        <f t="shared" si="98"/>
        <v>2000</v>
      </c>
      <c r="K488" s="16"/>
      <c r="L488" s="16"/>
      <c r="M488" s="16"/>
      <c r="N488" s="16"/>
      <c r="O488" s="16">
        <v>1</v>
      </c>
      <c r="P488" s="16">
        <v>2000</v>
      </c>
      <c r="Q488" s="16">
        <f t="shared" si="99"/>
        <v>2000</v>
      </c>
      <c r="R488" s="18">
        <v>0.18</v>
      </c>
      <c r="S488" s="16">
        <f t="shared" si="100"/>
        <v>360</v>
      </c>
      <c r="T488" s="16">
        <f t="shared" si="101"/>
        <v>2360</v>
      </c>
      <c r="U488" s="16" t="s">
        <v>504</v>
      </c>
      <c r="V488" s="19">
        <v>45484</v>
      </c>
      <c r="W488" s="142"/>
    </row>
    <row r="489" spans="1:23" x14ac:dyDescent="0.3">
      <c r="A489" s="219" t="s">
        <v>39</v>
      </c>
      <c r="B489" s="219"/>
      <c r="C489" s="219"/>
      <c r="D489" s="219"/>
      <c r="E489" s="219"/>
      <c r="F489" s="219"/>
      <c r="G489" s="219"/>
      <c r="H489" s="219"/>
      <c r="I489" s="219"/>
      <c r="J489" s="1">
        <f>SUM(J486:J488)</f>
        <v>53750</v>
      </c>
      <c r="K489" s="1"/>
      <c r="L489" s="1"/>
      <c r="M489" s="1"/>
      <c r="N489" s="1"/>
      <c r="O489" s="1"/>
      <c r="P489" s="1"/>
      <c r="Q489" s="1"/>
      <c r="R489" s="1"/>
      <c r="S489" s="1"/>
      <c r="T489" s="1"/>
      <c r="U489" s="1"/>
      <c r="V489" s="1"/>
      <c r="W489" s="142"/>
    </row>
    <row r="490" spans="1:23" x14ac:dyDescent="0.3">
      <c r="A490" s="219" t="s">
        <v>82</v>
      </c>
      <c r="B490" s="219"/>
      <c r="C490" s="219"/>
      <c r="D490" s="219"/>
      <c r="E490" s="219"/>
      <c r="F490" s="219"/>
      <c r="G490" s="219"/>
      <c r="H490" s="219"/>
      <c r="I490" s="219"/>
      <c r="J490" s="1">
        <f>J489*18/100</f>
        <v>9675</v>
      </c>
      <c r="K490" s="1"/>
      <c r="L490" s="1"/>
      <c r="M490" s="1"/>
      <c r="N490" s="1"/>
      <c r="O490" s="1"/>
      <c r="P490" s="1"/>
      <c r="Q490" s="1"/>
      <c r="R490" s="1"/>
      <c r="S490" s="1"/>
      <c r="T490" s="1"/>
      <c r="U490" s="1"/>
      <c r="V490" s="1"/>
      <c r="W490" s="142"/>
    </row>
    <row r="491" spans="1:23" x14ac:dyDescent="0.3">
      <c r="A491" s="219" t="s">
        <v>41</v>
      </c>
      <c r="B491" s="219"/>
      <c r="C491" s="219"/>
      <c r="D491" s="219"/>
      <c r="E491" s="219"/>
      <c r="F491" s="219"/>
      <c r="G491" s="219"/>
      <c r="H491" s="219"/>
      <c r="I491" s="219"/>
      <c r="J491" s="124">
        <f>SUM(J489:J490)</f>
        <v>63425</v>
      </c>
      <c r="K491" s="1"/>
      <c r="L491" s="1"/>
      <c r="M491" s="1"/>
      <c r="N491" s="1"/>
      <c r="O491" s="1"/>
      <c r="P491" s="1"/>
      <c r="Q491" s="1"/>
      <c r="R491" s="1"/>
      <c r="S491" s="1"/>
      <c r="T491" s="1"/>
      <c r="U491" s="1"/>
      <c r="V491" s="1"/>
      <c r="W491" s="142"/>
    </row>
    <row r="492" spans="1:23" x14ac:dyDescent="0.3">
      <c r="A492" s="1"/>
      <c r="B492" s="1"/>
      <c r="C492" s="1"/>
      <c r="D492" s="1"/>
      <c r="E492" s="1"/>
      <c r="F492" s="1"/>
      <c r="G492" s="1"/>
      <c r="H492" s="1"/>
      <c r="I492" s="1"/>
      <c r="J492" s="1"/>
      <c r="K492" s="1"/>
      <c r="L492" s="1"/>
      <c r="M492" s="1"/>
      <c r="N492" s="1"/>
      <c r="O492" s="1"/>
      <c r="P492" s="1"/>
      <c r="Q492" s="1"/>
      <c r="R492" s="1"/>
      <c r="S492" s="1"/>
      <c r="T492" s="1"/>
      <c r="U492" s="1"/>
      <c r="V492" s="1"/>
      <c r="W492" s="142"/>
    </row>
    <row r="493" spans="1:23" x14ac:dyDescent="0.3">
      <c r="A493" s="16">
        <v>47</v>
      </c>
      <c r="B493" s="16">
        <v>8100015233</v>
      </c>
      <c r="C493" s="16" t="s">
        <v>386</v>
      </c>
      <c r="D493" s="16" t="s">
        <v>43</v>
      </c>
      <c r="E493" s="16"/>
      <c r="F493" s="39" t="s">
        <v>506</v>
      </c>
      <c r="G493" s="16">
        <v>18</v>
      </c>
      <c r="H493" s="16" t="s">
        <v>28</v>
      </c>
      <c r="I493" s="16">
        <v>5800</v>
      </c>
      <c r="J493" s="16">
        <f>G493*I493</f>
        <v>104400</v>
      </c>
      <c r="K493" s="16"/>
      <c r="L493" s="16"/>
      <c r="M493" s="16"/>
      <c r="N493" s="16"/>
      <c r="O493" s="16">
        <v>18</v>
      </c>
      <c r="P493" s="16">
        <v>5800</v>
      </c>
      <c r="Q493" s="16">
        <f>O493*P493</f>
        <v>104400</v>
      </c>
      <c r="R493" s="18">
        <v>0</v>
      </c>
      <c r="S493" s="16">
        <f>Q493*R493</f>
        <v>0</v>
      </c>
      <c r="T493" s="16">
        <f>Q493+S493</f>
        <v>104400</v>
      </c>
      <c r="U493" s="16" t="s">
        <v>507</v>
      </c>
      <c r="V493" s="19" t="s">
        <v>508</v>
      </c>
      <c r="W493" s="142"/>
    </row>
    <row r="494" spans="1:23" x14ac:dyDescent="0.3">
      <c r="A494" s="1"/>
      <c r="B494" s="1"/>
      <c r="C494" s="1"/>
      <c r="D494" s="1"/>
      <c r="E494" s="1"/>
      <c r="F494" s="16" t="s">
        <v>509</v>
      </c>
      <c r="G494" s="16">
        <v>1</v>
      </c>
      <c r="H494" s="16" t="s">
        <v>510</v>
      </c>
      <c r="I494" s="16">
        <v>1900</v>
      </c>
      <c r="J494" s="16">
        <f t="shared" ref="J494:J513" si="102">G494*I494</f>
        <v>1900</v>
      </c>
      <c r="K494" s="16"/>
      <c r="L494" s="16"/>
      <c r="M494" s="16"/>
      <c r="N494" s="16"/>
      <c r="O494" s="16">
        <v>1</v>
      </c>
      <c r="P494" s="16">
        <v>1900</v>
      </c>
      <c r="Q494" s="16">
        <f t="shared" ref="Q494:Q507" si="103">O494*P494</f>
        <v>1900</v>
      </c>
      <c r="R494" s="18">
        <v>0</v>
      </c>
      <c r="S494" s="16">
        <f t="shared" ref="S494:S507" si="104">Q494*R494</f>
        <v>0</v>
      </c>
      <c r="T494" s="16">
        <f t="shared" ref="T494:T507" si="105">Q494+S494</f>
        <v>1900</v>
      </c>
      <c r="U494" s="16" t="s">
        <v>507</v>
      </c>
      <c r="V494" s="19" t="s">
        <v>508</v>
      </c>
      <c r="W494" s="142"/>
    </row>
    <row r="495" spans="1:23" x14ac:dyDescent="0.3">
      <c r="A495" s="1"/>
      <c r="B495" s="1"/>
      <c r="C495" s="1"/>
      <c r="D495" s="1"/>
      <c r="E495" s="1"/>
      <c r="F495" s="16" t="s">
        <v>511</v>
      </c>
      <c r="G495" s="16">
        <v>12</v>
      </c>
      <c r="H495" s="16" t="s">
        <v>28</v>
      </c>
      <c r="I495" s="16">
        <v>14</v>
      </c>
      <c r="J495" s="16">
        <f t="shared" si="102"/>
        <v>168</v>
      </c>
      <c r="K495" s="16"/>
      <c r="L495" s="16"/>
      <c r="M495" s="16"/>
      <c r="N495" s="16"/>
      <c r="O495" s="16">
        <v>12</v>
      </c>
      <c r="P495" s="16">
        <v>14</v>
      </c>
      <c r="Q495" s="16">
        <f t="shared" si="103"/>
        <v>168</v>
      </c>
      <c r="R495" s="18">
        <v>0</v>
      </c>
      <c r="S495" s="16">
        <f t="shared" si="104"/>
        <v>0</v>
      </c>
      <c r="T495" s="16">
        <f t="shared" si="105"/>
        <v>168</v>
      </c>
      <c r="U495" s="16" t="s">
        <v>507</v>
      </c>
      <c r="V495" s="19" t="s">
        <v>508</v>
      </c>
      <c r="W495" s="142"/>
    </row>
    <row r="496" spans="1:23" x14ac:dyDescent="0.3">
      <c r="A496" s="1"/>
      <c r="B496" s="1"/>
      <c r="C496" s="1"/>
      <c r="D496" s="1"/>
      <c r="E496" s="1"/>
      <c r="F496" s="16" t="s">
        <v>512</v>
      </c>
      <c r="G496" s="16">
        <v>24</v>
      </c>
      <c r="H496" s="16" t="s">
        <v>28</v>
      </c>
      <c r="I496" s="16">
        <v>14</v>
      </c>
      <c r="J496" s="16">
        <f t="shared" si="102"/>
        <v>336</v>
      </c>
      <c r="K496" s="16"/>
      <c r="L496" s="16"/>
      <c r="M496" s="16"/>
      <c r="N496" s="16"/>
      <c r="O496" s="16">
        <v>24</v>
      </c>
      <c r="P496" s="16">
        <v>14</v>
      </c>
      <c r="Q496" s="16">
        <f t="shared" si="103"/>
        <v>336</v>
      </c>
      <c r="R496" s="18">
        <v>0</v>
      </c>
      <c r="S496" s="16">
        <f t="shared" si="104"/>
        <v>0</v>
      </c>
      <c r="T496" s="16">
        <f t="shared" si="105"/>
        <v>336</v>
      </c>
      <c r="U496" s="16" t="s">
        <v>507</v>
      </c>
      <c r="V496" s="19" t="s">
        <v>508</v>
      </c>
      <c r="W496" s="142"/>
    </row>
    <row r="497" spans="1:23" x14ac:dyDescent="0.3">
      <c r="A497" s="1"/>
      <c r="B497" s="1"/>
      <c r="C497" s="1"/>
      <c r="D497" s="1"/>
      <c r="E497" s="1"/>
      <c r="F497" s="16" t="s">
        <v>513</v>
      </c>
      <c r="G497" s="16">
        <v>10</v>
      </c>
      <c r="H497" s="16" t="s">
        <v>28</v>
      </c>
      <c r="I497" s="16">
        <v>170</v>
      </c>
      <c r="J497" s="16">
        <f t="shared" si="102"/>
        <v>1700</v>
      </c>
      <c r="K497" s="16"/>
      <c r="L497" s="16"/>
      <c r="M497" s="16"/>
      <c r="N497" s="16"/>
      <c r="O497" s="16">
        <v>10</v>
      </c>
      <c r="P497" s="16">
        <v>170</v>
      </c>
      <c r="Q497" s="16">
        <f t="shared" si="103"/>
        <v>1700</v>
      </c>
      <c r="R497" s="18">
        <v>0</v>
      </c>
      <c r="S497" s="16">
        <f t="shared" si="104"/>
        <v>0</v>
      </c>
      <c r="T497" s="16">
        <f t="shared" si="105"/>
        <v>1700</v>
      </c>
      <c r="U497" s="16" t="s">
        <v>507</v>
      </c>
      <c r="V497" s="19" t="s">
        <v>508</v>
      </c>
      <c r="W497" s="142"/>
    </row>
    <row r="498" spans="1:23" x14ac:dyDescent="0.3">
      <c r="A498" s="1"/>
      <c r="B498" s="1"/>
      <c r="C498" s="1"/>
      <c r="D498" s="1"/>
      <c r="E498" s="1"/>
      <c r="F498" s="16" t="s">
        <v>514</v>
      </c>
      <c r="G498" s="16">
        <v>10</v>
      </c>
      <c r="H498" s="16" t="s">
        <v>28</v>
      </c>
      <c r="I498" s="16">
        <v>35</v>
      </c>
      <c r="J498" s="16">
        <f t="shared" si="102"/>
        <v>350</v>
      </c>
      <c r="K498" s="16"/>
      <c r="L498" s="16"/>
      <c r="M498" s="16"/>
      <c r="N498" s="16"/>
      <c r="O498" s="16">
        <v>10</v>
      </c>
      <c r="P498" s="16">
        <v>35</v>
      </c>
      <c r="Q498" s="16">
        <f t="shared" si="103"/>
        <v>350</v>
      </c>
      <c r="R498" s="18">
        <v>0</v>
      </c>
      <c r="S498" s="16">
        <f t="shared" si="104"/>
        <v>0</v>
      </c>
      <c r="T498" s="16">
        <f t="shared" si="105"/>
        <v>350</v>
      </c>
      <c r="U498" s="16" t="s">
        <v>507</v>
      </c>
      <c r="V498" s="19" t="s">
        <v>508</v>
      </c>
      <c r="W498" s="142"/>
    </row>
    <row r="499" spans="1:23" x14ac:dyDescent="0.3">
      <c r="A499" s="1"/>
      <c r="B499" s="1"/>
      <c r="C499" s="1"/>
      <c r="D499" s="1"/>
      <c r="E499" s="1"/>
      <c r="F499" s="16" t="s">
        <v>515</v>
      </c>
      <c r="G499" s="16">
        <v>10</v>
      </c>
      <c r="H499" s="16" t="s">
        <v>28</v>
      </c>
      <c r="I499" s="16">
        <v>35</v>
      </c>
      <c r="J499" s="16">
        <f t="shared" si="102"/>
        <v>350</v>
      </c>
      <c r="K499" s="16"/>
      <c r="L499" s="16"/>
      <c r="M499" s="16"/>
      <c r="N499" s="16"/>
      <c r="O499" s="16">
        <v>10</v>
      </c>
      <c r="P499" s="16">
        <v>35</v>
      </c>
      <c r="Q499" s="16">
        <f t="shared" si="103"/>
        <v>350</v>
      </c>
      <c r="R499" s="18">
        <v>0</v>
      </c>
      <c r="S499" s="16">
        <f t="shared" si="104"/>
        <v>0</v>
      </c>
      <c r="T499" s="16">
        <f t="shared" si="105"/>
        <v>350</v>
      </c>
      <c r="U499" s="16" t="s">
        <v>507</v>
      </c>
      <c r="V499" s="19" t="s">
        <v>508</v>
      </c>
      <c r="W499" s="142"/>
    </row>
    <row r="500" spans="1:23" x14ac:dyDescent="0.3">
      <c r="A500" s="1"/>
      <c r="B500" s="1"/>
      <c r="C500" s="1"/>
      <c r="D500" s="1"/>
      <c r="E500" s="1"/>
      <c r="F500" s="16" t="s">
        <v>516</v>
      </c>
      <c r="G500" s="16">
        <v>4</v>
      </c>
      <c r="H500" s="16" t="s">
        <v>57</v>
      </c>
      <c r="I500" s="16">
        <v>215</v>
      </c>
      <c r="J500" s="16">
        <f t="shared" si="102"/>
        <v>860</v>
      </c>
      <c r="K500" s="16"/>
      <c r="L500" s="16"/>
      <c r="M500" s="16"/>
      <c r="N500" s="16"/>
      <c r="O500" s="16">
        <v>4</v>
      </c>
      <c r="P500" s="16">
        <v>215</v>
      </c>
      <c r="Q500" s="16">
        <f t="shared" si="103"/>
        <v>860</v>
      </c>
      <c r="R500" s="18">
        <v>0</v>
      </c>
      <c r="S500" s="16">
        <f t="shared" si="104"/>
        <v>0</v>
      </c>
      <c r="T500" s="16">
        <f t="shared" si="105"/>
        <v>860</v>
      </c>
      <c r="U500" s="16" t="s">
        <v>507</v>
      </c>
      <c r="V500" s="19" t="s">
        <v>508</v>
      </c>
      <c r="W500" s="142"/>
    </row>
    <row r="501" spans="1:23" x14ac:dyDescent="0.3">
      <c r="A501" s="1"/>
      <c r="B501" s="1"/>
      <c r="C501" s="1"/>
      <c r="D501" s="1"/>
      <c r="E501" s="1"/>
      <c r="F501" s="16" t="s">
        <v>517</v>
      </c>
      <c r="G501" s="16">
        <v>20</v>
      </c>
      <c r="H501" s="16" t="s">
        <v>28</v>
      </c>
      <c r="I501" s="16">
        <v>16</v>
      </c>
      <c r="J501" s="16">
        <f t="shared" si="102"/>
        <v>320</v>
      </c>
      <c r="K501" s="16"/>
      <c r="L501" s="16"/>
      <c r="M501" s="16"/>
      <c r="N501" s="16"/>
      <c r="O501" s="16">
        <v>20</v>
      </c>
      <c r="P501" s="16">
        <v>16</v>
      </c>
      <c r="Q501" s="16">
        <f t="shared" si="103"/>
        <v>320</v>
      </c>
      <c r="R501" s="18">
        <v>0</v>
      </c>
      <c r="S501" s="16">
        <f t="shared" si="104"/>
        <v>0</v>
      </c>
      <c r="T501" s="16">
        <f t="shared" si="105"/>
        <v>320</v>
      </c>
      <c r="U501" s="16" t="s">
        <v>507</v>
      </c>
      <c r="V501" s="19" t="s">
        <v>508</v>
      </c>
      <c r="W501" s="142"/>
    </row>
    <row r="502" spans="1:23" x14ac:dyDescent="0.3">
      <c r="A502" s="1"/>
      <c r="B502" s="1"/>
      <c r="C502" s="1"/>
      <c r="D502" s="1"/>
      <c r="E502" s="1"/>
      <c r="F502" s="16" t="s">
        <v>518</v>
      </c>
      <c r="G502" s="16">
        <v>20</v>
      </c>
      <c r="H502" s="16" t="s">
        <v>28</v>
      </c>
      <c r="I502" s="16">
        <v>22</v>
      </c>
      <c r="J502" s="16">
        <f t="shared" si="102"/>
        <v>440</v>
      </c>
      <c r="K502" s="16"/>
      <c r="L502" s="16"/>
      <c r="M502" s="16"/>
      <c r="N502" s="16"/>
      <c r="O502" s="16">
        <v>20</v>
      </c>
      <c r="P502" s="16">
        <v>22</v>
      </c>
      <c r="Q502" s="16">
        <f t="shared" si="103"/>
        <v>440</v>
      </c>
      <c r="R502" s="18">
        <v>0</v>
      </c>
      <c r="S502" s="16">
        <f t="shared" si="104"/>
        <v>0</v>
      </c>
      <c r="T502" s="16">
        <f t="shared" si="105"/>
        <v>440</v>
      </c>
      <c r="U502" s="16" t="s">
        <v>507</v>
      </c>
      <c r="V502" s="19" t="s">
        <v>508</v>
      </c>
      <c r="W502" s="142"/>
    </row>
    <row r="503" spans="1:23" x14ac:dyDescent="0.3">
      <c r="A503" s="1"/>
      <c r="B503" s="1"/>
      <c r="C503" s="1"/>
      <c r="D503" s="1"/>
      <c r="E503" s="1"/>
      <c r="F503" s="16" t="s">
        <v>519</v>
      </c>
      <c r="G503" s="16">
        <v>6</v>
      </c>
      <c r="H503" s="16" t="s">
        <v>28</v>
      </c>
      <c r="I503" s="16">
        <v>138</v>
      </c>
      <c r="J503" s="16">
        <f t="shared" si="102"/>
        <v>828</v>
      </c>
      <c r="K503" s="16"/>
      <c r="L503" s="16"/>
      <c r="M503" s="16"/>
      <c r="N503" s="16"/>
      <c r="O503" s="16">
        <v>6</v>
      </c>
      <c r="P503" s="16">
        <v>138</v>
      </c>
      <c r="Q503" s="16">
        <f t="shared" si="103"/>
        <v>828</v>
      </c>
      <c r="R503" s="18">
        <v>0</v>
      </c>
      <c r="S503" s="16">
        <f t="shared" si="104"/>
        <v>0</v>
      </c>
      <c r="T503" s="16">
        <f t="shared" si="105"/>
        <v>828</v>
      </c>
      <c r="U503" s="16" t="s">
        <v>507</v>
      </c>
      <c r="V503" s="19" t="s">
        <v>508</v>
      </c>
      <c r="W503" s="142"/>
    </row>
    <row r="504" spans="1:23" x14ac:dyDescent="0.3">
      <c r="A504" s="1"/>
      <c r="B504" s="1"/>
      <c r="C504" s="1"/>
      <c r="D504" s="1"/>
      <c r="E504" s="1"/>
      <c r="F504" s="16" t="s">
        <v>520</v>
      </c>
      <c r="G504" s="16">
        <v>1</v>
      </c>
      <c r="H504" s="16" t="s">
        <v>28</v>
      </c>
      <c r="I504" s="16">
        <v>1450</v>
      </c>
      <c r="J504" s="16">
        <f t="shared" si="102"/>
        <v>1450</v>
      </c>
      <c r="K504" s="16"/>
      <c r="L504" s="16"/>
      <c r="M504" s="16"/>
      <c r="N504" s="16"/>
      <c r="O504" s="16">
        <v>1</v>
      </c>
      <c r="P504" s="16">
        <v>1450</v>
      </c>
      <c r="Q504" s="16">
        <f t="shared" si="103"/>
        <v>1450</v>
      </c>
      <c r="R504" s="18">
        <v>0</v>
      </c>
      <c r="S504" s="16">
        <f t="shared" si="104"/>
        <v>0</v>
      </c>
      <c r="T504" s="16">
        <f t="shared" si="105"/>
        <v>1450</v>
      </c>
      <c r="U504" s="16" t="s">
        <v>507</v>
      </c>
      <c r="V504" s="19" t="s">
        <v>508</v>
      </c>
      <c r="W504" s="142"/>
    </row>
    <row r="505" spans="1:23" x14ac:dyDescent="0.3">
      <c r="A505" s="1"/>
      <c r="B505" s="1"/>
      <c r="C505" s="1"/>
      <c r="D505" s="1"/>
      <c r="E505" s="1"/>
      <c r="F505" s="16" t="s">
        <v>521</v>
      </c>
      <c r="G505" s="16">
        <v>1</v>
      </c>
      <c r="H505" s="16" t="s">
        <v>28</v>
      </c>
      <c r="I505" s="16">
        <v>1000</v>
      </c>
      <c r="J505" s="16">
        <f t="shared" si="102"/>
        <v>1000</v>
      </c>
      <c r="K505" s="16"/>
      <c r="L505" s="16"/>
      <c r="M505" s="16"/>
      <c r="N505" s="16"/>
      <c r="O505" s="16">
        <v>1</v>
      </c>
      <c r="P505" s="16">
        <v>1000</v>
      </c>
      <c r="Q505" s="16">
        <f t="shared" si="103"/>
        <v>1000</v>
      </c>
      <c r="R505" s="18">
        <v>0</v>
      </c>
      <c r="S505" s="16">
        <f t="shared" si="104"/>
        <v>0</v>
      </c>
      <c r="T505" s="16">
        <f t="shared" si="105"/>
        <v>1000</v>
      </c>
      <c r="U505" s="16" t="s">
        <v>507</v>
      </c>
      <c r="V505" s="19" t="s">
        <v>508</v>
      </c>
      <c r="W505" s="142"/>
    </row>
    <row r="506" spans="1:23" x14ac:dyDescent="0.3">
      <c r="A506" s="1"/>
      <c r="B506" s="1"/>
      <c r="C506" s="1"/>
      <c r="D506" s="1"/>
      <c r="E506" s="1"/>
      <c r="F506" s="16" t="s">
        <v>522</v>
      </c>
      <c r="G506" s="16">
        <v>400</v>
      </c>
      <c r="H506" s="16" t="s">
        <v>60</v>
      </c>
      <c r="I506" s="16">
        <v>85</v>
      </c>
      <c r="J506" s="16">
        <f t="shared" si="102"/>
        <v>34000</v>
      </c>
      <c r="K506" s="16"/>
      <c r="L506" s="16"/>
      <c r="M506" s="16"/>
      <c r="N506" s="16"/>
      <c r="O506" s="16">
        <v>400</v>
      </c>
      <c r="P506" s="16">
        <v>85</v>
      </c>
      <c r="Q506" s="16">
        <f t="shared" si="103"/>
        <v>34000</v>
      </c>
      <c r="R506" s="18">
        <v>0</v>
      </c>
      <c r="S506" s="16">
        <f t="shared" si="104"/>
        <v>0</v>
      </c>
      <c r="T506" s="16">
        <f t="shared" si="105"/>
        <v>34000</v>
      </c>
      <c r="U506" s="16" t="s">
        <v>507</v>
      </c>
      <c r="V506" s="19" t="s">
        <v>508</v>
      </c>
      <c r="W506" s="142"/>
    </row>
    <row r="507" spans="1:23" x14ac:dyDescent="0.3">
      <c r="A507" s="1"/>
      <c r="B507" s="1"/>
      <c r="C507" s="1"/>
      <c r="D507" s="1"/>
      <c r="E507" s="1"/>
      <c r="F507" s="16" t="s">
        <v>523</v>
      </c>
      <c r="G507" s="16">
        <v>25</v>
      </c>
      <c r="H507" s="16" t="s">
        <v>60</v>
      </c>
      <c r="I507" s="16">
        <v>260</v>
      </c>
      <c r="J507" s="16">
        <f t="shared" si="102"/>
        <v>6500</v>
      </c>
      <c r="K507" s="16"/>
      <c r="L507" s="16"/>
      <c r="M507" s="16"/>
      <c r="N507" s="16"/>
      <c r="O507" s="16">
        <v>25</v>
      </c>
      <c r="P507" s="16">
        <v>260</v>
      </c>
      <c r="Q507" s="16">
        <f t="shared" si="103"/>
        <v>6500</v>
      </c>
      <c r="R507" s="18">
        <v>0</v>
      </c>
      <c r="S507" s="16">
        <f t="shared" si="104"/>
        <v>0</v>
      </c>
      <c r="T507" s="16">
        <f t="shared" si="105"/>
        <v>6500</v>
      </c>
      <c r="U507" s="16" t="s">
        <v>507</v>
      </c>
      <c r="V507" s="19" t="s">
        <v>508</v>
      </c>
      <c r="W507" s="142"/>
    </row>
    <row r="508" spans="1:23" x14ac:dyDescent="0.3">
      <c r="A508" s="1"/>
      <c r="B508" s="1"/>
      <c r="C508" s="1"/>
      <c r="D508" s="1"/>
      <c r="E508" s="1"/>
      <c r="F508" s="16" t="s">
        <v>524</v>
      </c>
      <c r="G508" s="16">
        <v>25</v>
      </c>
      <c r="H508" s="16" t="s">
        <v>28</v>
      </c>
      <c r="I508" s="16">
        <v>14</v>
      </c>
      <c r="J508" s="16">
        <f t="shared" si="102"/>
        <v>350</v>
      </c>
      <c r="K508" s="16"/>
      <c r="L508" s="16"/>
      <c r="M508" s="16"/>
      <c r="N508" s="16"/>
      <c r="O508" s="97">
        <v>25</v>
      </c>
      <c r="P508" s="97">
        <v>14</v>
      </c>
      <c r="Q508" s="97">
        <f t="shared" ref="Q508:Q513" si="106">O508*P508</f>
        <v>350</v>
      </c>
      <c r="R508" s="111">
        <v>0</v>
      </c>
      <c r="S508" s="97">
        <f t="shared" ref="S508:S513" si="107">Q508*R508</f>
        <v>0</v>
      </c>
      <c r="T508" s="97">
        <f t="shared" ref="T508:T513" si="108">Q508+S508</f>
        <v>350</v>
      </c>
      <c r="U508" s="97" t="s">
        <v>525</v>
      </c>
      <c r="V508" s="110" t="s">
        <v>526</v>
      </c>
      <c r="W508" s="142" t="s">
        <v>200</v>
      </c>
    </row>
    <row r="509" spans="1:23" x14ac:dyDescent="0.3">
      <c r="A509" s="1"/>
      <c r="B509" s="1"/>
      <c r="C509" s="1"/>
      <c r="D509" s="1"/>
      <c r="E509" s="1"/>
      <c r="F509" s="16" t="s">
        <v>527</v>
      </c>
      <c r="G509" s="16">
        <v>10</v>
      </c>
      <c r="H509" s="16" t="s">
        <v>28</v>
      </c>
      <c r="I509" s="16">
        <v>14</v>
      </c>
      <c r="J509" s="16">
        <f t="shared" si="102"/>
        <v>140</v>
      </c>
      <c r="K509" s="16"/>
      <c r="L509" s="16"/>
      <c r="M509" s="16"/>
      <c r="N509" s="16"/>
      <c r="O509" s="97">
        <v>10</v>
      </c>
      <c r="P509" s="97">
        <v>14</v>
      </c>
      <c r="Q509" s="97">
        <f t="shared" si="106"/>
        <v>140</v>
      </c>
      <c r="R509" s="111">
        <v>0</v>
      </c>
      <c r="S509" s="97">
        <f t="shared" si="107"/>
        <v>0</v>
      </c>
      <c r="T509" s="97">
        <f t="shared" si="108"/>
        <v>140</v>
      </c>
      <c r="U509" s="97" t="s">
        <v>525</v>
      </c>
      <c r="V509" s="110" t="s">
        <v>526</v>
      </c>
      <c r="W509" s="142" t="s">
        <v>200</v>
      </c>
    </row>
    <row r="510" spans="1:23" x14ac:dyDescent="0.3">
      <c r="A510" s="1"/>
      <c r="B510" s="1"/>
      <c r="C510" s="1"/>
      <c r="D510" s="1"/>
      <c r="E510" s="1"/>
      <c r="F510" s="16" t="s">
        <v>528</v>
      </c>
      <c r="G510" s="16">
        <v>400</v>
      </c>
      <c r="H510" s="16" t="s">
        <v>60</v>
      </c>
      <c r="I510" s="16">
        <v>22</v>
      </c>
      <c r="J510" s="16">
        <f t="shared" si="102"/>
        <v>8800</v>
      </c>
      <c r="K510" s="16"/>
      <c r="L510" s="16"/>
      <c r="M510" s="16"/>
      <c r="N510" s="16"/>
      <c r="O510" s="97">
        <v>350</v>
      </c>
      <c r="P510" s="97">
        <v>22</v>
      </c>
      <c r="Q510" s="97">
        <f t="shared" si="106"/>
        <v>7700</v>
      </c>
      <c r="R510" s="111">
        <v>0</v>
      </c>
      <c r="S510" s="97">
        <f t="shared" si="107"/>
        <v>0</v>
      </c>
      <c r="T510" s="97">
        <f t="shared" si="108"/>
        <v>7700</v>
      </c>
      <c r="U510" s="97" t="s">
        <v>525</v>
      </c>
      <c r="V510" s="110" t="s">
        <v>526</v>
      </c>
      <c r="W510" s="142" t="s">
        <v>200</v>
      </c>
    </row>
    <row r="511" spans="1:23" x14ac:dyDescent="0.3">
      <c r="A511" s="1"/>
      <c r="B511" s="1"/>
      <c r="C511" s="1"/>
      <c r="D511" s="1"/>
      <c r="E511" s="1"/>
      <c r="F511" s="16" t="s">
        <v>529</v>
      </c>
      <c r="G511" s="16">
        <v>25</v>
      </c>
      <c r="H511" s="16" t="s">
        <v>60</v>
      </c>
      <c r="I511" s="16">
        <v>22</v>
      </c>
      <c r="J511" s="16">
        <f t="shared" si="102"/>
        <v>550</v>
      </c>
      <c r="K511" s="16"/>
      <c r="L511" s="16"/>
      <c r="M511" s="16"/>
      <c r="N511" s="16"/>
      <c r="O511" s="97">
        <v>25</v>
      </c>
      <c r="P511" s="97">
        <v>22</v>
      </c>
      <c r="Q511" s="97">
        <f t="shared" si="106"/>
        <v>550</v>
      </c>
      <c r="R511" s="111">
        <v>0</v>
      </c>
      <c r="S511" s="97">
        <f t="shared" si="107"/>
        <v>0</v>
      </c>
      <c r="T511" s="97">
        <f t="shared" si="108"/>
        <v>550</v>
      </c>
      <c r="U511" s="97" t="s">
        <v>525</v>
      </c>
      <c r="V511" s="110" t="s">
        <v>526</v>
      </c>
      <c r="W511" s="142" t="s">
        <v>200</v>
      </c>
    </row>
    <row r="512" spans="1:23" x14ac:dyDescent="0.3">
      <c r="A512" s="1"/>
      <c r="B512" s="1"/>
      <c r="C512" s="1"/>
      <c r="D512" s="1"/>
      <c r="E512" s="1"/>
      <c r="F512" s="16" t="s">
        <v>530</v>
      </c>
      <c r="G512" s="16">
        <v>1</v>
      </c>
      <c r="H512" s="16" t="s">
        <v>225</v>
      </c>
      <c r="I512" s="16">
        <v>1200</v>
      </c>
      <c r="J512" s="16">
        <f t="shared" si="102"/>
        <v>1200</v>
      </c>
      <c r="K512" s="16"/>
      <c r="L512" s="16"/>
      <c r="M512" s="16"/>
      <c r="N512" s="16"/>
      <c r="O512" s="97">
        <v>1</v>
      </c>
      <c r="P512" s="97">
        <v>1200</v>
      </c>
      <c r="Q512" s="97">
        <f t="shared" si="106"/>
        <v>1200</v>
      </c>
      <c r="R512" s="111">
        <v>0</v>
      </c>
      <c r="S512" s="97">
        <f t="shared" si="107"/>
        <v>0</v>
      </c>
      <c r="T512" s="97">
        <f t="shared" si="108"/>
        <v>1200</v>
      </c>
      <c r="U512" s="97" t="s">
        <v>525</v>
      </c>
      <c r="V512" s="110" t="s">
        <v>526</v>
      </c>
      <c r="W512" s="142" t="s">
        <v>200</v>
      </c>
    </row>
    <row r="513" spans="1:23" x14ac:dyDescent="0.3">
      <c r="A513" s="1"/>
      <c r="B513" s="1"/>
      <c r="C513" s="1"/>
      <c r="D513" s="1"/>
      <c r="E513" s="1"/>
      <c r="F513" s="16" t="s">
        <v>531</v>
      </c>
      <c r="G513" s="16">
        <v>18</v>
      </c>
      <c r="H513" s="16" t="s">
        <v>28</v>
      </c>
      <c r="I513" s="16">
        <v>300</v>
      </c>
      <c r="J513" s="16">
        <f t="shared" si="102"/>
        <v>5400</v>
      </c>
      <c r="K513" s="16"/>
      <c r="L513" s="16"/>
      <c r="M513" s="16"/>
      <c r="N513" s="16"/>
      <c r="O513" s="97">
        <v>18</v>
      </c>
      <c r="P513" s="97">
        <v>300</v>
      </c>
      <c r="Q513" s="97">
        <f t="shared" si="106"/>
        <v>5400</v>
      </c>
      <c r="R513" s="111">
        <v>0</v>
      </c>
      <c r="S513" s="97">
        <f t="shared" si="107"/>
        <v>0</v>
      </c>
      <c r="T513" s="97">
        <f t="shared" si="108"/>
        <v>5400</v>
      </c>
      <c r="U513" s="97" t="s">
        <v>525</v>
      </c>
      <c r="V513" s="110" t="s">
        <v>526</v>
      </c>
      <c r="W513" s="142" t="s">
        <v>200</v>
      </c>
    </row>
    <row r="514" spans="1:23" x14ac:dyDescent="0.3">
      <c r="A514" s="219" t="s">
        <v>39</v>
      </c>
      <c r="B514" s="219"/>
      <c r="C514" s="219"/>
      <c r="D514" s="219"/>
      <c r="E514" s="219"/>
      <c r="F514" s="219"/>
      <c r="G514" s="219"/>
      <c r="H514" s="219"/>
      <c r="I514" s="219"/>
      <c r="J514" s="124">
        <f>SUM(J493:J513)</f>
        <v>171042</v>
      </c>
      <c r="K514" s="1"/>
      <c r="L514" s="1"/>
      <c r="M514" s="1"/>
      <c r="N514" s="1"/>
      <c r="O514" s="1"/>
      <c r="P514" s="1"/>
      <c r="Q514" s="1"/>
      <c r="R514" s="1"/>
      <c r="S514" s="1"/>
      <c r="T514" s="1"/>
      <c r="U514" s="1"/>
      <c r="V514" s="1"/>
      <c r="W514" s="142"/>
    </row>
    <row r="515" spans="1:23" x14ac:dyDescent="0.3">
      <c r="A515" s="219" t="s">
        <v>82</v>
      </c>
      <c r="B515" s="219"/>
      <c r="C515" s="219"/>
      <c r="D515" s="219"/>
      <c r="E515" s="219"/>
      <c r="F515" s="219"/>
      <c r="G515" s="219"/>
      <c r="H515" s="219"/>
      <c r="I515" s="219"/>
      <c r="J515" s="124">
        <v>0</v>
      </c>
      <c r="K515" s="1"/>
      <c r="L515" s="1"/>
      <c r="M515" s="1"/>
      <c r="N515" s="1"/>
      <c r="O515" s="1"/>
      <c r="P515" s="1"/>
      <c r="Q515" s="1"/>
      <c r="R515" s="1"/>
      <c r="S515" s="1"/>
      <c r="T515" s="1"/>
      <c r="U515" s="1"/>
      <c r="V515" s="1"/>
      <c r="W515" s="142"/>
    </row>
    <row r="516" spans="1:23" x14ac:dyDescent="0.3">
      <c r="A516" s="219" t="s">
        <v>41</v>
      </c>
      <c r="B516" s="219"/>
      <c r="C516" s="219"/>
      <c r="D516" s="219"/>
      <c r="E516" s="219"/>
      <c r="F516" s="219"/>
      <c r="G516" s="219"/>
      <c r="H516" s="219"/>
      <c r="I516" s="219"/>
      <c r="J516" s="124">
        <f>SUM(J514:J515)</f>
        <v>171042</v>
      </c>
      <c r="K516" s="1"/>
      <c r="L516" s="1"/>
      <c r="M516" s="1"/>
      <c r="N516" s="1"/>
      <c r="O516" s="1"/>
      <c r="P516" s="1"/>
      <c r="Q516" s="1"/>
      <c r="R516" s="1"/>
      <c r="S516" s="1"/>
      <c r="T516" s="1">
        <f>SUM(T493:T515)</f>
        <v>169942</v>
      </c>
      <c r="U516" s="1"/>
      <c r="V516" s="1"/>
      <c r="W516" s="142"/>
    </row>
    <row r="517" spans="1:23" x14ac:dyDescent="0.3">
      <c r="A517" s="1"/>
      <c r="B517" s="1"/>
      <c r="C517" s="1"/>
      <c r="D517" s="1"/>
      <c r="E517" s="1"/>
      <c r="F517" s="1"/>
      <c r="G517" s="1"/>
      <c r="H517" s="1"/>
      <c r="I517" s="1"/>
      <c r="J517" s="1"/>
      <c r="K517" s="1"/>
      <c r="L517" s="1"/>
      <c r="M517" s="1"/>
      <c r="N517" s="1"/>
      <c r="O517" s="1"/>
      <c r="P517" s="1"/>
      <c r="Q517" s="1"/>
      <c r="R517" s="1"/>
      <c r="S517" s="1"/>
      <c r="T517" s="1"/>
      <c r="U517" s="1"/>
      <c r="V517" s="1"/>
      <c r="W517" s="142"/>
    </row>
    <row r="518" spans="1:23" x14ac:dyDescent="0.3">
      <c r="A518" s="16">
        <v>48</v>
      </c>
      <c r="B518" s="16">
        <v>8600051130</v>
      </c>
      <c r="C518" s="19">
        <v>45393</v>
      </c>
      <c r="D518" s="16" t="s">
        <v>43</v>
      </c>
      <c r="E518" s="16" t="s">
        <v>127</v>
      </c>
      <c r="F518" s="16" t="s">
        <v>532</v>
      </c>
      <c r="G518" s="16">
        <v>50</v>
      </c>
      <c r="H518" s="16" t="s">
        <v>28</v>
      </c>
      <c r="I518" s="16">
        <v>1191</v>
      </c>
      <c r="J518" s="16">
        <f>G518*I518</f>
        <v>59550</v>
      </c>
      <c r="K518" s="16"/>
      <c r="L518" s="16"/>
      <c r="M518" s="16"/>
      <c r="N518" s="16"/>
      <c r="O518" s="16">
        <v>50</v>
      </c>
      <c r="P518" s="16">
        <v>1191</v>
      </c>
      <c r="Q518" s="16">
        <f>O518*P518</f>
        <v>59550</v>
      </c>
      <c r="R518" s="18">
        <v>0</v>
      </c>
      <c r="S518" s="16">
        <f>Q518*R518</f>
        <v>0</v>
      </c>
      <c r="T518" s="16">
        <f>Q518+S518</f>
        <v>59550</v>
      </c>
      <c r="U518" s="16" t="s">
        <v>533</v>
      </c>
      <c r="V518" s="19">
        <v>45609</v>
      </c>
      <c r="W518" s="142" t="s">
        <v>200</v>
      </c>
    </row>
    <row r="519" spans="1:23" x14ac:dyDescent="0.3">
      <c r="A519" s="1"/>
      <c r="B519" s="1"/>
      <c r="C519" s="1"/>
      <c r="D519" s="1"/>
      <c r="E519" s="16" t="s">
        <v>127</v>
      </c>
      <c r="F519" s="16" t="s">
        <v>534</v>
      </c>
      <c r="G519" s="16">
        <v>18</v>
      </c>
      <c r="H519" s="16" t="s">
        <v>28</v>
      </c>
      <c r="I519" s="16">
        <v>4600</v>
      </c>
      <c r="J519" s="16">
        <f t="shared" ref="J519:J551" si="109">G519*I519</f>
        <v>82800</v>
      </c>
      <c r="K519" s="16"/>
      <c r="L519" s="16"/>
      <c r="M519" s="16"/>
      <c r="N519" s="16"/>
      <c r="O519" s="16">
        <v>18</v>
      </c>
      <c r="P519" s="16">
        <v>4600</v>
      </c>
      <c r="Q519" s="16">
        <f t="shared" ref="Q519:Q529" si="110">O519*P519</f>
        <v>82800</v>
      </c>
      <c r="R519" s="18">
        <v>0</v>
      </c>
      <c r="S519" s="16">
        <f t="shared" ref="S519:S529" si="111">Q519*R519</f>
        <v>0</v>
      </c>
      <c r="T519" s="16">
        <f t="shared" ref="T519:T525" si="112">Q519+S519</f>
        <v>82800</v>
      </c>
      <c r="U519" s="16" t="s">
        <v>533</v>
      </c>
      <c r="V519" s="19">
        <v>45609</v>
      </c>
      <c r="W519" s="142" t="s">
        <v>200</v>
      </c>
    </row>
    <row r="520" spans="1:23" x14ac:dyDescent="0.3">
      <c r="A520" s="1"/>
      <c r="B520" s="1"/>
      <c r="C520" s="1"/>
      <c r="D520" s="1"/>
      <c r="E520" s="16" t="s">
        <v>127</v>
      </c>
      <c r="F520" s="39" t="s">
        <v>391</v>
      </c>
      <c r="G520" s="16">
        <v>5</v>
      </c>
      <c r="H520" s="16" t="s">
        <v>28</v>
      </c>
      <c r="I520" s="16">
        <v>1356</v>
      </c>
      <c r="J520" s="16">
        <f t="shared" si="109"/>
        <v>6780</v>
      </c>
      <c r="K520" s="16"/>
      <c r="L520" s="16"/>
      <c r="M520" s="16"/>
      <c r="N520" s="16"/>
      <c r="O520" s="16">
        <v>5</v>
      </c>
      <c r="P520" s="16">
        <v>1356</v>
      </c>
      <c r="Q520" s="16">
        <f t="shared" si="110"/>
        <v>6780</v>
      </c>
      <c r="R520" s="18">
        <v>0</v>
      </c>
      <c r="S520" s="16">
        <f t="shared" si="111"/>
        <v>0</v>
      </c>
      <c r="T520" s="16">
        <f t="shared" si="112"/>
        <v>6780</v>
      </c>
      <c r="U520" s="16" t="s">
        <v>533</v>
      </c>
      <c r="V520" s="19">
        <v>45609</v>
      </c>
      <c r="W520" s="142" t="s">
        <v>200</v>
      </c>
    </row>
    <row r="521" spans="1:23" x14ac:dyDescent="0.3">
      <c r="A521" s="1"/>
      <c r="B521" s="1"/>
      <c r="C521" s="1"/>
      <c r="D521" s="1"/>
      <c r="E521" s="16" t="s">
        <v>127</v>
      </c>
      <c r="F521" s="16" t="s">
        <v>283</v>
      </c>
      <c r="G521" s="16">
        <v>10</v>
      </c>
      <c r="H521" s="16" t="s">
        <v>28</v>
      </c>
      <c r="I521" s="16">
        <v>4800</v>
      </c>
      <c r="J521" s="16">
        <f t="shared" si="109"/>
        <v>48000</v>
      </c>
      <c r="K521" s="16"/>
      <c r="L521" s="16"/>
      <c r="M521" s="16"/>
      <c r="N521" s="16"/>
      <c r="O521" s="16">
        <v>10</v>
      </c>
      <c r="P521" s="16">
        <v>4800</v>
      </c>
      <c r="Q521" s="16">
        <f t="shared" si="110"/>
        <v>48000</v>
      </c>
      <c r="R521" s="18">
        <v>0</v>
      </c>
      <c r="S521" s="16">
        <f t="shared" si="111"/>
        <v>0</v>
      </c>
      <c r="T521" s="16">
        <f t="shared" si="112"/>
        <v>48000</v>
      </c>
      <c r="U521" s="16" t="s">
        <v>533</v>
      </c>
      <c r="V521" s="19">
        <v>45609</v>
      </c>
      <c r="W521" s="142" t="s">
        <v>200</v>
      </c>
    </row>
    <row r="522" spans="1:23" x14ac:dyDescent="0.3">
      <c r="A522" s="1"/>
      <c r="B522" s="1"/>
      <c r="C522" s="1"/>
      <c r="D522" s="1"/>
      <c r="E522" s="16" t="s">
        <v>127</v>
      </c>
      <c r="F522" s="16" t="s">
        <v>535</v>
      </c>
      <c r="G522" s="16">
        <v>15</v>
      </c>
      <c r="H522" s="16" t="s">
        <v>28</v>
      </c>
      <c r="I522" s="16">
        <v>1950</v>
      </c>
      <c r="J522" s="16">
        <f t="shared" si="109"/>
        <v>29250</v>
      </c>
      <c r="K522" s="16"/>
      <c r="L522" s="16"/>
      <c r="M522" s="16"/>
      <c r="N522" s="16"/>
      <c r="O522" s="16">
        <v>15</v>
      </c>
      <c r="P522" s="16">
        <v>1950</v>
      </c>
      <c r="Q522" s="16">
        <f t="shared" si="110"/>
        <v>29250</v>
      </c>
      <c r="R522" s="18">
        <v>0</v>
      </c>
      <c r="S522" s="16">
        <f t="shared" si="111"/>
        <v>0</v>
      </c>
      <c r="T522" s="16">
        <f t="shared" si="112"/>
        <v>29250</v>
      </c>
      <c r="U522" s="16" t="s">
        <v>533</v>
      </c>
      <c r="V522" s="19">
        <v>45609</v>
      </c>
      <c r="W522" s="142" t="s">
        <v>200</v>
      </c>
    </row>
    <row r="523" spans="1:23" x14ac:dyDescent="0.3">
      <c r="A523" s="1"/>
      <c r="B523" s="1"/>
      <c r="C523" s="1"/>
      <c r="D523" s="1"/>
      <c r="E523" s="16" t="s">
        <v>127</v>
      </c>
      <c r="F523" s="16" t="s">
        <v>536</v>
      </c>
      <c r="G523" s="16">
        <v>15</v>
      </c>
      <c r="H523" s="16" t="s">
        <v>28</v>
      </c>
      <c r="I523" s="16">
        <v>2500</v>
      </c>
      <c r="J523" s="16">
        <f t="shared" si="109"/>
        <v>37500</v>
      </c>
      <c r="K523" s="16"/>
      <c r="L523" s="16"/>
      <c r="M523" s="16"/>
      <c r="N523" s="16"/>
      <c r="O523" s="97">
        <v>15</v>
      </c>
      <c r="P523" s="97">
        <v>2500</v>
      </c>
      <c r="Q523" s="97">
        <f t="shared" si="110"/>
        <v>37500</v>
      </c>
      <c r="R523" s="111">
        <v>0</v>
      </c>
      <c r="S523" s="97">
        <f t="shared" si="111"/>
        <v>0</v>
      </c>
      <c r="T523" s="97">
        <f t="shared" si="112"/>
        <v>37500</v>
      </c>
      <c r="U523" s="97" t="s">
        <v>537</v>
      </c>
      <c r="V523" s="110" t="s">
        <v>526</v>
      </c>
      <c r="W523" s="142" t="s">
        <v>200</v>
      </c>
    </row>
    <row r="524" spans="1:23" x14ac:dyDescent="0.3">
      <c r="A524" s="1"/>
      <c r="B524" s="1"/>
      <c r="C524" s="1"/>
      <c r="D524" s="1"/>
      <c r="E524" s="16" t="s">
        <v>127</v>
      </c>
      <c r="F524" s="16" t="s">
        <v>538</v>
      </c>
      <c r="G524" s="16">
        <v>5</v>
      </c>
      <c r="H524" s="16" t="s">
        <v>28</v>
      </c>
      <c r="I524" s="16">
        <v>990</v>
      </c>
      <c r="J524" s="16">
        <f t="shared" si="109"/>
        <v>4950</v>
      </c>
      <c r="K524" s="16"/>
      <c r="L524" s="16"/>
      <c r="M524" s="16"/>
      <c r="N524" s="16"/>
      <c r="O524" s="16">
        <v>5</v>
      </c>
      <c r="P524" s="16">
        <v>990</v>
      </c>
      <c r="Q524" s="16">
        <f t="shared" si="110"/>
        <v>4950</v>
      </c>
      <c r="R524" s="18">
        <v>0</v>
      </c>
      <c r="S524" s="16">
        <f t="shared" si="111"/>
        <v>0</v>
      </c>
      <c r="T524" s="16">
        <f t="shared" si="112"/>
        <v>4950</v>
      </c>
      <c r="U524" s="16" t="s">
        <v>533</v>
      </c>
      <c r="V524" s="19">
        <v>45609</v>
      </c>
      <c r="W524" s="142" t="s">
        <v>200</v>
      </c>
    </row>
    <row r="525" spans="1:23" x14ac:dyDescent="0.3">
      <c r="A525" s="1"/>
      <c r="B525" s="1"/>
      <c r="C525" s="1"/>
      <c r="D525" s="1"/>
      <c r="E525" s="16" t="s">
        <v>127</v>
      </c>
      <c r="F525" s="16" t="s">
        <v>539</v>
      </c>
      <c r="G525" s="16">
        <v>10</v>
      </c>
      <c r="H525" s="16" t="s">
        <v>28</v>
      </c>
      <c r="I525" s="16">
        <v>7150</v>
      </c>
      <c r="J525" s="16">
        <f t="shared" si="109"/>
        <v>71500</v>
      </c>
      <c r="K525" s="16"/>
      <c r="L525" s="16"/>
      <c r="M525" s="16"/>
      <c r="N525" s="16"/>
      <c r="O525" s="97">
        <v>10</v>
      </c>
      <c r="P525" s="97">
        <v>7150</v>
      </c>
      <c r="Q525" s="97">
        <f t="shared" si="110"/>
        <v>71500</v>
      </c>
      <c r="R525" s="111">
        <v>0</v>
      </c>
      <c r="S525" s="97">
        <f t="shared" si="111"/>
        <v>0</v>
      </c>
      <c r="T525" s="97">
        <f t="shared" si="112"/>
        <v>71500</v>
      </c>
      <c r="U525" s="97" t="s">
        <v>537</v>
      </c>
      <c r="V525" s="110" t="s">
        <v>526</v>
      </c>
      <c r="W525" s="142" t="s">
        <v>200</v>
      </c>
    </row>
    <row r="526" spans="1:23" x14ac:dyDescent="0.3">
      <c r="A526" s="1"/>
      <c r="B526" s="1"/>
      <c r="C526" s="1"/>
      <c r="D526" s="1"/>
      <c r="E526" s="16" t="s">
        <v>127</v>
      </c>
      <c r="F526" s="16" t="s">
        <v>540</v>
      </c>
      <c r="G526" s="16">
        <v>10</v>
      </c>
      <c r="H526" s="16" t="s">
        <v>28</v>
      </c>
      <c r="I526" s="16">
        <v>1035</v>
      </c>
      <c r="J526" s="16">
        <f t="shared" si="109"/>
        <v>10350</v>
      </c>
      <c r="K526" s="16"/>
      <c r="L526" s="16"/>
      <c r="M526" s="16"/>
      <c r="N526" s="16"/>
      <c r="O526" s="16">
        <v>10</v>
      </c>
      <c r="P526" s="16">
        <v>1035</v>
      </c>
      <c r="Q526" s="16">
        <f t="shared" si="110"/>
        <v>10350</v>
      </c>
      <c r="R526" s="18">
        <v>0</v>
      </c>
      <c r="S526" s="16">
        <f t="shared" si="111"/>
        <v>0</v>
      </c>
      <c r="T526" s="16">
        <f t="shared" ref="T526:T529" si="113">Q526+S526</f>
        <v>10350</v>
      </c>
      <c r="U526" s="16" t="s">
        <v>533</v>
      </c>
      <c r="V526" s="19">
        <v>45609</v>
      </c>
      <c r="W526" s="142" t="s">
        <v>200</v>
      </c>
    </row>
    <row r="527" spans="1:23" x14ac:dyDescent="0.3">
      <c r="A527" s="1"/>
      <c r="B527" s="1"/>
      <c r="C527" s="1"/>
      <c r="D527" s="1"/>
      <c r="E527" s="16" t="s">
        <v>127</v>
      </c>
      <c r="F527" s="16" t="s">
        <v>541</v>
      </c>
      <c r="G527" s="16">
        <v>10</v>
      </c>
      <c r="H527" s="16" t="s">
        <v>28</v>
      </c>
      <c r="I527" s="16">
        <v>1235</v>
      </c>
      <c r="J527" s="16">
        <f t="shared" si="109"/>
        <v>12350</v>
      </c>
      <c r="K527" s="16"/>
      <c r="L527" s="16"/>
      <c r="M527" s="16"/>
      <c r="N527" s="16"/>
      <c r="O527" s="16">
        <v>10</v>
      </c>
      <c r="P527" s="16">
        <v>1235</v>
      </c>
      <c r="Q527" s="16">
        <f t="shared" si="110"/>
        <v>12350</v>
      </c>
      <c r="R527" s="18">
        <v>0</v>
      </c>
      <c r="S527" s="16">
        <f t="shared" si="111"/>
        <v>0</v>
      </c>
      <c r="T527" s="16">
        <f t="shared" si="113"/>
        <v>12350</v>
      </c>
      <c r="U527" s="16" t="s">
        <v>533</v>
      </c>
      <c r="V527" s="19">
        <v>45609</v>
      </c>
      <c r="W527" s="142" t="s">
        <v>200</v>
      </c>
    </row>
    <row r="528" spans="1:23" x14ac:dyDescent="0.3">
      <c r="A528" s="1"/>
      <c r="B528" s="1"/>
      <c r="C528" s="1"/>
      <c r="D528" s="1"/>
      <c r="E528" s="16" t="s">
        <v>127</v>
      </c>
      <c r="F528" s="16" t="s">
        <v>542</v>
      </c>
      <c r="G528" s="16">
        <v>10</v>
      </c>
      <c r="H528" s="16" t="s">
        <v>28</v>
      </c>
      <c r="I528" s="16">
        <v>900</v>
      </c>
      <c r="J528" s="16">
        <f t="shared" si="109"/>
        <v>9000</v>
      </c>
      <c r="K528" s="16"/>
      <c r="L528" s="16"/>
      <c r="M528" s="16"/>
      <c r="N528" s="16"/>
      <c r="O528" s="16">
        <v>10</v>
      </c>
      <c r="P528" s="16">
        <v>900</v>
      </c>
      <c r="Q528" s="16">
        <f t="shared" si="110"/>
        <v>9000</v>
      </c>
      <c r="R528" s="18">
        <v>0</v>
      </c>
      <c r="S528" s="16">
        <f t="shared" si="111"/>
        <v>0</v>
      </c>
      <c r="T528" s="16">
        <f t="shared" si="113"/>
        <v>9000</v>
      </c>
      <c r="U528" s="16" t="s">
        <v>533</v>
      </c>
      <c r="V528" s="19">
        <v>45609</v>
      </c>
      <c r="W528" s="142" t="s">
        <v>200</v>
      </c>
    </row>
    <row r="529" spans="1:23" x14ac:dyDescent="0.3">
      <c r="A529" s="1"/>
      <c r="B529" s="1"/>
      <c r="C529" s="1"/>
      <c r="D529" s="1"/>
      <c r="E529" s="16" t="s">
        <v>127</v>
      </c>
      <c r="F529" s="16" t="s">
        <v>543</v>
      </c>
      <c r="G529" s="16">
        <v>10</v>
      </c>
      <c r="H529" s="16" t="s">
        <v>28</v>
      </c>
      <c r="I529" s="16">
        <v>1890</v>
      </c>
      <c r="J529" s="16">
        <f t="shared" si="109"/>
        <v>18900</v>
      </c>
      <c r="K529" s="16"/>
      <c r="L529" s="16"/>
      <c r="M529" s="16"/>
      <c r="N529" s="16"/>
      <c r="O529" s="16">
        <v>10</v>
      </c>
      <c r="P529" s="16">
        <v>1890</v>
      </c>
      <c r="Q529" s="16">
        <f t="shared" si="110"/>
        <v>18900</v>
      </c>
      <c r="R529" s="18">
        <v>0</v>
      </c>
      <c r="S529" s="16">
        <f t="shared" si="111"/>
        <v>0</v>
      </c>
      <c r="T529" s="16">
        <f t="shared" si="113"/>
        <v>18900</v>
      </c>
      <c r="U529" s="16" t="s">
        <v>533</v>
      </c>
      <c r="V529" s="19">
        <v>45609</v>
      </c>
      <c r="W529" s="142" t="s">
        <v>200</v>
      </c>
    </row>
    <row r="530" spans="1:23" x14ac:dyDescent="0.3">
      <c r="A530" s="1"/>
      <c r="B530" s="1"/>
      <c r="C530" s="1"/>
      <c r="D530" s="1"/>
      <c r="E530" s="1"/>
      <c r="F530" s="1"/>
      <c r="G530" s="1"/>
      <c r="H530" s="1"/>
      <c r="I530" s="1"/>
      <c r="J530" s="1"/>
      <c r="K530" s="1"/>
      <c r="L530" s="1"/>
      <c r="M530" s="1"/>
      <c r="N530" s="1"/>
      <c r="O530" s="1"/>
      <c r="P530" s="1"/>
      <c r="Q530" s="1"/>
      <c r="R530" s="1"/>
      <c r="S530" s="1"/>
      <c r="T530" s="1"/>
      <c r="U530" s="1"/>
      <c r="V530" s="1"/>
      <c r="W530" s="142"/>
    </row>
    <row r="531" spans="1:23" x14ac:dyDescent="0.3">
      <c r="A531" s="219" t="s">
        <v>39</v>
      </c>
      <c r="B531" s="219"/>
      <c r="C531" s="219"/>
      <c r="D531" s="219"/>
      <c r="E531" s="219"/>
      <c r="F531" s="219"/>
      <c r="G531" s="219"/>
      <c r="H531" s="219"/>
      <c r="I531" s="219"/>
      <c r="J531" s="124">
        <f>SUM(J518:J530)</f>
        <v>390930</v>
      </c>
      <c r="K531" s="1"/>
      <c r="L531" s="1"/>
      <c r="M531" s="1"/>
      <c r="N531" s="1"/>
      <c r="O531" s="1"/>
      <c r="P531" s="1"/>
      <c r="Q531" s="1"/>
      <c r="R531" s="1"/>
      <c r="S531" s="1"/>
      <c r="T531" s="1">
        <f>SUM(T518:T530)</f>
        <v>390930</v>
      </c>
      <c r="U531" s="1"/>
      <c r="V531" s="1"/>
      <c r="W531" s="142"/>
    </row>
    <row r="532" spans="1:23" x14ac:dyDescent="0.3">
      <c r="A532" s="219" t="s">
        <v>82</v>
      </c>
      <c r="B532" s="219"/>
      <c r="C532" s="219"/>
      <c r="D532" s="219"/>
      <c r="E532" s="219"/>
      <c r="F532" s="219"/>
      <c r="G532" s="219"/>
      <c r="H532" s="219"/>
      <c r="I532" s="219"/>
      <c r="J532" s="124">
        <f t="shared" si="109"/>
        <v>0</v>
      </c>
      <c r="K532" s="1"/>
      <c r="L532" s="1"/>
      <c r="M532" s="1"/>
      <c r="N532" s="1"/>
      <c r="O532" s="1"/>
      <c r="P532" s="1"/>
      <c r="Q532" s="1"/>
      <c r="R532" s="1"/>
      <c r="S532" s="1"/>
      <c r="T532" s="1"/>
      <c r="U532" s="1"/>
      <c r="V532" s="1"/>
      <c r="W532" s="142"/>
    </row>
    <row r="533" spans="1:23" x14ac:dyDescent="0.3">
      <c r="A533" s="219" t="s">
        <v>41</v>
      </c>
      <c r="B533" s="219"/>
      <c r="C533" s="219"/>
      <c r="D533" s="219"/>
      <c r="E533" s="219"/>
      <c r="F533" s="219"/>
      <c r="G533" s="219"/>
      <c r="H533" s="219"/>
      <c r="I533" s="219"/>
      <c r="J533" s="124">
        <f>SUM(J531:J532)</f>
        <v>390930</v>
      </c>
      <c r="K533" s="1"/>
      <c r="L533" s="1"/>
      <c r="M533" s="1"/>
      <c r="N533" s="1"/>
      <c r="O533" s="1"/>
      <c r="P533" s="1"/>
      <c r="Q533" s="1"/>
      <c r="R533" s="1"/>
      <c r="S533" s="1"/>
      <c r="T533" s="1"/>
      <c r="U533" s="1"/>
      <c r="V533" s="1"/>
      <c r="W533" s="142"/>
    </row>
    <row r="534" spans="1:23" x14ac:dyDescent="0.3">
      <c r="A534" s="1"/>
      <c r="B534" s="1"/>
      <c r="C534" s="1"/>
      <c r="D534" s="1"/>
      <c r="E534" s="1"/>
      <c r="F534" s="1"/>
      <c r="G534" s="1"/>
      <c r="H534" s="1"/>
      <c r="I534" s="1"/>
      <c r="J534" s="1">
        <f t="shared" si="109"/>
        <v>0</v>
      </c>
      <c r="K534" s="1"/>
      <c r="L534" s="1"/>
      <c r="M534" s="1"/>
      <c r="N534" s="1"/>
      <c r="O534" s="1"/>
      <c r="P534" s="1"/>
      <c r="Q534" s="1"/>
      <c r="R534" s="1"/>
      <c r="S534" s="1"/>
      <c r="T534" s="1"/>
      <c r="U534" s="1"/>
      <c r="V534" s="1"/>
      <c r="W534" s="142"/>
    </row>
    <row r="535" spans="1:23" x14ac:dyDescent="0.3">
      <c r="A535" s="16">
        <v>49</v>
      </c>
      <c r="B535" s="16">
        <v>9200125366</v>
      </c>
      <c r="C535" s="19">
        <v>45484</v>
      </c>
      <c r="D535" s="16" t="s">
        <v>43</v>
      </c>
      <c r="E535" s="16"/>
      <c r="F535" s="16" t="s">
        <v>544</v>
      </c>
      <c r="G535" s="16">
        <v>440</v>
      </c>
      <c r="H535" s="16" t="s">
        <v>252</v>
      </c>
      <c r="I535" s="16">
        <v>60</v>
      </c>
      <c r="J535" s="16">
        <f t="shared" si="109"/>
        <v>26400</v>
      </c>
      <c r="K535" s="16"/>
      <c r="L535" s="16"/>
      <c r="M535" s="16"/>
      <c r="N535" s="16"/>
      <c r="O535" s="16">
        <v>440</v>
      </c>
      <c r="P535" s="16">
        <v>60</v>
      </c>
      <c r="Q535" s="16">
        <f>O535*P535</f>
        <v>26400</v>
      </c>
      <c r="R535" s="18">
        <v>0</v>
      </c>
      <c r="S535" s="16">
        <f>Q535*R535</f>
        <v>0</v>
      </c>
      <c r="T535" s="16">
        <f>Q535+S535</f>
        <v>26400</v>
      </c>
      <c r="U535" s="16" t="s">
        <v>545</v>
      </c>
      <c r="V535" s="19">
        <v>45334</v>
      </c>
      <c r="W535" s="146">
        <v>45717</v>
      </c>
    </row>
    <row r="536" spans="1:23" x14ac:dyDescent="0.3">
      <c r="A536" s="1"/>
      <c r="B536" s="16"/>
      <c r="C536" s="16"/>
      <c r="D536" s="16"/>
      <c r="E536" s="16"/>
      <c r="F536" s="16" t="s">
        <v>546</v>
      </c>
      <c r="G536" s="16">
        <v>350</v>
      </c>
      <c r="H536" s="16" t="s">
        <v>252</v>
      </c>
      <c r="I536" s="16">
        <v>70</v>
      </c>
      <c r="J536" s="16">
        <f t="shared" si="109"/>
        <v>24500</v>
      </c>
      <c r="K536" s="16"/>
      <c r="L536" s="16"/>
      <c r="M536" s="16"/>
      <c r="N536" s="16"/>
      <c r="O536" s="16">
        <v>350</v>
      </c>
      <c r="P536" s="16">
        <v>70</v>
      </c>
      <c r="Q536" s="16">
        <f t="shared" ref="Q536:Q537" si="114">O536*P536</f>
        <v>24500</v>
      </c>
      <c r="R536" s="18">
        <v>0</v>
      </c>
      <c r="S536" s="16">
        <f t="shared" ref="S536:S537" si="115">Q536*R536</f>
        <v>0</v>
      </c>
      <c r="T536" s="16">
        <f t="shared" ref="T536:T537" si="116">Q536+S536</f>
        <v>24500</v>
      </c>
      <c r="U536" s="16" t="s">
        <v>545</v>
      </c>
      <c r="V536" s="19">
        <v>45334</v>
      </c>
      <c r="W536" s="146">
        <v>45717</v>
      </c>
    </row>
    <row r="537" spans="1:23" x14ac:dyDescent="0.3">
      <c r="A537" s="1"/>
      <c r="B537" s="16"/>
      <c r="C537" s="16"/>
      <c r="D537" s="16"/>
      <c r="E537" s="16"/>
      <c r="F537" s="16" t="s">
        <v>547</v>
      </c>
      <c r="G537" s="16">
        <v>350</v>
      </c>
      <c r="H537" s="16" t="s">
        <v>252</v>
      </c>
      <c r="I537" s="16">
        <v>85</v>
      </c>
      <c r="J537" s="16">
        <f t="shared" si="109"/>
        <v>29750</v>
      </c>
      <c r="K537" s="16"/>
      <c r="L537" s="16"/>
      <c r="M537" s="16"/>
      <c r="N537" s="16"/>
      <c r="O537" s="16">
        <v>350</v>
      </c>
      <c r="P537" s="16">
        <v>85</v>
      </c>
      <c r="Q537" s="16">
        <f t="shared" si="114"/>
        <v>29750</v>
      </c>
      <c r="R537" s="18">
        <v>0</v>
      </c>
      <c r="S537" s="16">
        <f t="shared" si="115"/>
        <v>0</v>
      </c>
      <c r="T537" s="16">
        <f t="shared" si="116"/>
        <v>29750</v>
      </c>
      <c r="U537" s="16" t="s">
        <v>545</v>
      </c>
      <c r="V537" s="19">
        <v>45334</v>
      </c>
      <c r="W537" s="146">
        <v>45717</v>
      </c>
    </row>
    <row r="538" spans="1:23" x14ac:dyDescent="0.3">
      <c r="A538" s="219" t="s">
        <v>39</v>
      </c>
      <c r="B538" s="219"/>
      <c r="C538" s="219"/>
      <c r="D538" s="219"/>
      <c r="E538" s="219"/>
      <c r="F538" s="219"/>
      <c r="G538" s="219"/>
      <c r="H538" s="219"/>
      <c r="I538" s="219"/>
      <c r="J538" s="124">
        <f>SUM(J535:J537)</f>
        <v>80650</v>
      </c>
      <c r="K538" s="1"/>
      <c r="L538" s="1"/>
      <c r="M538" s="1"/>
      <c r="N538" s="1"/>
      <c r="O538" s="1"/>
      <c r="P538" s="1"/>
      <c r="Q538" s="1"/>
      <c r="R538" s="1"/>
      <c r="S538" s="1"/>
      <c r="T538" s="1"/>
      <c r="U538" s="1"/>
      <c r="V538" s="1"/>
      <c r="W538" s="142"/>
    </row>
    <row r="539" spans="1:23" x14ac:dyDescent="0.3">
      <c r="A539" s="219" t="s">
        <v>82</v>
      </c>
      <c r="B539" s="219"/>
      <c r="C539" s="219"/>
      <c r="D539" s="219"/>
      <c r="E539" s="219"/>
      <c r="F539" s="219"/>
      <c r="G539" s="219"/>
      <c r="H539" s="219"/>
      <c r="I539" s="219"/>
      <c r="J539" s="1">
        <v>0</v>
      </c>
      <c r="K539" s="1"/>
      <c r="L539" s="1"/>
      <c r="M539" s="1"/>
      <c r="N539" s="1"/>
      <c r="O539" s="1"/>
      <c r="P539" s="1"/>
      <c r="Q539" s="1"/>
      <c r="R539" s="1"/>
      <c r="S539" s="1"/>
      <c r="T539" s="1"/>
      <c r="U539" s="1"/>
      <c r="V539" s="1"/>
      <c r="W539" s="142"/>
    </row>
    <row r="540" spans="1:23" x14ac:dyDescent="0.3">
      <c r="A540" s="219" t="s">
        <v>41</v>
      </c>
      <c r="B540" s="219"/>
      <c r="C540" s="219"/>
      <c r="D540" s="219"/>
      <c r="E540" s="219"/>
      <c r="F540" s="219"/>
      <c r="G540" s="219"/>
      <c r="H540" s="219"/>
      <c r="I540" s="219"/>
      <c r="J540" s="124">
        <f>SUM(J538:J539)</f>
        <v>80650</v>
      </c>
      <c r="K540" s="1"/>
      <c r="L540" s="1"/>
      <c r="M540" s="1"/>
      <c r="N540" s="1"/>
      <c r="O540" s="1"/>
      <c r="P540" s="1"/>
      <c r="Q540" s="1"/>
      <c r="R540" s="1"/>
      <c r="S540" s="1"/>
      <c r="T540" s="1">
        <f>SUM(T535:T539)</f>
        <v>80650</v>
      </c>
      <c r="U540" s="1"/>
      <c r="V540" s="1"/>
      <c r="W540" s="142"/>
    </row>
    <row r="541" spans="1:23" x14ac:dyDescent="0.3">
      <c r="A541" s="1"/>
      <c r="B541" s="1"/>
      <c r="C541" s="1"/>
      <c r="D541" s="1"/>
      <c r="E541" s="1"/>
      <c r="F541" s="1"/>
      <c r="G541" s="1"/>
      <c r="H541" s="1"/>
      <c r="I541" s="1"/>
      <c r="J541" s="1">
        <f t="shared" si="109"/>
        <v>0</v>
      </c>
      <c r="K541" s="1"/>
      <c r="L541" s="1"/>
      <c r="M541" s="1"/>
      <c r="N541" s="1"/>
      <c r="O541" s="1"/>
      <c r="P541" s="1"/>
      <c r="Q541" s="1"/>
      <c r="R541" s="1"/>
      <c r="S541" s="1"/>
      <c r="T541" s="1"/>
      <c r="U541" s="1"/>
      <c r="V541" s="1"/>
      <c r="W541" s="142"/>
    </row>
    <row r="542" spans="1:23" ht="25.2" x14ac:dyDescent="0.3">
      <c r="A542" s="16">
        <v>50</v>
      </c>
      <c r="B542" s="16">
        <v>9200125455</v>
      </c>
      <c r="C542" s="16" t="s">
        <v>548</v>
      </c>
      <c r="D542" s="38" t="s">
        <v>549</v>
      </c>
      <c r="E542" s="16" t="s">
        <v>123</v>
      </c>
      <c r="F542" s="39" t="s">
        <v>550</v>
      </c>
      <c r="G542" s="16">
        <v>1</v>
      </c>
      <c r="H542" s="16" t="s">
        <v>87</v>
      </c>
      <c r="I542" s="16">
        <v>21000</v>
      </c>
      <c r="J542" s="16">
        <f t="shared" si="109"/>
        <v>21000</v>
      </c>
      <c r="K542" s="16"/>
      <c r="L542" s="16"/>
      <c r="M542" s="16"/>
      <c r="N542" s="16"/>
      <c r="O542" s="97">
        <v>1</v>
      </c>
      <c r="P542" s="97">
        <v>21000</v>
      </c>
      <c r="Q542" s="97">
        <f>O542*P542</f>
        <v>21000</v>
      </c>
      <c r="R542" s="111">
        <v>0.18</v>
      </c>
      <c r="S542" s="97">
        <f>Q542*R542</f>
        <v>3780</v>
      </c>
      <c r="T542" s="97">
        <f>Q542+S542</f>
        <v>24780</v>
      </c>
      <c r="U542" s="97" t="s">
        <v>1031</v>
      </c>
      <c r="V542" s="110" t="s">
        <v>1032</v>
      </c>
      <c r="W542" s="142" t="s">
        <v>1052</v>
      </c>
    </row>
    <row r="543" spans="1:23" ht="25.2" x14ac:dyDescent="0.3">
      <c r="A543" s="85"/>
      <c r="B543" s="85"/>
      <c r="C543" s="85"/>
      <c r="D543" s="85"/>
      <c r="E543" s="16" t="s">
        <v>123</v>
      </c>
      <c r="F543" s="39" t="s">
        <v>1029</v>
      </c>
      <c r="G543" s="16">
        <v>1</v>
      </c>
      <c r="H543" s="16" t="s">
        <v>87</v>
      </c>
      <c r="I543" s="16">
        <v>22000</v>
      </c>
      <c r="J543" s="16">
        <f t="shared" si="109"/>
        <v>22000</v>
      </c>
      <c r="K543" s="16"/>
      <c r="L543" s="16"/>
      <c r="M543" s="16"/>
      <c r="N543" s="16"/>
      <c r="O543" s="97">
        <v>1</v>
      </c>
      <c r="P543" s="97">
        <v>22000</v>
      </c>
      <c r="Q543" s="97">
        <f t="shared" ref="Q543:Q551" si="117">O543*P543</f>
        <v>22000</v>
      </c>
      <c r="R543" s="111">
        <v>0.18</v>
      </c>
      <c r="S543" s="97">
        <f t="shared" ref="S543:S551" si="118">Q543*R543</f>
        <v>3960</v>
      </c>
      <c r="T543" s="97">
        <f t="shared" ref="T543:T551" si="119">Q543+S543</f>
        <v>25960</v>
      </c>
      <c r="U543" s="97" t="s">
        <v>1031</v>
      </c>
      <c r="V543" s="110" t="s">
        <v>1032</v>
      </c>
      <c r="W543" s="142" t="s">
        <v>1052</v>
      </c>
    </row>
    <row r="544" spans="1:23" ht="37.799999999999997" x14ac:dyDescent="0.3">
      <c r="A544" s="85"/>
      <c r="B544" s="85"/>
      <c r="C544" s="85"/>
      <c r="D544" s="85"/>
      <c r="E544" s="16" t="s">
        <v>123</v>
      </c>
      <c r="F544" s="39" t="s">
        <v>551</v>
      </c>
      <c r="G544" s="16">
        <v>1</v>
      </c>
      <c r="H544" s="16" t="s">
        <v>87</v>
      </c>
      <c r="I544" s="16">
        <v>29500</v>
      </c>
      <c r="J544" s="16">
        <f t="shared" si="109"/>
        <v>29500</v>
      </c>
      <c r="K544" s="16"/>
      <c r="L544" s="16"/>
      <c r="M544" s="16"/>
      <c r="N544" s="16"/>
      <c r="O544" s="97">
        <v>1</v>
      </c>
      <c r="P544" s="97">
        <v>29500</v>
      </c>
      <c r="Q544" s="97">
        <f t="shared" si="117"/>
        <v>29500</v>
      </c>
      <c r="R544" s="111">
        <v>0.18</v>
      </c>
      <c r="S544" s="97">
        <f t="shared" si="118"/>
        <v>5310</v>
      </c>
      <c r="T544" s="97">
        <f t="shared" si="119"/>
        <v>34810</v>
      </c>
      <c r="U544" s="97" t="s">
        <v>1031</v>
      </c>
      <c r="V544" s="110" t="s">
        <v>1032</v>
      </c>
      <c r="W544" s="142" t="s">
        <v>1052</v>
      </c>
    </row>
    <row r="545" spans="1:23" ht="25.2" x14ac:dyDescent="0.3">
      <c r="A545" s="85"/>
      <c r="B545" s="85"/>
      <c r="C545" s="85"/>
      <c r="D545" s="85"/>
      <c r="E545" s="16" t="s">
        <v>123</v>
      </c>
      <c r="F545" s="39" t="s">
        <v>552</v>
      </c>
      <c r="G545" s="16">
        <v>1</v>
      </c>
      <c r="H545" s="16" t="s">
        <v>28</v>
      </c>
      <c r="I545" s="16">
        <v>17500</v>
      </c>
      <c r="J545" s="16">
        <f t="shared" si="109"/>
        <v>17500</v>
      </c>
      <c r="K545" s="16">
        <v>1</v>
      </c>
      <c r="L545" s="16" t="s">
        <v>28</v>
      </c>
      <c r="M545" s="16" t="s">
        <v>91</v>
      </c>
      <c r="N545" s="16" t="s">
        <v>484</v>
      </c>
      <c r="O545" s="16">
        <v>1</v>
      </c>
      <c r="P545" s="16">
        <v>17500</v>
      </c>
      <c r="Q545" s="16">
        <f t="shared" si="117"/>
        <v>17500</v>
      </c>
      <c r="R545" s="18">
        <v>0.18</v>
      </c>
      <c r="S545" s="16">
        <f t="shared" si="118"/>
        <v>3150</v>
      </c>
      <c r="T545" s="16">
        <f t="shared" si="119"/>
        <v>20650</v>
      </c>
      <c r="U545" s="16" t="s">
        <v>553</v>
      </c>
      <c r="V545" s="19" t="s">
        <v>160</v>
      </c>
      <c r="W545" s="142" t="s">
        <v>200</v>
      </c>
    </row>
    <row r="546" spans="1:23" ht="25.2" x14ac:dyDescent="0.3">
      <c r="A546" s="85"/>
      <c r="B546" s="85"/>
      <c r="C546" s="85"/>
      <c r="D546" s="85"/>
      <c r="E546" s="16" t="s">
        <v>123</v>
      </c>
      <c r="F546" s="39" t="s">
        <v>554</v>
      </c>
      <c r="G546" s="16">
        <v>60</v>
      </c>
      <c r="H546" s="16" t="s">
        <v>60</v>
      </c>
      <c r="I546" s="16">
        <v>922</v>
      </c>
      <c r="J546" s="16">
        <f t="shared" si="109"/>
        <v>55320</v>
      </c>
      <c r="K546" s="16">
        <v>60</v>
      </c>
      <c r="L546" s="16" t="s">
        <v>60</v>
      </c>
      <c r="M546" s="16" t="s">
        <v>91</v>
      </c>
      <c r="N546" s="16" t="s">
        <v>484</v>
      </c>
      <c r="O546" s="16">
        <v>60</v>
      </c>
      <c r="P546" s="16">
        <v>922</v>
      </c>
      <c r="Q546" s="16">
        <f t="shared" si="117"/>
        <v>55320</v>
      </c>
      <c r="R546" s="18">
        <v>0.18</v>
      </c>
      <c r="S546" s="16">
        <f t="shared" si="118"/>
        <v>9957.6</v>
      </c>
      <c r="T546" s="16">
        <f t="shared" si="119"/>
        <v>65277.599999999999</v>
      </c>
      <c r="U546" s="16" t="s">
        <v>553</v>
      </c>
      <c r="V546" s="19" t="s">
        <v>160</v>
      </c>
      <c r="W546" s="142" t="s">
        <v>200</v>
      </c>
    </row>
    <row r="547" spans="1:23" ht="25.2" x14ac:dyDescent="0.3">
      <c r="A547" s="85"/>
      <c r="B547" s="85"/>
      <c r="C547" s="85"/>
      <c r="D547" s="85"/>
      <c r="E547" s="16" t="s">
        <v>123</v>
      </c>
      <c r="F547" s="39" t="s">
        <v>555</v>
      </c>
      <c r="G547" s="16">
        <v>90</v>
      </c>
      <c r="H547" s="16" t="s">
        <v>60</v>
      </c>
      <c r="I547" s="16">
        <v>112</v>
      </c>
      <c r="J547" s="16">
        <f t="shared" si="109"/>
        <v>10080</v>
      </c>
      <c r="K547" s="16">
        <v>90</v>
      </c>
      <c r="L547" s="16" t="s">
        <v>60</v>
      </c>
      <c r="M547" s="16" t="s">
        <v>91</v>
      </c>
      <c r="N547" s="16" t="s">
        <v>484</v>
      </c>
      <c r="O547" s="16">
        <v>90</v>
      </c>
      <c r="P547" s="16">
        <v>112</v>
      </c>
      <c r="Q547" s="16">
        <f t="shared" si="117"/>
        <v>10080</v>
      </c>
      <c r="R547" s="18">
        <v>0.18</v>
      </c>
      <c r="S547" s="16">
        <f t="shared" si="118"/>
        <v>1814.3999999999999</v>
      </c>
      <c r="T547" s="16">
        <f t="shared" si="119"/>
        <v>11894.4</v>
      </c>
      <c r="U547" s="16" t="s">
        <v>553</v>
      </c>
      <c r="V547" s="19" t="s">
        <v>160</v>
      </c>
      <c r="W547" s="142" t="s">
        <v>200</v>
      </c>
    </row>
    <row r="548" spans="1:23" ht="25.2" x14ac:dyDescent="0.3">
      <c r="A548" s="85"/>
      <c r="B548" s="85"/>
      <c r="C548" s="85"/>
      <c r="D548" s="85"/>
      <c r="E548" s="16" t="s">
        <v>123</v>
      </c>
      <c r="F548" s="39" t="s">
        <v>556</v>
      </c>
      <c r="G548" s="16">
        <v>1</v>
      </c>
      <c r="H548" s="16" t="s">
        <v>87</v>
      </c>
      <c r="I548" s="16">
        <v>7000</v>
      </c>
      <c r="J548" s="16">
        <f t="shared" si="109"/>
        <v>7000</v>
      </c>
      <c r="K548" s="16"/>
      <c r="L548" s="16"/>
      <c r="M548" s="16"/>
      <c r="N548" s="16"/>
      <c r="O548" s="97">
        <v>1</v>
      </c>
      <c r="P548" s="97">
        <v>7000</v>
      </c>
      <c r="Q548" s="97">
        <f t="shared" si="117"/>
        <v>7000</v>
      </c>
      <c r="R548" s="111">
        <v>0.18</v>
      </c>
      <c r="S548" s="97">
        <f t="shared" si="118"/>
        <v>1260</v>
      </c>
      <c r="T548" s="97">
        <f t="shared" si="119"/>
        <v>8260</v>
      </c>
      <c r="U548" s="97" t="s">
        <v>1031</v>
      </c>
      <c r="V548" s="110" t="s">
        <v>1032</v>
      </c>
      <c r="W548" s="142" t="s">
        <v>1052</v>
      </c>
    </row>
    <row r="549" spans="1:23" ht="37.799999999999997" x14ac:dyDescent="0.3">
      <c r="A549" s="85"/>
      <c r="B549" s="85"/>
      <c r="C549" s="85"/>
      <c r="D549" s="85"/>
      <c r="E549" s="16" t="s">
        <v>123</v>
      </c>
      <c r="F549" s="39" t="s">
        <v>557</v>
      </c>
      <c r="G549" s="16">
        <v>600</v>
      </c>
      <c r="H549" s="16" t="s">
        <v>60</v>
      </c>
      <c r="I549" s="16">
        <v>208</v>
      </c>
      <c r="J549" s="16">
        <f t="shared" si="109"/>
        <v>124800</v>
      </c>
      <c r="K549" s="16">
        <v>600</v>
      </c>
      <c r="L549" s="16" t="s">
        <v>60</v>
      </c>
      <c r="M549" s="16" t="s">
        <v>91</v>
      </c>
      <c r="N549" s="16" t="s">
        <v>484</v>
      </c>
      <c r="O549" s="16">
        <v>600</v>
      </c>
      <c r="P549" s="16">
        <v>208</v>
      </c>
      <c r="Q549" s="16">
        <f t="shared" si="117"/>
        <v>124800</v>
      </c>
      <c r="R549" s="18">
        <v>0.18</v>
      </c>
      <c r="S549" s="16">
        <f t="shared" si="118"/>
        <v>22464</v>
      </c>
      <c r="T549" s="16">
        <f t="shared" si="119"/>
        <v>147264</v>
      </c>
      <c r="U549" s="16" t="s">
        <v>553</v>
      </c>
      <c r="V549" s="19" t="s">
        <v>160</v>
      </c>
      <c r="W549" s="142" t="s">
        <v>200</v>
      </c>
    </row>
    <row r="550" spans="1:23" ht="25.2" x14ac:dyDescent="0.3">
      <c r="A550" s="85"/>
      <c r="B550" s="85"/>
      <c r="C550" s="85"/>
      <c r="D550" s="85"/>
      <c r="E550" s="16" t="s">
        <v>123</v>
      </c>
      <c r="F550" s="39" t="s">
        <v>558</v>
      </c>
      <c r="G550" s="16">
        <v>150</v>
      </c>
      <c r="H550" s="16" t="s">
        <v>60</v>
      </c>
      <c r="I550" s="16">
        <v>287</v>
      </c>
      <c r="J550" s="16">
        <f t="shared" si="109"/>
        <v>43050</v>
      </c>
      <c r="K550" s="16">
        <v>150</v>
      </c>
      <c r="L550" s="16" t="s">
        <v>60</v>
      </c>
      <c r="M550" s="16" t="s">
        <v>91</v>
      </c>
      <c r="N550" s="16" t="s">
        <v>484</v>
      </c>
      <c r="O550" s="16">
        <v>150</v>
      </c>
      <c r="P550" s="16">
        <v>287</v>
      </c>
      <c r="Q550" s="16">
        <f t="shared" si="117"/>
        <v>43050</v>
      </c>
      <c r="R550" s="18">
        <v>0.18</v>
      </c>
      <c r="S550" s="16">
        <f t="shared" si="118"/>
        <v>7749</v>
      </c>
      <c r="T550" s="16">
        <f t="shared" si="119"/>
        <v>50799</v>
      </c>
      <c r="U550" s="16" t="s">
        <v>553</v>
      </c>
      <c r="V550" s="19" t="s">
        <v>160</v>
      </c>
      <c r="W550" s="142" t="s">
        <v>200</v>
      </c>
    </row>
    <row r="551" spans="1:23" ht="25.95" customHeight="1" x14ac:dyDescent="0.3">
      <c r="A551" s="85"/>
      <c r="B551" s="85"/>
      <c r="C551" s="85"/>
      <c r="D551" s="85"/>
      <c r="E551" s="16" t="s">
        <v>123</v>
      </c>
      <c r="F551" s="141" t="s">
        <v>1030</v>
      </c>
      <c r="G551" s="16">
        <v>10</v>
      </c>
      <c r="H551" s="16" t="s">
        <v>60</v>
      </c>
      <c r="I551" s="16">
        <v>800</v>
      </c>
      <c r="J551" s="16">
        <f t="shared" si="109"/>
        <v>8000</v>
      </c>
      <c r="K551" s="16"/>
      <c r="L551" s="16"/>
      <c r="M551" s="16"/>
      <c r="N551" s="16"/>
      <c r="O551" s="97">
        <v>10</v>
      </c>
      <c r="P551" s="97">
        <v>800</v>
      </c>
      <c r="Q551" s="97">
        <f t="shared" si="117"/>
        <v>8000</v>
      </c>
      <c r="R551" s="111">
        <v>0.18</v>
      </c>
      <c r="S551" s="97">
        <f t="shared" si="118"/>
        <v>1440</v>
      </c>
      <c r="T551" s="97">
        <f t="shared" si="119"/>
        <v>9440</v>
      </c>
      <c r="U551" s="97" t="s">
        <v>1031</v>
      </c>
      <c r="V551" s="110" t="s">
        <v>1032</v>
      </c>
      <c r="W551" s="142" t="s">
        <v>1052</v>
      </c>
    </row>
    <row r="552" spans="1:23" x14ac:dyDescent="0.3">
      <c r="A552" s="219" t="s">
        <v>39</v>
      </c>
      <c r="B552" s="219"/>
      <c r="C552" s="219"/>
      <c r="D552" s="219"/>
      <c r="E552" s="219"/>
      <c r="F552" s="219"/>
      <c r="G552" s="219"/>
      <c r="H552" s="219"/>
      <c r="I552" s="219"/>
      <c r="J552" s="133">
        <f>SUM(J542:J551)</f>
        <v>338250</v>
      </c>
      <c r="K552" s="62"/>
      <c r="L552" s="62"/>
      <c r="M552" s="62"/>
      <c r="N552" s="62"/>
      <c r="O552" s="62"/>
      <c r="P552" s="62"/>
      <c r="Q552" s="62"/>
      <c r="R552" s="62"/>
      <c r="S552" s="62"/>
      <c r="T552" s="62"/>
      <c r="U552" s="62"/>
      <c r="V552" s="62"/>
      <c r="W552" s="142"/>
    </row>
    <row r="553" spans="1:23" x14ac:dyDescent="0.3">
      <c r="A553" s="219" t="s">
        <v>187</v>
      </c>
      <c r="B553" s="219"/>
      <c r="C553" s="219"/>
      <c r="D553" s="219"/>
      <c r="E553" s="219"/>
      <c r="F553" s="219"/>
      <c r="G553" s="219"/>
      <c r="H553" s="219"/>
      <c r="I553" s="219"/>
      <c r="J553" s="133">
        <f>J552*18/100</f>
        <v>60885</v>
      </c>
      <c r="K553" s="62"/>
      <c r="L553" s="62"/>
      <c r="M553" s="62"/>
      <c r="N553" s="62"/>
      <c r="O553" s="62"/>
      <c r="P553" s="62"/>
      <c r="Q553" s="62"/>
      <c r="R553" s="62"/>
      <c r="S553" s="62"/>
      <c r="T553" s="62"/>
      <c r="U553" s="62"/>
      <c r="V553" s="62"/>
      <c r="W553" s="142"/>
    </row>
    <row r="554" spans="1:23" x14ac:dyDescent="0.3">
      <c r="A554" s="219" t="s">
        <v>41</v>
      </c>
      <c r="B554" s="219"/>
      <c r="C554" s="219"/>
      <c r="D554" s="219"/>
      <c r="E554" s="219"/>
      <c r="F554" s="219"/>
      <c r="G554" s="219"/>
      <c r="H554" s="219"/>
      <c r="I554" s="219"/>
      <c r="J554" s="133">
        <f>SUM(J552:J553)</f>
        <v>399135</v>
      </c>
      <c r="K554" s="62"/>
      <c r="L554" s="62"/>
      <c r="M554" s="62"/>
      <c r="N554" s="62"/>
      <c r="O554" s="62"/>
      <c r="P554" s="62"/>
      <c r="Q554" s="62"/>
      <c r="R554" s="62"/>
      <c r="S554" s="62"/>
      <c r="T554" s="62">
        <f>SUM(T542:T553)</f>
        <v>399135</v>
      </c>
      <c r="U554" s="62"/>
      <c r="V554" s="62"/>
      <c r="W554" s="142"/>
    </row>
    <row r="555" spans="1:23" x14ac:dyDescent="0.3">
      <c r="A555" s="124"/>
      <c r="B555" s="124"/>
      <c r="C555" s="124"/>
      <c r="D555" s="124"/>
      <c r="E555" s="124"/>
      <c r="F555" s="124"/>
      <c r="G555" s="124"/>
      <c r="H555" s="124"/>
      <c r="I555" s="124"/>
      <c r="J555" s="133"/>
      <c r="K555" s="62"/>
      <c r="L555" s="62"/>
      <c r="M555" s="62"/>
      <c r="N555" s="62"/>
      <c r="O555" s="62"/>
      <c r="P555" s="62"/>
      <c r="Q555" s="62"/>
      <c r="R555" s="62"/>
      <c r="S555" s="62"/>
      <c r="T555" s="62"/>
      <c r="U555" s="62"/>
      <c r="V555" s="62"/>
      <c r="W555" s="142"/>
    </row>
    <row r="556" spans="1:23" x14ac:dyDescent="0.3">
      <c r="A556" s="16">
        <v>51</v>
      </c>
      <c r="B556" s="16">
        <v>8100015398</v>
      </c>
      <c r="C556" s="19">
        <v>45484</v>
      </c>
      <c r="D556" s="38" t="s">
        <v>154</v>
      </c>
      <c r="E556" s="16" t="s">
        <v>127</v>
      </c>
      <c r="F556" s="16" t="s">
        <v>559</v>
      </c>
      <c r="G556" s="16">
        <v>7</v>
      </c>
      <c r="H556" s="16" t="s">
        <v>28</v>
      </c>
      <c r="I556" s="16">
        <v>1900</v>
      </c>
      <c r="J556" s="16">
        <f>G556*I556</f>
        <v>13300</v>
      </c>
      <c r="K556" s="16"/>
      <c r="L556" s="16"/>
      <c r="M556" s="16"/>
      <c r="N556" s="16"/>
      <c r="O556" s="16">
        <v>7</v>
      </c>
      <c r="P556" s="16">
        <v>1900</v>
      </c>
      <c r="Q556" s="16">
        <f>O556*P556</f>
        <v>13300</v>
      </c>
      <c r="R556" s="18">
        <v>0.18</v>
      </c>
      <c r="S556" s="16">
        <f>Q556*R556</f>
        <v>2394</v>
      </c>
      <c r="T556" s="16">
        <f>Q556+S556</f>
        <v>15694</v>
      </c>
      <c r="U556" s="16" t="s">
        <v>560</v>
      </c>
      <c r="V556" s="19" t="s">
        <v>561</v>
      </c>
      <c r="W556" s="142" t="s">
        <v>1074</v>
      </c>
    </row>
    <row r="557" spans="1:23" x14ac:dyDescent="0.3">
      <c r="A557" s="1"/>
      <c r="B557" s="1"/>
      <c r="C557" s="1"/>
      <c r="D557" s="1"/>
      <c r="E557" s="16" t="s">
        <v>123</v>
      </c>
      <c r="F557" s="16" t="s">
        <v>562</v>
      </c>
      <c r="G557" s="16">
        <v>7</v>
      </c>
      <c r="H557" s="16" t="s">
        <v>28</v>
      </c>
      <c r="I557" s="16">
        <v>500</v>
      </c>
      <c r="J557" s="16">
        <f t="shared" ref="J557:J577" si="120">G557*I557</f>
        <v>3500</v>
      </c>
      <c r="K557" s="16"/>
      <c r="L557" s="16"/>
      <c r="M557" s="16"/>
      <c r="N557" s="16"/>
      <c r="O557" s="16">
        <v>7</v>
      </c>
      <c r="P557" s="16">
        <v>500</v>
      </c>
      <c r="Q557" s="16">
        <f>O557*P557</f>
        <v>3500</v>
      </c>
      <c r="R557" s="18">
        <v>0.18</v>
      </c>
      <c r="S557" s="16">
        <f>Q557*R557</f>
        <v>630</v>
      </c>
      <c r="T557" s="16">
        <f>Q557+S557</f>
        <v>4130</v>
      </c>
      <c r="U557" s="16" t="s">
        <v>563</v>
      </c>
      <c r="V557" s="19">
        <v>45334</v>
      </c>
      <c r="W557" s="142" t="s">
        <v>200</v>
      </c>
    </row>
    <row r="558" spans="1:23" x14ac:dyDescent="0.3">
      <c r="A558" s="219" t="s">
        <v>39</v>
      </c>
      <c r="B558" s="219"/>
      <c r="C558" s="219"/>
      <c r="D558" s="219"/>
      <c r="E558" s="219"/>
      <c r="F558" s="219"/>
      <c r="G558" s="219"/>
      <c r="H558" s="219"/>
      <c r="I558" s="219"/>
      <c r="J558" s="124">
        <f>SUM(J556:J557)</f>
        <v>16800</v>
      </c>
      <c r="K558" s="1"/>
      <c r="L558" s="1"/>
      <c r="M558" s="1"/>
      <c r="N558" s="1"/>
      <c r="O558" s="1"/>
      <c r="P558" s="1"/>
      <c r="Q558" s="1"/>
      <c r="R558" s="1"/>
      <c r="S558" s="1"/>
      <c r="T558" s="1"/>
      <c r="U558" s="1"/>
      <c r="V558" s="1"/>
      <c r="W558" s="142"/>
    </row>
    <row r="559" spans="1:23" x14ac:dyDescent="0.3">
      <c r="A559" s="219" t="s">
        <v>187</v>
      </c>
      <c r="B559" s="219"/>
      <c r="C559" s="219"/>
      <c r="D559" s="219"/>
      <c r="E559" s="219"/>
      <c r="F559" s="219"/>
      <c r="G559" s="219"/>
      <c r="H559" s="219"/>
      <c r="I559" s="219"/>
      <c r="J559" s="124">
        <f>J558*18/100</f>
        <v>3024</v>
      </c>
      <c r="K559" s="1"/>
      <c r="L559" s="1"/>
      <c r="M559" s="1"/>
      <c r="N559" s="1"/>
      <c r="O559" s="1"/>
      <c r="P559" s="1"/>
      <c r="Q559" s="1"/>
      <c r="R559" s="1"/>
      <c r="S559" s="1"/>
      <c r="T559" s="1"/>
      <c r="U559" s="1"/>
      <c r="V559" s="1"/>
      <c r="W559" s="142"/>
    </row>
    <row r="560" spans="1:23" x14ac:dyDescent="0.3">
      <c r="A560" s="219" t="s">
        <v>41</v>
      </c>
      <c r="B560" s="219"/>
      <c r="C560" s="219"/>
      <c r="D560" s="219"/>
      <c r="E560" s="219"/>
      <c r="F560" s="219"/>
      <c r="G560" s="219"/>
      <c r="H560" s="219"/>
      <c r="I560" s="219"/>
      <c r="J560" s="124">
        <f>SUM(J558:J559)</f>
        <v>19824</v>
      </c>
      <c r="K560" s="1"/>
      <c r="L560" s="1"/>
      <c r="M560" s="1"/>
      <c r="N560" s="1"/>
      <c r="O560" s="1"/>
      <c r="P560" s="1"/>
      <c r="Q560" s="1"/>
      <c r="R560" s="1"/>
      <c r="S560" s="1"/>
      <c r="T560" s="1"/>
      <c r="U560" s="1"/>
      <c r="V560" s="1"/>
      <c r="W560" s="142"/>
    </row>
    <row r="561" spans="1:23" x14ac:dyDescent="0.3">
      <c r="A561" s="1"/>
      <c r="B561" s="1"/>
      <c r="C561" s="1"/>
      <c r="D561" s="1"/>
      <c r="E561" s="1"/>
      <c r="F561" s="1"/>
      <c r="G561" s="1"/>
      <c r="H561" s="1"/>
      <c r="I561" s="1"/>
      <c r="J561" s="1">
        <f t="shared" si="120"/>
        <v>0</v>
      </c>
      <c r="K561" s="1"/>
      <c r="L561" s="1"/>
      <c r="M561" s="1"/>
      <c r="N561" s="1"/>
      <c r="O561" s="1"/>
      <c r="P561" s="1"/>
      <c r="Q561" s="1"/>
      <c r="R561" s="1"/>
      <c r="S561" s="1"/>
      <c r="T561" s="1"/>
      <c r="U561" s="1"/>
      <c r="V561" s="1"/>
      <c r="W561" s="142"/>
    </row>
    <row r="562" spans="1:23" ht="25.2" x14ac:dyDescent="0.3">
      <c r="A562" s="101">
        <v>52</v>
      </c>
      <c r="B562" s="101">
        <v>8100015391</v>
      </c>
      <c r="C562" s="164">
        <v>45484</v>
      </c>
      <c r="D562" s="183" t="s">
        <v>154</v>
      </c>
      <c r="E562" s="101" t="s">
        <v>127</v>
      </c>
      <c r="F562" s="102" t="s">
        <v>564</v>
      </c>
      <c r="G562" s="101">
        <v>1</v>
      </c>
      <c r="H562" s="101" t="s">
        <v>28</v>
      </c>
      <c r="I562" s="101">
        <v>10200</v>
      </c>
      <c r="J562" s="101">
        <f t="shared" si="120"/>
        <v>10200</v>
      </c>
      <c r="K562" s="1"/>
      <c r="L562" s="1"/>
      <c r="M562" s="1"/>
      <c r="N562" s="1"/>
      <c r="O562" s="1"/>
      <c r="P562" s="1"/>
      <c r="Q562" s="1"/>
      <c r="R562" s="1"/>
      <c r="S562" s="1"/>
      <c r="T562" s="1"/>
      <c r="U562" s="1"/>
      <c r="V562" s="1"/>
      <c r="W562" s="142"/>
    </row>
    <row r="563" spans="1:23" x14ac:dyDescent="0.3">
      <c r="A563" s="101"/>
      <c r="B563" s="101"/>
      <c r="C563" s="101"/>
      <c r="D563" s="101" t="s">
        <v>1959</v>
      </c>
      <c r="E563" s="101" t="s">
        <v>123</v>
      </c>
      <c r="F563" s="101" t="s">
        <v>565</v>
      </c>
      <c r="G563" s="101">
        <v>1</v>
      </c>
      <c r="H563" s="101" t="s">
        <v>87</v>
      </c>
      <c r="I563" s="101">
        <v>3000</v>
      </c>
      <c r="J563" s="101">
        <f t="shared" si="120"/>
        <v>3000</v>
      </c>
      <c r="K563" s="1"/>
      <c r="L563" s="1"/>
      <c r="M563" s="1"/>
      <c r="N563" s="1"/>
      <c r="O563" s="1"/>
      <c r="P563" s="1"/>
      <c r="Q563" s="1"/>
      <c r="R563" s="1"/>
      <c r="S563" s="1"/>
      <c r="T563" s="1"/>
      <c r="U563" s="1"/>
      <c r="V563" s="1"/>
      <c r="W563" s="142"/>
    </row>
    <row r="564" spans="1:23" ht="25.2" x14ac:dyDescent="0.3">
      <c r="A564" s="101"/>
      <c r="B564" s="101"/>
      <c r="C564" s="101"/>
      <c r="D564" s="101"/>
      <c r="E564" s="101" t="s">
        <v>123</v>
      </c>
      <c r="F564" s="102" t="s">
        <v>566</v>
      </c>
      <c r="G564" s="101">
        <v>1</v>
      </c>
      <c r="H564" s="101" t="s">
        <v>87</v>
      </c>
      <c r="I564" s="101">
        <v>12000</v>
      </c>
      <c r="J564" s="101">
        <f t="shared" si="120"/>
        <v>12000</v>
      </c>
      <c r="K564" s="1"/>
      <c r="L564" s="1"/>
      <c r="M564" s="1"/>
      <c r="N564" s="1"/>
      <c r="O564" s="1"/>
      <c r="P564" s="1"/>
      <c r="Q564" s="1"/>
      <c r="R564" s="1"/>
      <c r="S564" s="1"/>
      <c r="T564" s="1"/>
      <c r="U564" s="1"/>
      <c r="V564" s="1"/>
      <c r="W564" s="142"/>
    </row>
    <row r="565" spans="1:23" x14ac:dyDescent="0.3">
      <c r="A565" s="219" t="s">
        <v>39</v>
      </c>
      <c r="B565" s="219"/>
      <c r="C565" s="219"/>
      <c r="D565" s="219"/>
      <c r="E565" s="219"/>
      <c r="F565" s="219"/>
      <c r="G565" s="219"/>
      <c r="H565" s="219"/>
      <c r="I565" s="219"/>
      <c r="J565" s="124">
        <f>SUM(J562:J564)</f>
        <v>25200</v>
      </c>
      <c r="K565" s="1"/>
      <c r="L565" s="1"/>
      <c r="M565" s="1"/>
      <c r="N565" s="1"/>
      <c r="O565" s="1"/>
      <c r="P565" s="1"/>
      <c r="Q565" s="1"/>
      <c r="R565" s="1"/>
      <c r="S565" s="1"/>
      <c r="T565" s="1"/>
      <c r="U565" s="1"/>
      <c r="V565" s="1"/>
      <c r="W565" s="142"/>
    </row>
    <row r="566" spans="1:23" x14ac:dyDescent="0.3">
      <c r="A566" s="219" t="s">
        <v>187</v>
      </c>
      <c r="B566" s="219"/>
      <c r="C566" s="219"/>
      <c r="D566" s="219"/>
      <c r="E566" s="219"/>
      <c r="F566" s="219"/>
      <c r="G566" s="219"/>
      <c r="H566" s="219"/>
      <c r="I566" s="219"/>
      <c r="J566" s="124">
        <f>J565*18/100</f>
        <v>4536</v>
      </c>
      <c r="K566" s="1"/>
      <c r="L566" s="1"/>
      <c r="M566" s="1"/>
      <c r="N566" s="1"/>
      <c r="O566" s="1"/>
      <c r="P566" s="1"/>
      <c r="Q566" s="1"/>
      <c r="R566" s="1"/>
      <c r="S566" s="1"/>
      <c r="T566" s="1"/>
      <c r="U566" s="1"/>
      <c r="V566" s="1"/>
      <c r="W566" s="142"/>
    </row>
    <row r="567" spans="1:23" x14ac:dyDescent="0.3">
      <c r="A567" s="219" t="s">
        <v>41</v>
      </c>
      <c r="B567" s="219"/>
      <c r="C567" s="219"/>
      <c r="D567" s="219"/>
      <c r="E567" s="219"/>
      <c r="F567" s="219"/>
      <c r="G567" s="219"/>
      <c r="H567" s="219"/>
      <c r="I567" s="219"/>
      <c r="J567" s="124">
        <f>SUM(J565:J566)</f>
        <v>29736</v>
      </c>
      <c r="K567" s="1"/>
      <c r="L567" s="1"/>
      <c r="M567" s="1"/>
      <c r="N567" s="1"/>
      <c r="O567" s="1"/>
      <c r="P567" s="1"/>
      <c r="Q567" s="1"/>
      <c r="R567" s="1"/>
      <c r="S567" s="1"/>
      <c r="T567" s="1"/>
      <c r="U567" s="1"/>
      <c r="V567" s="1"/>
      <c r="W567" s="142"/>
    </row>
    <row r="568" spans="1:23" ht="25.2" x14ac:dyDescent="0.3">
      <c r="A568" s="16">
        <v>53</v>
      </c>
      <c r="B568" s="16">
        <v>8100015400</v>
      </c>
      <c r="C568" s="19">
        <v>45484</v>
      </c>
      <c r="D568" s="16" t="s">
        <v>43</v>
      </c>
      <c r="E568" s="16" t="s">
        <v>127</v>
      </c>
      <c r="F568" s="39" t="s">
        <v>567</v>
      </c>
      <c r="G568" s="16">
        <v>100</v>
      </c>
      <c r="H568" s="16" t="s">
        <v>28</v>
      </c>
      <c r="I568" s="16">
        <v>2234</v>
      </c>
      <c r="J568" s="16">
        <f t="shared" si="120"/>
        <v>223400</v>
      </c>
      <c r="K568" s="16"/>
      <c r="L568" s="16"/>
      <c r="M568" s="16"/>
      <c r="N568" s="16"/>
      <c r="O568" s="16">
        <v>100</v>
      </c>
      <c r="P568" s="16">
        <v>2234</v>
      </c>
      <c r="Q568" s="16">
        <f>O568*P568</f>
        <v>223400</v>
      </c>
      <c r="R568" s="18">
        <v>0</v>
      </c>
      <c r="S568" s="16">
        <f>Q568*R568</f>
        <v>0</v>
      </c>
      <c r="T568" s="16">
        <f>Q568+S568</f>
        <v>223400</v>
      </c>
      <c r="U568" s="16" t="s">
        <v>568</v>
      </c>
      <c r="V568" s="19">
        <v>45334</v>
      </c>
      <c r="W568" s="142" t="s">
        <v>200</v>
      </c>
    </row>
    <row r="569" spans="1:23" ht="25.2" x14ac:dyDescent="0.3">
      <c r="A569" s="1"/>
      <c r="B569" s="1"/>
      <c r="C569" s="1"/>
      <c r="D569" s="1"/>
      <c r="E569" s="16" t="s">
        <v>127</v>
      </c>
      <c r="F569" s="39" t="s">
        <v>569</v>
      </c>
      <c r="G569" s="16">
        <v>200</v>
      </c>
      <c r="H569" s="16" t="s">
        <v>60</v>
      </c>
      <c r="I569" s="16">
        <v>110</v>
      </c>
      <c r="J569" s="16">
        <f t="shared" si="120"/>
        <v>22000</v>
      </c>
      <c r="K569" s="16"/>
      <c r="L569" s="16"/>
      <c r="M569" s="16"/>
      <c r="N569" s="16"/>
      <c r="O569" s="16">
        <v>200</v>
      </c>
      <c r="P569" s="16">
        <v>110</v>
      </c>
      <c r="Q569" s="16">
        <f>O569*P569</f>
        <v>22000</v>
      </c>
      <c r="R569" s="18">
        <v>0</v>
      </c>
      <c r="S569" s="16">
        <f>Q569*R569</f>
        <v>0</v>
      </c>
      <c r="T569" s="16">
        <f>Q569+S569</f>
        <v>22000</v>
      </c>
      <c r="U569" s="16" t="s">
        <v>568</v>
      </c>
      <c r="V569" s="19">
        <v>45334</v>
      </c>
      <c r="W569" s="142" t="s">
        <v>200</v>
      </c>
    </row>
    <row r="570" spans="1:23" ht="25.2" x14ac:dyDescent="0.3">
      <c r="A570" s="1"/>
      <c r="B570" s="1"/>
      <c r="C570" s="1"/>
      <c r="D570" s="1"/>
      <c r="E570" s="16" t="s">
        <v>123</v>
      </c>
      <c r="F570" s="39" t="s">
        <v>570</v>
      </c>
      <c r="G570" s="16">
        <v>90</v>
      </c>
      <c r="H570" s="16" t="s">
        <v>28</v>
      </c>
      <c r="I570" s="16">
        <v>150</v>
      </c>
      <c r="J570" s="16">
        <f t="shared" si="120"/>
        <v>13500</v>
      </c>
      <c r="K570" s="16"/>
      <c r="L570" s="16"/>
      <c r="M570" s="16"/>
      <c r="N570" s="16"/>
      <c r="O570" s="97">
        <v>90</v>
      </c>
      <c r="P570" s="97">
        <v>150</v>
      </c>
      <c r="Q570" s="97">
        <f t="shared" ref="Q570:Q577" si="121">O570*P570</f>
        <v>13500</v>
      </c>
      <c r="R570" s="111">
        <v>0</v>
      </c>
      <c r="S570" s="97">
        <f t="shared" ref="S570:S577" si="122">Q570*R570</f>
        <v>0</v>
      </c>
      <c r="T570" s="97">
        <f t="shared" ref="T570:T577" si="123">Q570+S570</f>
        <v>13500</v>
      </c>
      <c r="U570" s="97" t="s">
        <v>571</v>
      </c>
      <c r="V570" s="110" t="s">
        <v>126</v>
      </c>
      <c r="W570" s="142" t="s">
        <v>1047</v>
      </c>
    </row>
    <row r="571" spans="1:23" x14ac:dyDescent="0.3">
      <c r="A571" s="1"/>
      <c r="B571" s="1"/>
      <c r="C571" s="1"/>
      <c r="D571" s="1"/>
      <c r="E571" s="16" t="s">
        <v>123</v>
      </c>
      <c r="F571" s="16" t="s">
        <v>572</v>
      </c>
      <c r="G571" s="16">
        <v>200</v>
      </c>
      <c r="H571" s="16" t="s">
        <v>60</v>
      </c>
      <c r="I571" s="16">
        <v>45</v>
      </c>
      <c r="J571" s="16">
        <f t="shared" si="120"/>
        <v>9000</v>
      </c>
      <c r="K571" s="16"/>
      <c r="L571" s="16"/>
      <c r="M571" s="16"/>
      <c r="N571" s="16"/>
      <c r="O571" s="97">
        <v>200</v>
      </c>
      <c r="P571" s="97">
        <v>45</v>
      </c>
      <c r="Q571" s="97">
        <f t="shared" si="121"/>
        <v>9000</v>
      </c>
      <c r="R571" s="111">
        <v>0</v>
      </c>
      <c r="S571" s="97">
        <f t="shared" si="122"/>
        <v>0</v>
      </c>
      <c r="T571" s="97">
        <f t="shared" si="123"/>
        <v>9000</v>
      </c>
      <c r="U571" s="97" t="s">
        <v>571</v>
      </c>
      <c r="V571" s="110" t="s">
        <v>126</v>
      </c>
      <c r="W571" s="142" t="s">
        <v>1047</v>
      </c>
    </row>
    <row r="572" spans="1:23" x14ac:dyDescent="0.3">
      <c r="A572" s="1"/>
      <c r="B572" s="1"/>
      <c r="C572" s="1"/>
      <c r="D572" s="1"/>
      <c r="E572" s="16" t="s">
        <v>123</v>
      </c>
      <c r="F572" s="16" t="s">
        <v>573</v>
      </c>
      <c r="G572" s="16">
        <v>200</v>
      </c>
      <c r="H572" s="16" t="s">
        <v>60</v>
      </c>
      <c r="I572" s="16">
        <v>75</v>
      </c>
      <c r="J572" s="16">
        <f t="shared" si="120"/>
        <v>15000</v>
      </c>
      <c r="K572" s="16"/>
      <c r="L572" s="16"/>
      <c r="M572" s="16"/>
      <c r="N572" s="16"/>
      <c r="O572" s="97">
        <v>200</v>
      </c>
      <c r="P572" s="97">
        <v>75</v>
      </c>
      <c r="Q572" s="97">
        <f t="shared" si="121"/>
        <v>15000</v>
      </c>
      <c r="R572" s="111">
        <v>0</v>
      </c>
      <c r="S572" s="97">
        <f t="shared" si="122"/>
        <v>0</v>
      </c>
      <c r="T572" s="97">
        <f t="shared" si="123"/>
        <v>15000</v>
      </c>
      <c r="U572" s="97" t="s">
        <v>571</v>
      </c>
      <c r="V572" s="110" t="s">
        <v>126</v>
      </c>
      <c r="W572" s="142" t="s">
        <v>1047</v>
      </c>
    </row>
    <row r="573" spans="1:23" x14ac:dyDescent="0.3">
      <c r="A573" s="1"/>
      <c r="B573" s="1"/>
      <c r="C573" s="1"/>
      <c r="D573" s="1"/>
      <c r="E573" s="16" t="s">
        <v>123</v>
      </c>
      <c r="F573" s="16" t="s">
        <v>574</v>
      </c>
      <c r="G573" s="16">
        <v>20</v>
      </c>
      <c r="H573" s="16" t="s">
        <v>28</v>
      </c>
      <c r="I573" s="16">
        <v>280</v>
      </c>
      <c r="J573" s="16">
        <f t="shared" si="120"/>
        <v>5600</v>
      </c>
      <c r="K573" s="16">
        <v>15</v>
      </c>
      <c r="L573" s="16" t="s">
        <v>28</v>
      </c>
      <c r="M573" s="16" t="s">
        <v>91</v>
      </c>
      <c r="N573" s="16" t="s">
        <v>575</v>
      </c>
      <c r="O573" s="97">
        <v>20</v>
      </c>
      <c r="P573" s="97">
        <v>280</v>
      </c>
      <c r="Q573" s="97">
        <f t="shared" si="121"/>
        <v>5600</v>
      </c>
      <c r="R573" s="111">
        <v>0</v>
      </c>
      <c r="S573" s="97">
        <f t="shared" si="122"/>
        <v>0</v>
      </c>
      <c r="T573" s="97">
        <f t="shared" si="123"/>
        <v>5600</v>
      </c>
      <c r="U573" s="97" t="s">
        <v>571</v>
      </c>
      <c r="V573" s="110" t="s">
        <v>126</v>
      </c>
      <c r="W573" s="142" t="s">
        <v>1047</v>
      </c>
    </row>
    <row r="574" spans="1:23" ht="25.2" x14ac:dyDescent="0.3">
      <c r="A574" s="1"/>
      <c r="B574" s="1"/>
      <c r="C574" s="1"/>
      <c r="D574" s="1"/>
      <c r="E574" s="16" t="s">
        <v>123</v>
      </c>
      <c r="F574" s="39" t="s">
        <v>576</v>
      </c>
      <c r="G574" s="16">
        <v>12000</v>
      </c>
      <c r="H574" s="16" t="s">
        <v>111</v>
      </c>
      <c r="I574" s="16">
        <v>13</v>
      </c>
      <c r="J574" s="16">
        <f t="shared" si="120"/>
        <v>156000</v>
      </c>
      <c r="K574" s="16">
        <v>3</v>
      </c>
      <c r="L574" s="16" t="s">
        <v>577</v>
      </c>
      <c r="M574" s="16" t="s">
        <v>91</v>
      </c>
      <c r="N574" s="16" t="s">
        <v>578</v>
      </c>
      <c r="O574" s="97">
        <v>12000</v>
      </c>
      <c r="P574" s="97">
        <v>13</v>
      </c>
      <c r="Q574" s="97">
        <f t="shared" si="121"/>
        <v>156000</v>
      </c>
      <c r="R574" s="111">
        <v>0</v>
      </c>
      <c r="S574" s="97">
        <f t="shared" si="122"/>
        <v>0</v>
      </c>
      <c r="T574" s="97">
        <f t="shared" si="123"/>
        <v>156000</v>
      </c>
      <c r="U574" s="97" t="s">
        <v>571</v>
      </c>
      <c r="V574" s="110" t="s">
        <v>126</v>
      </c>
      <c r="W574" s="142" t="s">
        <v>1047</v>
      </c>
    </row>
    <row r="575" spans="1:23" ht="25.2" x14ac:dyDescent="0.3">
      <c r="A575" s="1"/>
      <c r="B575" s="1"/>
      <c r="C575" s="1"/>
      <c r="D575" s="1"/>
      <c r="E575" s="16" t="s">
        <v>123</v>
      </c>
      <c r="F575" s="39" t="s">
        <v>579</v>
      </c>
      <c r="G575" s="16">
        <v>10000</v>
      </c>
      <c r="H575" s="16" t="s">
        <v>111</v>
      </c>
      <c r="I575" s="16">
        <v>13</v>
      </c>
      <c r="J575" s="16">
        <f t="shared" si="120"/>
        <v>130000</v>
      </c>
      <c r="K575" s="16">
        <v>2</v>
      </c>
      <c r="L575" s="16" t="s">
        <v>577</v>
      </c>
      <c r="M575" s="16" t="s">
        <v>91</v>
      </c>
      <c r="N575" s="16" t="s">
        <v>578</v>
      </c>
      <c r="O575" s="97">
        <v>10000</v>
      </c>
      <c r="P575" s="97">
        <v>13</v>
      </c>
      <c r="Q575" s="97">
        <f t="shared" si="121"/>
        <v>130000</v>
      </c>
      <c r="R575" s="111">
        <v>0</v>
      </c>
      <c r="S575" s="97">
        <f t="shared" si="122"/>
        <v>0</v>
      </c>
      <c r="T575" s="97">
        <f t="shared" si="123"/>
        <v>130000</v>
      </c>
      <c r="U575" s="97" t="s">
        <v>571</v>
      </c>
      <c r="V575" s="110" t="s">
        <v>126</v>
      </c>
      <c r="W575" s="142" t="s">
        <v>1047</v>
      </c>
    </row>
    <row r="576" spans="1:23" ht="25.2" x14ac:dyDescent="0.3">
      <c r="A576" s="1"/>
      <c r="B576" s="1"/>
      <c r="C576" s="1"/>
      <c r="D576" s="1"/>
      <c r="E576" s="16" t="s">
        <v>123</v>
      </c>
      <c r="F576" s="39" t="s">
        <v>580</v>
      </c>
      <c r="G576" s="16">
        <v>500</v>
      </c>
      <c r="H576" s="16" t="s">
        <v>111</v>
      </c>
      <c r="I576" s="16">
        <v>150</v>
      </c>
      <c r="J576" s="16">
        <f t="shared" si="120"/>
        <v>75000</v>
      </c>
      <c r="K576" s="16">
        <v>15</v>
      </c>
      <c r="L576" s="16" t="s">
        <v>28</v>
      </c>
      <c r="M576" s="16" t="s">
        <v>91</v>
      </c>
      <c r="N576" s="16" t="s">
        <v>575</v>
      </c>
      <c r="O576" s="97">
        <v>500</v>
      </c>
      <c r="P576" s="97">
        <v>150</v>
      </c>
      <c r="Q576" s="97">
        <f t="shared" si="121"/>
        <v>75000</v>
      </c>
      <c r="R576" s="111">
        <v>0</v>
      </c>
      <c r="S576" s="97">
        <f t="shared" si="122"/>
        <v>0</v>
      </c>
      <c r="T576" s="97">
        <f t="shared" si="123"/>
        <v>75000</v>
      </c>
      <c r="U576" s="97" t="s">
        <v>571</v>
      </c>
      <c r="V576" s="110" t="s">
        <v>126</v>
      </c>
      <c r="W576" s="142" t="s">
        <v>1047</v>
      </c>
    </row>
    <row r="577" spans="1:23" x14ac:dyDescent="0.3">
      <c r="A577" s="1"/>
      <c r="B577" s="1"/>
      <c r="C577" s="1"/>
      <c r="D577" s="1"/>
      <c r="E577" s="16" t="s">
        <v>123</v>
      </c>
      <c r="F577" s="16" t="s">
        <v>581</v>
      </c>
      <c r="G577" s="16">
        <v>30</v>
      </c>
      <c r="H577" s="16" t="s">
        <v>28</v>
      </c>
      <c r="I577" s="16">
        <v>150</v>
      </c>
      <c r="J577" s="16">
        <f t="shared" si="120"/>
        <v>4500</v>
      </c>
      <c r="K577" s="16"/>
      <c r="L577" s="16"/>
      <c r="M577" s="16"/>
      <c r="N577" s="16"/>
      <c r="O577" s="97">
        <v>30</v>
      </c>
      <c r="P577" s="97">
        <v>150</v>
      </c>
      <c r="Q577" s="97">
        <f t="shared" si="121"/>
        <v>4500</v>
      </c>
      <c r="R577" s="111">
        <v>0</v>
      </c>
      <c r="S577" s="97">
        <f t="shared" si="122"/>
        <v>0</v>
      </c>
      <c r="T577" s="97">
        <f t="shared" si="123"/>
        <v>4500</v>
      </c>
      <c r="U577" s="97" t="s">
        <v>571</v>
      </c>
      <c r="V577" s="110" t="s">
        <v>126</v>
      </c>
      <c r="W577" s="142" t="s">
        <v>1047</v>
      </c>
    </row>
    <row r="578" spans="1:23" x14ac:dyDescent="0.3">
      <c r="A578" s="219" t="s">
        <v>39</v>
      </c>
      <c r="B578" s="219"/>
      <c r="C578" s="219"/>
      <c r="D578" s="219"/>
      <c r="E578" s="219"/>
      <c r="F578" s="219"/>
      <c r="G578" s="219"/>
      <c r="H578" s="219"/>
      <c r="I578" s="219"/>
      <c r="J578" s="124">
        <f>SUM(J568:J577)</f>
        <v>654000</v>
      </c>
      <c r="K578" s="1"/>
      <c r="L578" s="1"/>
      <c r="M578" s="1"/>
      <c r="N578" s="1"/>
      <c r="O578" s="1"/>
      <c r="P578" s="1"/>
      <c r="Q578" s="1"/>
      <c r="R578" s="1"/>
      <c r="S578" s="1"/>
      <c r="T578" s="1">
        <f>SUM(T568:T577)</f>
        <v>654000</v>
      </c>
      <c r="U578" s="1"/>
      <c r="V578" s="1"/>
      <c r="W578" s="142"/>
    </row>
    <row r="579" spans="1:23" x14ac:dyDescent="0.3">
      <c r="A579" s="219" t="s">
        <v>82</v>
      </c>
      <c r="B579" s="219"/>
      <c r="C579" s="219"/>
      <c r="D579" s="219"/>
      <c r="E579" s="219"/>
      <c r="F579" s="219"/>
      <c r="G579" s="219"/>
      <c r="H579" s="219"/>
      <c r="I579" s="219"/>
      <c r="J579" s="124">
        <v>0</v>
      </c>
      <c r="K579" s="1"/>
      <c r="L579" s="1"/>
      <c r="M579" s="1"/>
      <c r="N579" s="1"/>
      <c r="O579" s="1"/>
      <c r="P579" s="1"/>
      <c r="Q579" s="1"/>
      <c r="R579" s="1"/>
      <c r="S579" s="1"/>
      <c r="T579" s="1"/>
      <c r="U579" s="1"/>
      <c r="V579" s="1"/>
      <c r="W579" s="142"/>
    </row>
    <row r="580" spans="1:23" x14ac:dyDescent="0.3">
      <c r="A580" s="219" t="s">
        <v>41</v>
      </c>
      <c r="B580" s="219"/>
      <c r="C580" s="219"/>
      <c r="D580" s="219"/>
      <c r="E580" s="219"/>
      <c r="F580" s="219"/>
      <c r="G580" s="219"/>
      <c r="H580" s="219"/>
      <c r="I580" s="219"/>
      <c r="J580" s="124">
        <f>SUM(J578:J579)</f>
        <v>654000</v>
      </c>
      <c r="K580" s="1"/>
      <c r="L580" s="1"/>
      <c r="M580" s="1"/>
      <c r="N580" s="1"/>
      <c r="O580" s="1"/>
      <c r="P580" s="1"/>
      <c r="Q580" s="1"/>
      <c r="R580" s="1"/>
      <c r="S580" s="1"/>
      <c r="T580" s="1"/>
      <c r="U580" s="1"/>
      <c r="V580" s="1"/>
      <c r="W580" s="142"/>
    </row>
    <row r="581" spans="1:23" x14ac:dyDescent="0.3">
      <c r="A581" s="16">
        <v>54</v>
      </c>
      <c r="B581" s="16">
        <v>8100015440</v>
      </c>
      <c r="C581" s="19">
        <v>45607</v>
      </c>
      <c r="D581" s="38" t="s">
        <v>582</v>
      </c>
      <c r="E581" s="16" t="s">
        <v>127</v>
      </c>
      <c r="F581" s="16" t="s">
        <v>583</v>
      </c>
      <c r="G581" s="16">
        <v>1</v>
      </c>
      <c r="H581" s="16" t="s">
        <v>28</v>
      </c>
      <c r="I581" s="16">
        <v>26000</v>
      </c>
      <c r="J581" s="16">
        <f>G581*I581</f>
        <v>26000</v>
      </c>
      <c r="K581" s="16"/>
      <c r="L581" s="16"/>
      <c r="M581" s="16"/>
      <c r="N581" s="16"/>
      <c r="O581" s="16">
        <v>1</v>
      </c>
      <c r="P581" s="16">
        <v>26000</v>
      </c>
      <c r="Q581" s="16">
        <f>O581*P581</f>
        <v>26000</v>
      </c>
      <c r="R581" s="18">
        <v>0.18</v>
      </c>
      <c r="S581" s="16">
        <f>Q581*R581</f>
        <v>4680</v>
      </c>
      <c r="T581" s="16">
        <f>Q581+S581</f>
        <v>30680</v>
      </c>
      <c r="U581" s="16" t="s">
        <v>1170</v>
      </c>
      <c r="V581" s="19" t="s">
        <v>1171</v>
      </c>
      <c r="W581" s="142" t="s">
        <v>1218</v>
      </c>
    </row>
    <row r="582" spans="1:23" ht="25.2" x14ac:dyDescent="0.3">
      <c r="A582" s="1"/>
      <c r="B582" s="1"/>
      <c r="C582" s="1"/>
      <c r="D582" s="1"/>
      <c r="E582" s="16" t="s">
        <v>127</v>
      </c>
      <c r="F582" s="39" t="s">
        <v>584</v>
      </c>
      <c r="G582" s="16">
        <v>1</v>
      </c>
      <c r="H582" s="16" t="s">
        <v>28</v>
      </c>
      <c r="I582" s="16">
        <v>23050</v>
      </c>
      <c r="J582" s="16">
        <f t="shared" ref="J582:J596" si="124">G582*I582</f>
        <v>23050</v>
      </c>
      <c r="K582" s="16"/>
      <c r="L582" s="16"/>
      <c r="M582" s="16"/>
      <c r="N582" s="16"/>
      <c r="O582" s="16">
        <v>1</v>
      </c>
      <c r="P582" s="16">
        <v>23050</v>
      </c>
      <c r="Q582" s="16">
        <f t="shared" ref="Q582:Q586" si="125">O582*P582</f>
        <v>23050</v>
      </c>
      <c r="R582" s="18">
        <v>0.18</v>
      </c>
      <c r="S582" s="16">
        <f t="shared" ref="S582:S586" si="126">Q582*R582</f>
        <v>4149</v>
      </c>
      <c r="T582" s="16">
        <f t="shared" ref="T582:T586" si="127">Q582+S582</f>
        <v>27199</v>
      </c>
      <c r="U582" s="16" t="s">
        <v>1170</v>
      </c>
      <c r="V582" s="19" t="s">
        <v>1171</v>
      </c>
      <c r="W582" s="142" t="s">
        <v>1218</v>
      </c>
    </row>
    <row r="583" spans="1:23" ht="25.2" x14ac:dyDescent="0.3">
      <c r="A583" s="1"/>
      <c r="B583" s="1"/>
      <c r="C583" s="1"/>
      <c r="D583" s="1"/>
      <c r="E583" s="16" t="s">
        <v>127</v>
      </c>
      <c r="F583" s="39" t="s">
        <v>585</v>
      </c>
      <c r="G583" s="16">
        <v>1</v>
      </c>
      <c r="H583" s="16" t="s">
        <v>28</v>
      </c>
      <c r="I583" s="16">
        <v>1900</v>
      </c>
      <c r="J583" s="16">
        <f t="shared" si="124"/>
        <v>1900</v>
      </c>
      <c r="K583" s="16"/>
      <c r="L583" s="16"/>
      <c r="M583" s="16"/>
      <c r="N583" s="16"/>
      <c r="O583" s="16">
        <v>1</v>
      </c>
      <c r="P583" s="16">
        <v>1900</v>
      </c>
      <c r="Q583" s="16">
        <f t="shared" si="125"/>
        <v>1900</v>
      </c>
      <c r="R583" s="18">
        <v>0.18</v>
      </c>
      <c r="S583" s="16">
        <f t="shared" si="126"/>
        <v>342</v>
      </c>
      <c r="T583" s="16">
        <f t="shared" si="127"/>
        <v>2242</v>
      </c>
      <c r="U583" s="16" t="s">
        <v>1170</v>
      </c>
      <c r="V583" s="19" t="s">
        <v>1171</v>
      </c>
      <c r="W583" s="142" t="s">
        <v>1218</v>
      </c>
    </row>
    <row r="584" spans="1:23" ht="25.2" x14ac:dyDescent="0.3">
      <c r="A584" s="1"/>
      <c r="B584" s="1"/>
      <c r="C584" s="1"/>
      <c r="D584" s="1"/>
      <c r="E584" s="16" t="s">
        <v>127</v>
      </c>
      <c r="F584" s="39" t="s">
        <v>586</v>
      </c>
      <c r="G584" s="16">
        <v>1</v>
      </c>
      <c r="H584" s="16" t="s">
        <v>28</v>
      </c>
      <c r="I584" s="16">
        <v>2300</v>
      </c>
      <c r="J584" s="16">
        <f t="shared" si="124"/>
        <v>2300</v>
      </c>
      <c r="K584" s="16"/>
      <c r="L584" s="16"/>
      <c r="M584" s="16"/>
      <c r="N584" s="16"/>
      <c r="O584" s="16">
        <v>1</v>
      </c>
      <c r="P584" s="16">
        <v>2300</v>
      </c>
      <c r="Q584" s="16">
        <f t="shared" si="125"/>
        <v>2300</v>
      </c>
      <c r="R584" s="18">
        <v>0.18</v>
      </c>
      <c r="S584" s="16">
        <f t="shared" si="126"/>
        <v>414</v>
      </c>
      <c r="T584" s="16">
        <f t="shared" si="127"/>
        <v>2714</v>
      </c>
      <c r="U584" s="16" t="s">
        <v>1170</v>
      </c>
      <c r="V584" s="19" t="s">
        <v>1171</v>
      </c>
      <c r="W584" s="142" t="s">
        <v>1218</v>
      </c>
    </row>
    <row r="585" spans="1:23" x14ac:dyDescent="0.3">
      <c r="A585" s="1"/>
      <c r="B585" s="1"/>
      <c r="C585" s="1"/>
      <c r="D585" s="1"/>
      <c r="E585" s="16" t="s">
        <v>127</v>
      </c>
      <c r="F585" s="16" t="s">
        <v>587</v>
      </c>
      <c r="G585" s="16">
        <v>2</v>
      </c>
      <c r="H585" s="16" t="s">
        <v>28</v>
      </c>
      <c r="I585" s="16">
        <v>600</v>
      </c>
      <c r="J585" s="16">
        <f t="shared" si="124"/>
        <v>1200</v>
      </c>
      <c r="K585" s="16"/>
      <c r="L585" s="16"/>
      <c r="M585" s="16"/>
      <c r="N585" s="16"/>
      <c r="O585" s="16">
        <v>2</v>
      </c>
      <c r="P585" s="16">
        <v>600</v>
      </c>
      <c r="Q585" s="16">
        <f t="shared" si="125"/>
        <v>1200</v>
      </c>
      <c r="R585" s="18">
        <v>0.18</v>
      </c>
      <c r="S585" s="16">
        <f t="shared" si="126"/>
        <v>216</v>
      </c>
      <c r="T585" s="16">
        <f t="shared" si="127"/>
        <v>1416</v>
      </c>
      <c r="U585" s="16" t="s">
        <v>1170</v>
      </c>
      <c r="V585" s="19" t="s">
        <v>1171</v>
      </c>
      <c r="W585" s="142" t="s">
        <v>1218</v>
      </c>
    </row>
    <row r="586" spans="1:23" x14ac:dyDescent="0.3">
      <c r="A586" s="1"/>
      <c r="B586" s="1"/>
      <c r="C586" s="1"/>
      <c r="D586" s="1"/>
      <c r="E586" s="16" t="s">
        <v>123</v>
      </c>
      <c r="F586" s="16" t="s">
        <v>588</v>
      </c>
      <c r="G586" s="16">
        <v>1</v>
      </c>
      <c r="H586" s="16" t="s">
        <v>87</v>
      </c>
      <c r="I586" s="16">
        <v>3000</v>
      </c>
      <c r="J586" s="16">
        <f t="shared" si="124"/>
        <v>3000</v>
      </c>
      <c r="K586" s="16"/>
      <c r="L586" s="16"/>
      <c r="M586" s="16"/>
      <c r="N586" s="16"/>
      <c r="O586" s="97">
        <v>1</v>
      </c>
      <c r="P586" s="97">
        <v>3000</v>
      </c>
      <c r="Q586" s="97">
        <f t="shared" si="125"/>
        <v>3000</v>
      </c>
      <c r="R586" s="111">
        <v>0.18</v>
      </c>
      <c r="S586" s="97">
        <f t="shared" si="126"/>
        <v>540</v>
      </c>
      <c r="T586" s="97">
        <f t="shared" si="127"/>
        <v>3540</v>
      </c>
      <c r="U586" s="97" t="s">
        <v>1240</v>
      </c>
      <c r="V586" s="110" t="s">
        <v>1241</v>
      </c>
      <c r="W586" s="142" t="s">
        <v>1764</v>
      </c>
    </row>
    <row r="587" spans="1:23" x14ac:dyDescent="0.3">
      <c r="A587" s="219" t="s">
        <v>39</v>
      </c>
      <c r="B587" s="219"/>
      <c r="C587" s="219"/>
      <c r="D587" s="219"/>
      <c r="E587" s="219"/>
      <c r="F587" s="219"/>
      <c r="G587" s="219"/>
      <c r="H587" s="219"/>
      <c r="I587" s="219"/>
      <c r="J587" s="124">
        <f>SUM(J581:J586)</f>
        <v>57450</v>
      </c>
      <c r="K587" s="1"/>
      <c r="L587" s="1"/>
      <c r="M587" s="1"/>
      <c r="N587" s="1"/>
      <c r="O587" s="1"/>
      <c r="P587" s="1"/>
      <c r="Q587" s="1"/>
      <c r="R587" s="1"/>
      <c r="S587" s="1"/>
      <c r="T587" s="1"/>
      <c r="U587" s="1"/>
      <c r="V587" s="1"/>
      <c r="W587" s="142"/>
    </row>
    <row r="588" spans="1:23" x14ac:dyDescent="0.3">
      <c r="A588" s="219" t="s">
        <v>187</v>
      </c>
      <c r="B588" s="219"/>
      <c r="C588" s="219"/>
      <c r="D588" s="219"/>
      <c r="E588" s="219"/>
      <c r="F588" s="219"/>
      <c r="G588" s="219"/>
      <c r="H588" s="219"/>
      <c r="I588" s="219"/>
      <c r="J588" s="124">
        <f>J587*18/100</f>
        <v>10341</v>
      </c>
      <c r="K588" s="1"/>
      <c r="L588" s="1"/>
      <c r="M588" s="1"/>
      <c r="N588" s="1"/>
      <c r="O588" s="1"/>
      <c r="P588" s="1"/>
      <c r="Q588" s="1"/>
      <c r="R588" s="1"/>
      <c r="S588" s="1"/>
      <c r="T588" s="1"/>
      <c r="U588" s="1"/>
      <c r="V588" s="1"/>
      <c r="W588" s="142"/>
    </row>
    <row r="589" spans="1:23" x14ac:dyDescent="0.3">
      <c r="A589" s="219" t="s">
        <v>41</v>
      </c>
      <c r="B589" s="219"/>
      <c r="C589" s="219"/>
      <c r="D589" s="219"/>
      <c r="E589" s="219"/>
      <c r="F589" s="219"/>
      <c r="G589" s="219"/>
      <c r="H589" s="219"/>
      <c r="I589" s="219"/>
      <c r="J589" s="124">
        <f>SUM(J587:J588)</f>
        <v>67791</v>
      </c>
      <c r="K589" s="1"/>
      <c r="L589" s="1"/>
      <c r="M589" s="1"/>
      <c r="N589" s="1"/>
      <c r="O589" s="1"/>
      <c r="P589" s="1"/>
      <c r="Q589" s="1"/>
      <c r="R589" s="1"/>
      <c r="S589" s="1"/>
      <c r="T589" s="1"/>
      <c r="U589" s="1"/>
      <c r="V589" s="1"/>
      <c r="W589" s="142"/>
    </row>
    <row r="590" spans="1:23" x14ac:dyDescent="0.3">
      <c r="A590" s="1"/>
      <c r="B590" s="1"/>
      <c r="C590" s="1"/>
      <c r="D590" s="1"/>
      <c r="E590" s="1"/>
      <c r="F590" s="1"/>
      <c r="G590" s="1"/>
      <c r="H590" s="1"/>
      <c r="I590" s="1"/>
      <c r="J590" s="1">
        <f t="shared" si="124"/>
        <v>0</v>
      </c>
      <c r="K590" s="1"/>
      <c r="L590" s="1"/>
      <c r="M590" s="1"/>
      <c r="N590" s="1"/>
      <c r="O590" s="1"/>
      <c r="P590" s="1"/>
      <c r="Q590" s="1"/>
      <c r="R590" s="1"/>
      <c r="S590" s="1"/>
      <c r="T590" s="1"/>
      <c r="U590" s="1"/>
      <c r="V590" s="1"/>
      <c r="W590" s="142"/>
    </row>
    <row r="591" spans="1:23" ht="25.2" x14ac:dyDescent="0.3">
      <c r="A591" s="16">
        <v>55</v>
      </c>
      <c r="B591" s="16">
        <v>9200125753</v>
      </c>
      <c r="C591" s="16" t="s">
        <v>589</v>
      </c>
      <c r="D591" s="16" t="s">
        <v>43</v>
      </c>
      <c r="E591" s="16" t="s">
        <v>123</v>
      </c>
      <c r="F591" s="39" t="s">
        <v>590</v>
      </c>
      <c r="G591" s="16">
        <v>120</v>
      </c>
      <c r="H591" s="16" t="s">
        <v>60</v>
      </c>
      <c r="I591" s="16">
        <v>450</v>
      </c>
      <c r="J591" s="16">
        <f t="shared" si="124"/>
        <v>54000</v>
      </c>
      <c r="K591" s="16"/>
      <c r="L591" s="16"/>
      <c r="M591" s="16"/>
      <c r="N591" s="16"/>
      <c r="O591" s="16">
        <v>120</v>
      </c>
      <c r="P591" s="16">
        <v>450</v>
      </c>
      <c r="Q591" s="16">
        <f>O591*P591</f>
        <v>54000</v>
      </c>
      <c r="R591" s="18">
        <v>0</v>
      </c>
      <c r="S591" s="16">
        <f>Q591*R591</f>
        <v>0</v>
      </c>
      <c r="T591" s="16">
        <f>Q591+S591</f>
        <v>54000</v>
      </c>
      <c r="U591" s="16" t="s">
        <v>591</v>
      </c>
      <c r="V591" s="19" t="s">
        <v>592</v>
      </c>
      <c r="W591" s="147" t="s">
        <v>1066</v>
      </c>
    </row>
    <row r="592" spans="1:23" x14ac:dyDescent="0.3">
      <c r="A592" s="1"/>
      <c r="B592" s="1"/>
      <c r="C592" s="1"/>
      <c r="D592" s="1"/>
      <c r="E592" s="16" t="s">
        <v>123</v>
      </c>
      <c r="F592" s="16" t="s">
        <v>593</v>
      </c>
      <c r="G592" s="16">
        <v>120</v>
      </c>
      <c r="H592" s="16" t="s">
        <v>60</v>
      </c>
      <c r="I592" s="16">
        <v>245</v>
      </c>
      <c r="J592" s="16">
        <f t="shared" si="124"/>
        <v>29400</v>
      </c>
      <c r="K592" s="16"/>
      <c r="L592" s="16"/>
      <c r="M592" s="16"/>
      <c r="N592" s="16"/>
      <c r="O592" s="16">
        <v>120</v>
      </c>
      <c r="P592" s="16">
        <v>245</v>
      </c>
      <c r="Q592" s="16">
        <f t="shared" ref="Q592:Q596" si="128">O592*P592</f>
        <v>29400</v>
      </c>
      <c r="R592" s="18">
        <v>0</v>
      </c>
      <c r="S592" s="16">
        <f t="shared" ref="S592:S596" si="129">Q592*R592</f>
        <v>0</v>
      </c>
      <c r="T592" s="16">
        <f t="shared" ref="T592:T596" si="130">Q592+S592</f>
        <v>29400</v>
      </c>
      <c r="U592" s="16" t="s">
        <v>591</v>
      </c>
      <c r="V592" s="19" t="s">
        <v>592</v>
      </c>
      <c r="W592" s="147" t="s">
        <v>1066</v>
      </c>
    </row>
    <row r="593" spans="1:23" x14ac:dyDescent="0.3">
      <c r="A593" s="1"/>
      <c r="B593" s="1"/>
      <c r="C593" s="1"/>
      <c r="D593" s="1"/>
      <c r="E593" s="16" t="s">
        <v>123</v>
      </c>
      <c r="F593" s="16" t="s">
        <v>594</v>
      </c>
      <c r="G593" s="16">
        <v>120</v>
      </c>
      <c r="H593" s="16" t="s">
        <v>60</v>
      </c>
      <c r="I593" s="16">
        <v>850</v>
      </c>
      <c r="J593" s="16">
        <f t="shared" si="124"/>
        <v>102000</v>
      </c>
      <c r="K593" s="16"/>
      <c r="L593" s="16"/>
      <c r="M593" s="16"/>
      <c r="N593" s="16"/>
      <c r="O593" s="16">
        <v>120</v>
      </c>
      <c r="P593" s="16">
        <v>850</v>
      </c>
      <c r="Q593" s="16">
        <f t="shared" si="128"/>
        <v>102000</v>
      </c>
      <c r="R593" s="18">
        <v>0</v>
      </c>
      <c r="S593" s="16">
        <f t="shared" si="129"/>
        <v>0</v>
      </c>
      <c r="T593" s="16">
        <f t="shared" si="130"/>
        <v>102000</v>
      </c>
      <c r="U593" s="16" t="s">
        <v>591</v>
      </c>
      <c r="V593" s="19" t="s">
        <v>592</v>
      </c>
      <c r="W593" s="147" t="s">
        <v>1066</v>
      </c>
    </row>
    <row r="594" spans="1:23" x14ac:dyDescent="0.3">
      <c r="A594" s="1"/>
      <c r="B594" s="1"/>
      <c r="C594" s="1"/>
      <c r="D594" s="1"/>
      <c r="E594" s="16" t="s">
        <v>123</v>
      </c>
      <c r="F594" s="16" t="s">
        <v>595</v>
      </c>
      <c r="G594" s="16">
        <v>120</v>
      </c>
      <c r="H594" s="16" t="s">
        <v>60</v>
      </c>
      <c r="I594" s="16">
        <v>335</v>
      </c>
      <c r="J594" s="16">
        <f t="shared" si="124"/>
        <v>40200</v>
      </c>
      <c r="K594" s="16"/>
      <c r="L594" s="16"/>
      <c r="M594" s="16"/>
      <c r="N594" s="16"/>
      <c r="O594" s="16">
        <v>120</v>
      </c>
      <c r="P594" s="16">
        <v>335</v>
      </c>
      <c r="Q594" s="16">
        <f t="shared" si="128"/>
        <v>40200</v>
      </c>
      <c r="R594" s="18">
        <v>0</v>
      </c>
      <c r="S594" s="16">
        <f t="shared" si="129"/>
        <v>0</v>
      </c>
      <c r="T594" s="16">
        <f t="shared" si="130"/>
        <v>40200</v>
      </c>
      <c r="U594" s="16" t="s">
        <v>591</v>
      </c>
      <c r="V594" s="19" t="s">
        <v>592</v>
      </c>
      <c r="W594" s="147" t="s">
        <v>1066</v>
      </c>
    </row>
    <row r="595" spans="1:23" ht="25.2" x14ac:dyDescent="0.3">
      <c r="A595" s="1"/>
      <c r="B595" s="1"/>
      <c r="C595" s="1"/>
      <c r="D595" s="1"/>
      <c r="E595" s="16" t="s">
        <v>123</v>
      </c>
      <c r="F595" s="39" t="s">
        <v>596</v>
      </c>
      <c r="G595" s="16">
        <v>1</v>
      </c>
      <c r="H595" s="16" t="s">
        <v>87</v>
      </c>
      <c r="I595" s="16">
        <v>24000</v>
      </c>
      <c r="J595" s="16">
        <f t="shared" si="124"/>
        <v>24000</v>
      </c>
      <c r="K595" s="16"/>
      <c r="L595" s="16"/>
      <c r="M595" s="16"/>
      <c r="N595" s="16"/>
      <c r="O595" s="16">
        <v>1</v>
      </c>
      <c r="P595" s="16">
        <v>24000</v>
      </c>
      <c r="Q595" s="16">
        <f t="shared" si="128"/>
        <v>24000</v>
      </c>
      <c r="R595" s="18">
        <v>0</v>
      </c>
      <c r="S595" s="16">
        <f t="shared" si="129"/>
        <v>0</v>
      </c>
      <c r="T595" s="16">
        <f t="shared" si="130"/>
        <v>24000</v>
      </c>
      <c r="U595" s="16" t="s">
        <v>591</v>
      </c>
      <c r="V595" s="19" t="s">
        <v>592</v>
      </c>
      <c r="W595" s="147" t="s">
        <v>1066</v>
      </c>
    </row>
    <row r="596" spans="1:23" x14ac:dyDescent="0.3">
      <c r="A596" s="1"/>
      <c r="B596" s="1"/>
      <c r="C596" s="1"/>
      <c r="D596" s="1"/>
      <c r="E596" s="16" t="s">
        <v>123</v>
      </c>
      <c r="F596" s="16" t="s">
        <v>597</v>
      </c>
      <c r="G596" s="16">
        <v>240</v>
      </c>
      <c r="H596" s="16" t="s">
        <v>60</v>
      </c>
      <c r="I596" s="16">
        <v>85</v>
      </c>
      <c r="J596" s="16">
        <f t="shared" si="124"/>
        <v>20400</v>
      </c>
      <c r="K596" s="16"/>
      <c r="L596" s="16"/>
      <c r="M596" s="119" t="s">
        <v>91</v>
      </c>
      <c r="N596" s="119" t="s">
        <v>598</v>
      </c>
      <c r="O596" s="16">
        <v>240</v>
      </c>
      <c r="P596" s="16">
        <v>85</v>
      </c>
      <c r="Q596" s="16">
        <f t="shared" si="128"/>
        <v>20400</v>
      </c>
      <c r="R596" s="18">
        <v>0</v>
      </c>
      <c r="S596" s="16">
        <f t="shared" si="129"/>
        <v>0</v>
      </c>
      <c r="T596" s="16">
        <f t="shared" si="130"/>
        <v>20400</v>
      </c>
      <c r="U596" s="16" t="s">
        <v>591</v>
      </c>
      <c r="V596" s="19" t="s">
        <v>592</v>
      </c>
      <c r="W596" s="147" t="s">
        <v>1066</v>
      </c>
    </row>
    <row r="597" spans="1:23" x14ac:dyDescent="0.3">
      <c r="A597" s="219" t="s">
        <v>39</v>
      </c>
      <c r="B597" s="219"/>
      <c r="C597" s="219"/>
      <c r="D597" s="219"/>
      <c r="E597" s="219"/>
      <c r="F597" s="219"/>
      <c r="G597" s="219"/>
      <c r="H597" s="219"/>
      <c r="I597" s="219"/>
      <c r="J597" s="124">
        <f>SUM(J591:J596)</f>
        <v>270000</v>
      </c>
      <c r="K597" s="1"/>
      <c r="L597" s="1"/>
      <c r="M597" s="1"/>
      <c r="N597" s="1"/>
      <c r="O597" s="1"/>
      <c r="P597" s="1"/>
      <c r="Q597" s="1"/>
      <c r="R597" s="1"/>
      <c r="S597" s="1"/>
      <c r="T597" s="1"/>
      <c r="U597" s="1"/>
      <c r="V597" s="1"/>
      <c r="W597" s="142"/>
    </row>
    <row r="598" spans="1:23" x14ac:dyDescent="0.3">
      <c r="A598" s="219" t="s">
        <v>599</v>
      </c>
      <c r="B598" s="219"/>
      <c r="C598" s="219"/>
      <c r="D598" s="219"/>
      <c r="E598" s="219"/>
      <c r="F598" s="219"/>
      <c r="G598" s="219"/>
      <c r="H598" s="219"/>
      <c r="I598" s="219"/>
      <c r="J598" s="124">
        <v>0</v>
      </c>
      <c r="K598" s="1"/>
      <c r="L598" s="1"/>
      <c r="M598" s="1"/>
      <c r="N598" s="1"/>
      <c r="O598" s="1"/>
      <c r="P598" s="1"/>
      <c r="Q598" s="1"/>
      <c r="R598" s="1"/>
      <c r="S598" s="1"/>
      <c r="T598" s="1">
        <f>SUM(T591:T597)</f>
        <v>270000</v>
      </c>
      <c r="U598" s="1"/>
      <c r="V598" s="1"/>
      <c r="W598" s="142"/>
    </row>
    <row r="599" spans="1:23" x14ac:dyDescent="0.3">
      <c r="A599" s="219" t="s">
        <v>41</v>
      </c>
      <c r="B599" s="219"/>
      <c r="C599" s="219"/>
      <c r="D599" s="219"/>
      <c r="E599" s="219"/>
      <c r="F599" s="219"/>
      <c r="G599" s="219"/>
      <c r="H599" s="219"/>
      <c r="I599" s="219"/>
      <c r="J599" s="124">
        <f>SUM(J597:J598)</f>
        <v>270000</v>
      </c>
      <c r="K599" s="1"/>
      <c r="L599" s="1"/>
      <c r="M599" s="1"/>
      <c r="N599" s="1"/>
      <c r="O599" s="1"/>
      <c r="P599" s="1"/>
      <c r="Q599" s="1"/>
      <c r="R599" s="1"/>
      <c r="S599" s="1"/>
      <c r="T599" s="1"/>
      <c r="U599" s="1"/>
      <c r="V599" s="1"/>
      <c r="W599" s="142"/>
    </row>
    <row r="600" spans="1:23" x14ac:dyDescent="0.3">
      <c r="A600" s="16">
        <v>56</v>
      </c>
      <c r="B600" s="16">
        <v>8100015469</v>
      </c>
      <c r="C600" s="16" t="s">
        <v>589</v>
      </c>
      <c r="D600" s="16" t="s">
        <v>43</v>
      </c>
      <c r="E600" s="16" t="s">
        <v>127</v>
      </c>
      <c r="F600" s="39" t="s">
        <v>600</v>
      </c>
      <c r="G600" s="16">
        <v>1</v>
      </c>
      <c r="H600" s="16" t="s">
        <v>181</v>
      </c>
      <c r="I600" s="16">
        <v>13000</v>
      </c>
      <c r="J600" s="16">
        <f>G600*I600</f>
        <v>13000</v>
      </c>
      <c r="K600" s="16"/>
      <c r="L600" s="16"/>
      <c r="M600" s="16"/>
      <c r="N600" s="16"/>
      <c r="O600" s="16"/>
      <c r="P600" s="16">
        <v>1</v>
      </c>
      <c r="Q600" s="16">
        <v>13000</v>
      </c>
      <c r="R600" s="18">
        <v>0</v>
      </c>
      <c r="S600" s="16">
        <f>Q600*R600</f>
        <v>0</v>
      </c>
      <c r="T600" s="16">
        <f>Q600+S600</f>
        <v>13000</v>
      </c>
      <c r="U600" s="16" t="s">
        <v>1100</v>
      </c>
      <c r="V600" s="16" t="s">
        <v>1174</v>
      </c>
      <c r="W600" s="142" t="s">
        <v>1218</v>
      </c>
    </row>
    <row r="601" spans="1:23" ht="25.2" x14ac:dyDescent="0.3">
      <c r="A601" s="1"/>
      <c r="B601" s="1"/>
      <c r="C601" s="1"/>
      <c r="D601" s="1"/>
      <c r="E601" s="16" t="s">
        <v>123</v>
      </c>
      <c r="F601" s="39" t="s">
        <v>601</v>
      </c>
      <c r="G601" s="16">
        <v>1</v>
      </c>
      <c r="H601" s="16" t="s">
        <v>87</v>
      </c>
      <c r="I601" s="16">
        <v>15000</v>
      </c>
      <c r="J601" s="16">
        <f>G601*I601</f>
        <v>15000</v>
      </c>
      <c r="K601" s="16"/>
      <c r="L601" s="16"/>
      <c r="M601" s="16"/>
      <c r="N601" s="16"/>
      <c r="O601" s="16"/>
      <c r="P601" s="97">
        <v>1</v>
      </c>
      <c r="Q601" s="97">
        <v>15000</v>
      </c>
      <c r="R601" s="111">
        <v>0</v>
      </c>
      <c r="S601" s="97">
        <f>Q601*R601</f>
        <v>0</v>
      </c>
      <c r="T601" s="97">
        <f>Q601+S601</f>
        <v>15000</v>
      </c>
      <c r="U601" s="97" t="s">
        <v>1255</v>
      </c>
      <c r="V601" s="110">
        <v>45782</v>
      </c>
      <c r="W601" s="142" t="s">
        <v>1256</v>
      </c>
    </row>
    <row r="602" spans="1:23" x14ac:dyDescent="0.3">
      <c r="A602" s="219" t="s">
        <v>39</v>
      </c>
      <c r="B602" s="219"/>
      <c r="C602" s="219"/>
      <c r="D602" s="219"/>
      <c r="E602" s="219"/>
      <c r="F602" s="219"/>
      <c r="G602" s="219"/>
      <c r="H602" s="219"/>
      <c r="I602" s="219"/>
      <c r="J602" s="124">
        <f>SUM(J600:J601)</f>
        <v>28000</v>
      </c>
      <c r="K602" s="1"/>
      <c r="L602" s="1"/>
      <c r="M602" s="1"/>
      <c r="N602" s="1"/>
      <c r="O602" s="1"/>
      <c r="P602" s="1"/>
      <c r="Q602" s="1"/>
      <c r="R602" s="1"/>
      <c r="S602" s="1"/>
      <c r="T602" s="1"/>
      <c r="U602" s="1"/>
      <c r="V602" s="1"/>
      <c r="W602" s="142"/>
    </row>
    <row r="603" spans="1:23" x14ac:dyDescent="0.3">
      <c r="A603" s="219" t="s">
        <v>599</v>
      </c>
      <c r="B603" s="219"/>
      <c r="C603" s="219"/>
      <c r="D603" s="219"/>
      <c r="E603" s="219"/>
      <c r="F603" s="219"/>
      <c r="G603" s="219"/>
      <c r="H603" s="219"/>
      <c r="I603" s="219"/>
      <c r="J603" s="124">
        <v>0</v>
      </c>
      <c r="K603" s="1"/>
      <c r="L603" s="1"/>
      <c r="M603" s="1"/>
      <c r="N603" s="1"/>
      <c r="O603" s="1"/>
      <c r="P603" s="1"/>
      <c r="Q603" s="1"/>
      <c r="R603" s="1"/>
      <c r="S603" s="1"/>
      <c r="T603" s="1"/>
      <c r="U603" s="1"/>
      <c r="V603" s="1"/>
      <c r="W603" s="142"/>
    </row>
    <row r="604" spans="1:23" x14ac:dyDescent="0.3">
      <c r="A604" s="219" t="s">
        <v>41</v>
      </c>
      <c r="B604" s="219"/>
      <c r="C604" s="219"/>
      <c r="D604" s="219"/>
      <c r="E604" s="219"/>
      <c r="F604" s="219"/>
      <c r="G604" s="219"/>
      <c r="H604" s="219"/>
      <c r="I604" s="219"/>
      <c r="J604" s="124">
        <f>SUM(J602:J603)</f>
        <v>28000</v>
      </c>
      <c r="K604" s="1"/>
      <c r="L604" s="1"/>
      <c r="M604" s="1"/>
      <c r="N604" s="1"/>
      <c r="O604" s="1"/>
      <c r="P604" s="1"/>
      <c r="Q604" s="1"/>
      <c r="R604" s="1"/>
      <c r="S604" s="1"/>
      <c r="T604" s="1"/>
      <c r="U604" s="1"/>
      <c r="V604" s="1"/>
      <c r="W604" s="142"/>
    </row>
    <row r="605" spans="1:23" x14ac:dyDescent="0.3">
      <c r="A605" s="124"/>
      <c r="B605" s="124"/>
      <c r="C605" s="124"/>
      <c r="D605" s="124"/>
      <c r="E605" s="124"/>
      <c r="F605" s="124"/>
      <c r="G605" s="124"/>
      <c r="H605" s="124"/>
      <c r="I605" s="124"/>
      <c r="J605" s="124"/>
      <c r="K605" s="1"/>
      <c r="L605" s="1"/>
      <c r="M605" s="1"/>
      <c r="N605" s="1"/>
      <c r="O605" s="1"/>
      <c r="P605" s="1"/>
      <c r="Q605" s="1"/>
      <c r="R605" s="1"/>
      <c r="S605" s="1"/>
      <c r="T605" s="1"/>
      <c r="U605" s="1"/>
      <c r="V605" s="1"/>
      <c r="W605" s="142"/>
    </row>
    <row r="606" spans="1:23" x14ac:dyDescent="0.3">
      <c r="A606" s="1">
        <v>57</v>
      </c>
      <c r="B606" s="16">
        <v>9200125793</v>
      </c>
      <c r="C606" s="16" t="s">
        <v>602</v>
      </c>
      <c r="D606" s="16" t="s">
        <v>43</v>
      </c>
      <c r="E606" s="16" t="s">
        <v>123</v>
      </c>
      <c r="F606" s="16" t="s">
        <v>261</v>
      </c>
      <c r="G606" s="16">
        <v>102</v>
      </c>
      <c r="H606" s="16" t="s">
        <v>60</v>
      </c>
      <c r="I606" s="16">
        <v>1330</v>
      </c>
      <c r="J606" s="16">
        <f>G606*I606</f>
        <v>135660</v>
      </c>
      <c r="K606" s="16">
        <v>17</v>
      </c>
      <c r="L606" s="16" t="s">
        <v>28</v>
      </c>
      <c r="M606" s="16" t="s">
        <v>91</v>
      </c>
      <c r="N606" s="16" t="s">
        <v>603</v>
      </c>
      <c r="O606" s="16">
        <v>102</v>
      </c>
      <c r="P606" s="16">
        <v>1330</v>
      </c>
      <c r="Q606" s="16">
        <f>O606*P606</f>
        <v>135660</v>
      </c>
      <c r="R606" s="18">
        <v>0</v>
      </c>
      <c r="S606" s="16">
        <f>Q606*R606</f>
        <v>0</v>
      </c>
      <c r="T606" s="16">
        <f>Q606+S606</f>
        <v>135660</v>
      </c>
      <c r="U606" s="16" t="s">
        <v>604</v>
      </c>
      <c r="V606" s="19" t="s">
        <v>592</v>
      </c>
      <c r="W606" s="142" t="s">
        <v>1117</v>
      </c>
    </row>
    <row r="607" spans="1:23" x14ac:dyDescent="0.3">
      <c r="A607" s="1"/>
      <c r="B607" s="1"/>
      <c r="C607" s="1"/>
      <c r="D607" s="1"/>
      <c r="E607" s="16" t="s">
        <v>123</v>
      </c>
      <c r="F607" s="39" t="s">
        <v>267</v>
      </c>
      <c r="G607" s="16">
        <v>132</v>
      </c>
      <c r="H607" s="16" t="s">
        <v>28</v>
      </c>
      <c r="I607" s="16">
        <v>250</v>
      </c>
      <c r="J607" s="16">
        <f t="shared" ref="J607:J615" si="131">G607*I607</f>
        <v>33000</v>
      </c>
      <c r="K607" s="16"/>
      <c r="L607" s="16"/>
      <c r="M607" s="16"/>
      <c r="N607" s="16"/>
      <c r="O607" s="16">
        <v>132</v>
      </c>
      <c r="P607" s="16">
        <v>250</v>
      </c>
      <c r="Q607" s="16">
        <f t="shared" ref="Q607:Q615" si="132">O607*P607</f>
        <v>33000</v>
      </c>
      <c r="R607" s="18">
        <v>0</v>
      </c>
      <c r="S607" s="16">
        <f t="shared" ref="S607:S615" si="133">Q607*R607</f>
        <v>0</v>
      </c>
      <c r="T607" s="16">
        <f t="shared" ref="T607:T615" si="134">Q607+S607</f>
        <v>33000</v>
      </c>
      <c r="U607" s="16" t="s">
        <v>604</v>
      </c>
      <c r="V607" s="19" t="s">
        <v>592</v>
      </c>
      <c r="W607" s="142" t="s">
        <v>1117</v>
      </c>
    </row>
    <row r="608" spans="1:23" x14ac:dyDescent="0.3">
      <c r="A608" s="1"/>
      <c r="B608" s="1"/>
      <c r="C608" s="1"/>
      <c r="D608" s="1"/>
      <c r="E608" s="16" t="s">
        <v>123</v>
      </c>
      <c r="F608" s="16" t="s">
        <v>605</v>
      </c>
      <c r="G608" s="16">
        <v>26</v>
      </c>
      <c r="H608" s="16" t="s">
        <v>28</v>
      </c>
      <c r="I608" s="16">
        <v>1024</v>
      </c>
      <c r="J608" s="16">
        <f t="shared" si="131"/>
        <v>26624</v>
      </c>
      <c r="K608" s="16"/>
      <c r="L608" s="16"/>
      <c r="M608" s="16"/>
      <c r="N608" s="16"/>
      <c r="O608" s="16">
        <v>26</v>
      </c>
      <c r="P608" s="16">
        <v>1024</v>
      </c>
      <c r="Q608" s="16">
        <f t="shared" si="132"/>
        <v>26624</v>
      </c>
      <c r="R608" s="18">
        <v>0</v>
      </c>
      <c r="S608" s="16">
        <f t="shared" si="133"/>
        <v>0</v>
      </c>
      <c r="T608" s="16">
        <f t="shared" si="134"/>
        <v>26624</v>
      </c>
      <c r="U608" s="16" t="s">
        <v>604</v>
      </c>
      <c r="V608" s="19" t="s">
        <v>592</v>
      </c>
      <c r="W608" s="142" t="s">
        <v>1117</v>
      </c>
    </row>
    <row r="609" spans="1:23" x14ac:dyDescent="0.3">
      <c r="A609" s="1"/>
      <c r="B609" s="1"/>
      <c r="C609" s="1"/>
      <c r="D609" s="1"/>
      <c r="E609" s="16" t="s">
        <v>123</v>
      </c>
      <c r="F609" s="16" t="s">
        <v>606</v>
      </c>
      <c r="G609" s="16">
        <v>26</v>
      </c>
      <c r="H609" s="16" t="s">
        <v>28</v>
      </c>
      <c r="I609" s="16">
        <v>1514</v>
      </c>
      <c r="J609" s="16">
        <f t="shared" si="131"/>
        <v>39364</v>
      </c>
      <c r="K609" s="16" t="s">
        <v>607</v>
      </c>
      <c r="L609" s="16" t="s">
        <v>28</v>
      </c>
      <c r="M609" s="16" t="s">
        <v>91</v>
      </c>
      <c r="N609" s="16" t="s">
        <v>608</v>
      </c>
      <c r="O609" s="119">
        <v>20</v>
      </c>
      <c r="P609" s="16">
        <v>1514</v>
      </c>
      <c r="Q609" s="16">
        <f t="shared" si="132"/>
        <v>30280</v>
      </c>
      <c r="R609" s="18">
        <v>0</v>
      </c>
      <c r="S609" s="16">
        <f t="shared" si="133"/>
        <v>0</v>
      </c>
      <c r="T609" s="16">
        <f t="shared" si="134"/>
        <v>30280</v>
      </c>
      <c r="U609" s="16" t="s">
        <v>604</v>
      </c>
      <c r="V609" s="19" t="s">
        <v>592</v>
      </c>
      <c r="W609" s="142" t="s">
        <v>1117</v>
      </c>
    </row>
    <row r="610" spans="1:23" x14ac:dyDescent="0.3">
      <c r="A610" s="1"/>
      <c r="B610" s="1"/>
      <c r="C610" s="1"/>
      <c r="D610" s="1" t="s">
        <v>609</v>
      </c>
      <c r="E610" s="16" t="s">
        <v>123</v>
      </c>
      <c r="F610" s="16" t="s">
        <v>610</v>
      </c>
      <c r="G610" s="16">
        <v>26</v>
      </c>
      <c r="H610" s="16" t="s">
        <v>28</v>
      </c>
      <c r="I610" s="16">
        <v>330</v>
      </c>
      <c r="J610" s="16">
        <f t="shared" si="131"/>
        <v>8580</v>
      </c>
      <c r="K610" s="16"/>
      <c r="L610" s="16"/>
      <c r="M610" s="16"/>
      <c r="N610" s="16"/>
      <c r="O610" s="16">
        <v>26</v>
      </c>
      <c r="P610" s="16">
        <v>330</v>
      </c>
      <c r="Q610" s="16">
        <f t="shared" si="132"/>
        <v>8580</v>
      </c>
      <c r="R610" s="18">
        <v>0</v>
      </c>
      <c r="S610" s="16">
        <f t="shared" si="133"/>
        <v>0</v>
      </c>
      <c r="T610" s="16">
        <f t="shared" si="134"/>
        <v>8580</v>
      </c>
      <c r="U610" s="16" t="s">
        <v>604</v>
      </c>
      <c r="V610" s="19" t="s">
        <v>592</v>
      </c>
      <c r="W610" s="142" t="s">
        <v>1117</v>
      </c>
    </row>
    <row r="611" spans="1:23" x14ac:dyDescent="0.3">
      <c r="A611" s="1"/>
      <c r="B611" s="1"/>
      <c r="C611" s="1"/>
      <c r="D611" s="1"/>
      <c r="E611" s="16" t="s">
        <v>123</v>
      </c>
      <c r="F611" s="16" t="s">
        <v>611</v>
      </c>
      <c r="G611" s="16">
        <v>25</v>
      </c>
      <c r="H611" s="16" t="s">
        <v>28</v>
      </c>
      <c r="I611" s="16">
        <v>384.8</v>
      </c>
      <c r="J611" s="16">
        <f t="shared" si="131"/>
        <v>9620</v>
      </c>
      <c r="K611" s="16">
        <v>4</v>
      </c>
      <c r="L611" s="16" t="s">
        <v>53</v>
      </c>
      <c r="M611" s="16" t="s">
        <v>91</v>
      </c>
      <c r="N611" s="16" t="s">
        <v>603</v>
      </c>
      <c r="O611" s="16">
        <v>25</v>
      </c>
      <c r="P611" s="16">
        <v>384.8</v>
      </c>
      <c r="Q611" s="16">
        <f t="shared" si="132"/>
        <v>9620</v>
      </c>
      <c r="R611" s="18">
        <v>0</v>
      </c>
      <c r="S611" s="16">
        <f t="shared" si="133"/>
        <v>0</v>
      </c>
      <c r="T611" s="16">
        <f t="shared" si="134"/>
        <v>9620</v>
      </c>
      <c r="U611" s="16" t="s">
        <v>604</v>
      </c>
      <c r="V611" s="19" t="s">
        <v>592</v>
      </c>
      <c r="W611" s="142" t="s">
        <v>1117</v>
      </c>
    </row>
    <row r="612" spans="1:23" x14ac:dyDescent="0.3">
      <c r="A612" s="1"/>
      <c r="B612" s="1"/>
      <c r="C612" s="1"/>
      <c r="D612" s="1"/>
      <c r="E612" s="16" t="s">
        <v>123</v>
      </c>
      <c r="F612" s="16" t="s">
        <v>269</v>
      </c>
      <c r="G612" s="16">
        <v>28</v>
      </c>
      <c r="H612" s="16" t="s">
        <v>28</v>
      </c>
      <c r="I612" s="16">
        <v>1000</v>
      </c>
      <c r="J612" s="16">
        <f t="shared" si="131"/>
        <v>28000</v>
      </c>
      <c r="K612" s="16"/>
      <c r="L612" s="16"/>
      <c r="M612" s="16"/>
      <c r="N612" s="16"/>
      <c r="O612" s="16">
        <v>28</v>
      </c>
      <c r="P612" s="16">
        <v>1000</v>
      </c>
      <c r="Q612" s="16">
        <f t="shared" si="132"/>
        <v>28000</v>
      </c>
      <c r="R612" s="18">
        <v>0</v>
      </c>
      <c r="S612" s="16">
        <f t="shared" si="133"/>
        <v>0</v>
      </c>
      <c r="T612" s="16">
        <f t="shared" si="134"/>
        <v>28000</v>
      </c>
      <c r="U612" s="16" t="s">
        <v>604</v>
      </c>
      <c r="V612" s="19" t="s">
        <v>592</v>
      </c>
      <c r="W612" s="142" t="s">
        <v>1117</v>
      </c>
    </row>
    <row r="613" spans="1:23" x14ac:dyDescent="0.3">
      <c r="A613" s="1"/>
      <c r="B613" s="1"/>
      <c r="C613" s="1"/>
      <c r="D613" s="1"/>
      <c r="E613" s="16" t="s">
        <v>123</v>
      </c>
      <c r="F613" s="16" t="s">
        <v>612</v>
      </c>
      <c r="G613" s="16">
        <v>28</v>
      </c>
      <c r="H613" s="16" t="s">
        <v>28</v>
      </c>
      <c r="I613" s="16">
        <v>1000</v>
      </c>
      <c r="J613" s="16">
        <f t="shared" si="131"/>
        <v>28000</v>
      </c>
      <c r="K613" s="16"/>
      <c r="L613" s="16"/>
      <c r="M613" s="16"/>
      <c r="N613" s="16"/>
      <c r="O613" s="16">
        <v>28</v>
      </c>
      <c r="P613" s="16">
        <v>1000</v>
      </c>
      <c r="Q613" s="16">
        <f t="shared" si="132"/>
        <v>28000</v>
      </c>
      <c r="R613" s="18">
        <v>0</v>
      </c>
      <c r="S613" s="16">
        <f t="shared" si="133"/>
        <v>0</v>
      </c>
      <c r="T613" s="16">
        <f t="shared" si="134"/>
        <v>28000</v>
      </c>
      <c r="U613" s="16" t="s">
        <v>604</v>
      </c>
      <c r="V613" s="19" t="s">
        <v>592</v>
      </c>
      <c r="W613" s="142" t="s">
        <v>1117</v>
      </c>
    </row>
    <row r="614" spans="1:23" x14ac:dyDescent="0.3">
      <c r="A614" s="1"/>
      <c r="B614" s="1"/>
      <c r="C614" s="1"/>
      <c r="D614" s="1"/>
      <c r="E614" s="16" t="s">
        <v>123</v>
      </c>
      <c r="F614" s="16" t="s">
        <v>271</v>
      </c>
      <c r="G614" s="16">
        <v>28</v>
      </c>
      <c r="H614" s="16" t="s">
        <v>28</v>
      </c>
      <c r="I614" s="16">
        <v>300</v>
      </c>
      <c r="J614" s="16">
        <f t="shared" si="131"/>
        <v>8400</v>
      </c>
      <c r="K614" s="16"/>
      <c r="L614" s="16"/>
      <c r="M614" s="16"/>
      <c r="N614" s="16"/>
      <c r="O614" s="16">
        <v>28</v>
      </c>
      <c r="P614" s="16">
        <v>300</v>
      </c>
      <c r="Q614" s="16">
        <f t="shared" si="132"/>
        <v>8400</v>
      </c>
      <c r="R614" s="18">
        <v>0</v>
      </c>
      <c r="S614" s="16">
        <f t="shared" si="133"/>
        <v>0</v>
      </c>
      <c r="T614" s="16">
        <f t="shared" si="134"/>
        <v>8400</v>
      </c>
      <c r="U614" s="16" t="s">
        <v>604</v>
      </c>
      <c r="V614" s="19" t="s">
        <v>592</v>
      </c>
      <c r="W614" s="142" t="s">
        <v>1117</v>
      </c>
    </row>
    <row r="615" spans="1:23" ht="25.2" x14ac:dyDescent="0.3">
      <c r="A615" s="1"/>
      <c r="B615" s="1"/>
      <c r="C615" s="1"/>
      <c r="D615" s="1"/>
      <c r="E615" s="16" t="s">
        <v>123</v>
      </c>
      <c r="F615" s="39" t="s">
        <v>272</v>
      </c>
      <c r="G615" s="16">
        <v>28</v>
      </c>
      <c r="H615" s="16" t="s">
        <v>28</v>
      </c>
      <c r="I615" s="16">
        <v>2500</v>
      </c>
      <c r="J615" s="16">
        <f t="shared" si="131"/>
        <v>70000</v>
      </c>
      <c r="K615" s="16"/>
      <c r="L615" s="16"/>
      <c r="M615" s="16"/>
      <c r="N615" s="16"/>
      <c r="O615" s="16">
        <v>28</v>
      </c>
      <c r="P615" s="16">
        <v>2500</v>
      </c>
      <c r="Q615" s="16">
        <f t="shared" si="132"/>
        <v>70000</v>
      </c>
      <c r="R615" s="18">
        <v>0</v>
      </c>
      <c r="S615" s="16">
        <f t="shared" si="133"/>
        <v>0</v>
      </c>
      <c r="T615" s="16">
        <f t="shared" si="134"/>
        <v>70000</v>
      </c>
      <c r="U615" s="16" t="s">
        <v>604</v>
      </c>
      <c r="V615" s="19" t="s">
        <v>592</v>
      </c>
      <c r="W615" s="142" t="s">
        <v>1117</v>
      </c>
    </row>
    <row r="616" spans="1:23" x14ac:dyDescent="0.3">
      <c r="A616" s="219" t="s">
        <v>39</v>
      </c>
      <c r="B616" s="219"/>
      <c r="C616" s="219"/>
      <c r="D616" s="219"/>
      <c r="E616" s="219"/>
      <c r="F616" s="219"/>
      <c r="G616" s="219"/>
      <c r="H616" s="219"/>
      <c r="I616" s="219"/>
      <c r="J616" s="124">
        <f>SUM(J606:J615)</f>
        <v>387248</v>
      </c>
      <c r="K616" s="1"/>
      <c r="L616" s="1"/>
      <c r="M616" s="1"/>
      <c r="N616" s="1"/>
      <c r="O616" s="1"/>
      <c r="P616" s="1"/>
      <c r="Q616" s="1"/>
      <c r="R616" s="1"/>
      <c r="S616" s="1"/>
      <c r="T616" s="1"/>
      <c r="U616" s="1"/>
      <c r="V616" s="1"/>
      <c r="W616" s="142"/>
    </row>
    <row r="617" spans="1:23" x14ac:dyDescent="0.3">
      <c r="A617" s="219" t="s">
        <v>599</v>
      </c>
      <c r="B617" s="219"/>
      <c r="C617" s="219"/>
      <c r="D617" s="219"/>
      <c r="E617" s="219"/>
      <c r="F617" s="219"/>
      <c r="G617" s="219"/>
      <c r="H617" s="219"/>
      <c r="I617" s="219"/>
      <c r="J617" s="124">
        <f>J616*0/100</f>
        <v>0</v>
      </c>
      <c r="K617" s="1"/>
      <c r="L617" s="1"/>
      <c r="M617" s="1"/>
      <c r="N617" s="1"/>
      <c r="O617" s="1"/>
      <c r="P617" s="1"/>
      <c r="Q617" s="1"/>
      <c r="R617" s="1"/>
      <c r="S617" s="1"/>
      <c r="T617" s="1"/>
      <c r="U617" s="1"/>
      <c r="V617" s="1"/>
      <c r="W617" s="142"/>
    </row>
    <row r="618" spans="1:23" x14ac:dyDescent="0.3">
      <c r="A618" s="219" t="s">
        <v>41</v>
      </c>
      <c r="B618" s="219"/>
      <c r="C618" s="219"/>
      <c r="D618" s="219"/>
      <c r="E618" s="219"/>
      <c r="F618" s="219"/>
      <c r="G618" s="219"/>
      <c r="H618" s="219"/>
      <c r="I618" s="219"/>
      <c r="J618" s="124">
        <f>SUM(J616:J617)</f>
        <v>387248</v>
      </c>
      <c r="K618" s="1"/>
      <c r="L618" s="1"/>
      <c r="M618" s="1"/>
      <c r="N618" s="1"/>
      <c r="O618" s="1"/>
      <c r="P618" s="1"/>
      <c r="Q618" s="1"/>
      <c r="R618" s="1"/>
      <c r="S618" s="1"/>
      <c r="T618" s="1"/>
      <c r="U618" s="1"/>
      <c r="V618" s="1"/>
      <c r="W618" s="142"/>
    </row>
    <row r="619" spans="1:23" x14ac:dyDescent="0.3">
      <c r="A619" s="124"/>
      <c r="B619" s="124"/>
      <c r="C619" s="124"/>
      <c r="D619" s="124"/>
      <c r="E619" s="124"/>
      <c r="F619" s="124"/>
      <c r="G619" s="124"/>
      <c r="H619" s="124"/>
      <c r="I619" s="124"/>
      <c r="J619" s="124"/>
      <c r="K619" s="1"/>
      <c r="L619" s="1"/>
      <c r="M619" s="1"/>
      <c r="N619" s="1"/>
      <c r="O619" s="1"/>
      <c r="P619" s="1"/>
      <c r="Q619" s="1"/>
      <c r="R619" s="1"/>
      <c r="S619" s="1"/>
      <c r="T619" s="1"/>
      <c r="U619" s="1"/>
      <c r="V619" s="1"/>
      <c r="W619" s="142"/>
    </row>
    <row r="620" spans="1:23" x14ac:dyDescent="0.3">
      <c r="A620" s="16">
        <v>58</v>
      </c>
      <c r="B620" s="16">
        <v>8100015585</v>
      </c>
      <c r="C620" s="16" t="s">
        <v>508</v>
      </c>
      <c r="D620" s="16" t="s">
        <v>43</v>
      </c>
      <c r="E620" s="16" t="s">
        <v>123</v>
      </c>
      <c r="F620" s="16" t="s">
        <v>613</v>
      </c>
      <c r="G620" s="16">
        <v>100</v>
      </c>
      <c r="H620" s="16" t="s">
        <v>60</v>
      </c>
      <c r="I620" s="16">
        <v>110</v>
      </c>
      <c r="J620" s="16">
        <f>G620*I620</f>
        <v>11000</v>
      </c>
      <c r="K620" s="16">
        <v>100</v>
      </c>
      <c r="L620" s="16" t="s">
        <v>60</v>
      </c>
      <c r="M620" s="16" t="s">
        <v>91</v>
      </c>
      <c r="N620" s="16" t="s">
        <v>614</v>
      </c>
      <c r="O620" s="16">
        <v>100</v>
      </c>
      <c r="P620" s="16">
        <v>110</v>
      </c>
      <c r="Q620" s="16">
        <f>O620*P620</f>
        <v>11000</v>
      </c>
      <c r="R620" s="18">
        <v>0.18</v>
      </c>
      <c r="S620" s="16">
        <f>Q620*R620</f>
        <v>1980</v>
      </c>
      <c r="T620" s="16">
        <f>Q620+S620</f>
        <v>12980</v>
      </c>
      <c r="U620" s="16" t="s">
        <v>615</v>
      </c>
      <c r="V620" s="19" t="s">
        <v>486</v>
      </c>
      <c r="W620" s="146">
        <v>45994</v>
      </c>
    </row>
    <row r="621" spans="1:23" ht="25.2" x14ac:dyDescent="0.3">
      <c r="A621" s="1"/>
      <c r="B621" s="1"/>
      <c r="C621" s="1"/>
      <c r="D621" s="1"/>
      <c r="E621" s="16" t="s">
        <v>123</v>
      </c>
      <c r="F621" s="39" t="s">
        <v>616</v>
      </c>
      <c r="G621" s="16">
        <v>4</v>
      </c>
      <c r="H621" s="16" t="s">
        <v>28</v>
      </c>
      <c r="I621" s="16">
        <v>1000</v>
      </c>
      <c r="J621" s="16">
        <f t="shared" ref="J621:J624" si="135">G621*I621</f>
        <v>4000</v>
      </c>
      <c r="K621" s="16">
        <v>4</v>
      </c>
      <c r="L621" s="16" t="s">
        <v>181</v>
      </c>
      <c r="M621" s="16" t="s">
        <v>91</v>
      </c>
      <c r="N621" s="16" t="s">
        <v>614</v>
      </c>
      <c r="O621" s="16">
        <v>4</v>
      </c>
      <c r="P621" s="16">
        <v>1000</v>
      </c>
      <c r="Q621" s="16">
        <f t="shared" ref="Q621:Q623" si="136">O621*P621</f>
        <v>4000</v>
      </c>
      <c r="R621" s="18">
        <v>0.18</v>
      </c>
      <c r="S621" s="16">
        <f t="shared" ref="S621:S623" si="137">Q621*R621</f>
        <v>720</v>
      </c>
      <c r="T621" s="16">
        <f t="shared" ref="T621:T623" si="138">Q621+S621</f>
        <v>4720</v>
      </c>
      <c r="U621" s="16" t="s">
        <v>615</v>
      </c>
      <c r="V621" s="19" t="s">
        <v>486</v>
      </c>
      <c r="W621" s="146">
        <v>45994</v>
      </c>
    </row>
    <row r="622" spans="1:23" x14ac:dyDescent="0.3">
      <c r="A622" s="1"/>
      <c r="B622" s="1"/>
      <c r="C622" s="1"/>
      <c r="D622" s="1"/>
      <c r="E622" s="16" t="s">
        <v>123</v>
      </c>
      <c r="F622" s="39" t="s">
        <v>617</v>
      </c>
      <c r="G622" s="16">
        <v>100</v>
      </c>
      <c r="H622" s="16" t="s">
        <v>60</v>
      </c>
      <c r="I622" s="16">
        <v>80</v>
      </c>
      <c r="J622" s="16">
        <f t="shared" si="135"/>
        <v>8000</v>
      </c>
      <c r="K622" s="16"/>
      <c r="L622" s="16"/>
      <c r="M622" s="16"/>
      <c r="N622" s="16"/>
      <c r="O622" s="16">
        <v>100</v>
      </c>
      <c r="P622" s="16">
        <v>80</v>
      </c>
      <c r="Q622" s="16">
        <f t="shared" si="136"/>
        <v>8000</v>
      </c>
      <c r="R622" s="18">
        <v>0.18</v>
      </c>
      <c r="S622" s="16">
        <f t="shared" si="137"/>
        <v>1440</v>
      </c>
      <c r="T622" s="16">
        <f t="shared" si="138"/>
        <v>9440</v>
      </c>
      <c r="U622" s="16" t="s">
        <v>615</v>
      </c>
      <c r="V622" s="19" t="s">
        <v>486</v>
      </c>
      <c r="W622" s="146">
        <v>45994</v>
      </c>
    </row>
    <row r="623" spans="1:23" x14ac:dyDescent="0.3">
      <c r="A623" s="1"/>
      <c r="B623" s="1"/>
      <c r="C623" s="1"/>
      <c r="D623" s="1"/>
      <c r="E623" s="16" t="s">
        <v>123</v>
      </c>
      <c r="F623" s="16" t="s">
        <v>618</v>
      </c>
      <c r="G623" s="16">
        <v>4</v>
      </c>
      <c r="H623" s="16" t="s">
        <v>28</v>
      </c>
      <c r="I623" s="16">
        <v>1200</v>
      </c>
      <c r="J623" s="16">
        <f t="shared" si="135"/>
        <v>4800</v>
      </c>
      <c r="K623" s="16"/>
      <c r="L623" s="16"/>
      <c r="M623" s="16"/>
      <c r="N623" s="16"/>
      <c r="O623" s="16">
        <v>4</v>
      </c>
      <c r="P623" s="16">
        <v>1200</v>
      </c>
      <c r="Q623" s="16">
        <f t="shared" si="136"/>
        <v>4800</v>
      </c>
      <c r="R623" s="18">
        <v>0.18</v>
      </c>
      <c r="S623" s="16">
        <f t="shared" si="137"/>
        <v>864</v>
      </c>
      <c r="T623" s="16">
        <f t="shared" si="138"/>
        <v>5664</v>
      </c>
      <c r="U623" s="16" t="s">
        <v>615</v>
      </c>
      <c r="V623" s="19" t="s">
        <v>486</v>
      </c>
      <c r="W623" s="146">
        <v>45994</v>
      </c>
    </row>
    <row r="624" spans="1:23" x14ac:dyDescent="0.3">
      <c r="A624" s="1"/>
      <c r="B624" s="1"/>
      <c r="C624" s="1"/>
      <c r="D624" s="1"/>
      <c r="E624" s="16" t="s">
        <v>127</v>
      </c>
      <c r="F624" s="39" t="s">
        <v>619</v>
      </c>
      <c r="G624" s="16">
        <v>4</v>
      </c>
      <c r="H624" s="16" t="s">
        <v>28</v>
      </c>
      <c r="I624" s="16">
        <v>18000</v>
      </c>
      <c r="J624" s="16">
        <f t="shared" si="135"/>
        <v>72000</v>
      </c>
      <c r="K624" s="16"/>
      <c r="L624" s="16"/>
      <c r="M624" s="16"/>
      <c r="N624" s="16"/>
      <c r="O624" s="16">
        <v>4</v>
      </c>
      <c r="P624" s="16">
        <v>18000</v>
      </c>
      <c r="Q624" s="16">
        <f>P624*O624</f>
        <v>72000</v>
      </c>
      <c r="R624" s="18">
        <v>0.18</v>
      </c>
      <c r="S624" s="16">
        <f>Q624*R624</f>
        <v>12960</v>
      </c>
      <c r="T624" s="16">
        <f>Q624+S624</f>
        <v>84960</v>
      </c>
      <c r="U624" s="16" t="s">
        <v>620</v>
      </c>
      <c r="V624" s="19">
        <v>45394</v>
      </c>
      <c r="W624" s="146">
        <v>45455</v>
      </c>
    </row>
    <row r="625" spans="1:23" x14ac:dyDescent="0.3">
      <c r="A625" s="219" t="s">
        <v>39</v>
      </c>
      <c r="B625" s="219"/>
      <c r="C625" s="219"/>
      <c r="D625" s="219"/>
      <c r="E625" s="219"/>
      <c r="F625" s="219"/>
      <c r="G625" s="219"/>
      <c r="H625" s="219"/>
      <c r="I625" s="219"/>
      <c r="J625" s="124">
        <f>SUM(J620:J624)</f>
        <v>99800</v>
      </c>
      <c r="K625" s="1"/>
      <c r="L625" s="1"/>
      <c r="M625" s="1"/>
      <c r="N625" s="1"/>
      <c r="O625" s="1"/>
      <c r="P625" s="1"/>
      <c r="Q625" s="1"/>
      <c r="R625" s="1"/>
      <c r="S625" s="1"/>
      <c r="T625" s="1"/>
      <c r="U625" s="1"/>
      <c r="V625" s="1"/>
      <c r="W625" s="142"/>
    </row>
    <row r="626" spans="1:23" x14ac:dyDescent="0.3">
      <c r="A626" s="219" t="s">
        <v>187</v>
      </c>
      <c r="B626" s="219"/>
      <c r="C626" s="219"/>
      <c r="D626" s="219"/>
      <c r="E626" s="219"/>
      <c r="F626" s="219"/>
      <c r="G626" s="219"/>
      <c r="H626" s="219"/>
      <c r="I626" s="219"/>
      <c r="J626" s="124">
        <f>J625*18/100</f>
        <v>17964</v>
      </c>
      <c r="K626" s="1"/>
      <c r="L626" s="1"/>
      <c r="M626" s="1"/>
      <c r="N626" s="1"/>
      <c r="O626" s="1"/>
      <c r="P626" s="1"/>
      <c r="Q626" s="1"/>
      <c r="R626" s="1"/>
      <c r="S626" s="1"/>
      <c r="T626" s="1"/>
      <c r="U626" s="1"/>
      <c r="V626" s="1"/>
      <c r="W626" s="142"/>
    </row>
    <row r="627" spans="1:23" x14ac:dyDescent="0.3">
      <c r="A627" s="219" t="s">
        <v>41</v>
      </c>
      <c r="B627" s="219"/>
      <c r="C627" s="219"/>
      <c r="D627" s="219"/>
      <c r="E627" s="219"/>
      <c r="F627" s="219"/>
      <c r="G627" s="219"/>
      <c r="H627" s="219"/>
      <c r="I627" s="219"/>
      <c r="J627" s="124">
        <f>SUM(J625:J626)</f>
        <v>117764</v>
      </c>
      <c r="K627" s="1"/>
      <c r="L627" s="1"/>
      <c r="M627" s="1"/>
      <c r="N627" s="1"/>
      <c r="O627" s="1"/>
      <c r="P627" s="1"/>
      <c r="Q627" s="1"/>
      <c r="R627" s="1"/>
      <c r="S627" s="1"/>
      <c r="T627" s="1">
        <f>SUM(T620:T626)</f>
        <v>117764</v>
      </c>
      <c r="U627" s="1"/>
      <c r="V627" s="1"/>
      <c r="W627" s="142"/>
    </row>
    <row r="628" spans="1:23" x14ac:dyDescent="0.3">
      <c r="A628" s="1"/>
      <c r="B628" s="1"/>
      <c r="C628" s="1"/>
      <c r="D628" s="1"/>
      <c r="E628" s="1"/>
      <c r="F628" s="1"/>
      <c r="G628" s="1"/>
      <c r="H628" s="1"/>
      <c r="I628" s="1"/>
      <c r="J628" s="1"/>
      <c r="K628" s="1"/>
      <c r="L628" s="1"/>
      <c r="M628" s="1"/>
      <c r="N628" s="1"/>
      <c r="O628" s="1"/>
      <c r="P628" s="1"/>
      <c r="Q628" s="1"/>
      <c r="R628" s="1"/>
      <c r="S628" s="1"/>
      <c r="T628" s="1"/>
      <c r="U628" s="1"/>
      <c r="V628" s="1"/>
      <c r="W628" s="142"/>
    </row>
    <row r="629" spans="1:23" x14ac:dyDescent="0.3">
      <c r="A629" s="1">
        <v>59</v>
      </c>
      <c r="B629" s="1">
        <v>8100015600</v>
      </c>
      <c r="C629" s="1" t="s">
        <v>508</v>
      </c>
      <c r="D629" s="1" t="s">
        <v>43</v>
      </c>
      <c r="E629" s="16" t="s">
        <v>123</v>
      </c>
      <c r="F629" s="39" t="s">
        <v>621</v>
      </c>
      <c r="G629" s="16">
        <v>17</v>
      </c>
      <c r="H629" s="16" t="s">
        <v>28</v>
      </c>
      <c r="I629" s="16">
        <v>6615</v>
      </c>
      <c r="J629" s="16">
        <f>G629*I629</f>
        <v>112455</v>
      </c>
      <c r="K629" s="16">
        <v>17</v>
      </c>
      <c r="L629" s="16" t="s">
        <v>28</v>
      </c>
      <c r="M629" s="16" t="s">
        <v>91</v>
      </c>
      <c r="N629" s="16" t="s">
        <v>622</v>
      </c>
      <c r="O629" s="16">
        <v>17</v>
      </c>
      <c r="P629" s="16">
        <v>6615</v>
      </c>
      <c r="Q629" s="16">
        <f>O629*P629</f>
        <v>112455</v>
      </c>
      <c r="R629" s="18">
        <v>0</v>
      </c>
      <c r="S629" s="16">
        <f>Q629*R629</f>
        <v>0</v>
      </c>
      <c r="T629" s="16">
        <f>Q629+S629</f>
        <v>112455</v>
      </c>
      <c r="U629" s="16" t="s">
        <v>623</v>
      </c>
      <c r="V629" s="19" t="s">
        <v>486</v>
      </c>
      <c r="W629" s="146">
        <v>45994</v>
      </c>
    </row>
    <row r="630" spans="1:23" x14ac:dyDescent="0.3">
      <c r="A630" s="1"/>
      <c r="B630" s="1"/>
      <c r="C630" s="1"/>
      <c r="D630" s="1"/>
      <c r="E630" s="16" t="s">
        <v>123</v>
      </c>
      <c r="F630" s="16" t="s">
        <v>624</v>
      </c>
      <c r="G630" s="16">
        <v>23</v>
      </c>
      <c r="H630" s="16" t="s">
        <v>28</v>
      </c>
      <c r="I630" s="16">
        <v>8365</v>
      </c>
      <c r="J630" s="16">
        <f t="shared" ref="J630:J638" si="139">G630*I630</f>
        <v>192395</v>
      </c>
      <c r="K630" s="16">
        <v>23</v>
      </c>
      <c r="L630" s="16" t="s">
        <v>28</v>
      </c>
      <c r="M630" s="16" t="s">
        <v>91</v>
      </c>
      <c r="N630" s="16" t="s">
        <v>622</v>
      </c>
      <c r="O630" s="16">
        <v>23</v>
      </c>
      <c r="P630" s="16">
        <v>8365</v>
      </c>
      <c r="Q630" s="16">
        <f t="shared" ref="Q630:Q637" si="140">O630*P630</f>
        <v>192395</v>
      </c>
      <c r="R630" s="18">
        <v>0</v>
      </c>
      <c r="S630" s="16">
        <f t="shared" ref="S630:S637" si="141">Q630*R630</f>
        <v>0</v>
      </c>
      <c r="T630" s="16">
        <f t="shared" ref="T630:T637" si="142">Q630+S630</f>
        <v>192395</v>
      </c>
      <c r="U630" s="16" t="s">
        <v>623</v>
      </c>
      <c r="V630" s="19" t="s">
        <v>486</v>
      </c>
      <c r="W630" s="146">
        <v>45994</v>
      </c>
    </row>
    <row r="631" spans="1:23" x14ac:dyDescent="0.3">
      <c r="A631" s="1"/>
      <c r="B631" s="1"/>
      <c r="C631" s="1"/>
      <c r="D631" s="1"/>
      <c r="E631" s="16" t="s">
        <v>123</v>
      </c>
      <c r="F631" s="16" t="s">
        <v>625</v>
      </c>
      <c r="G631" s="16">
        <v>4</v>
      </c>
      <c r="H631" s="16" t="s">
        <v>28</v>
      </c>
      <c r="I631" s="16">
        <v>14980</v>
      </c>
      <c r="J631" s="16">
        <f t="shared" si="139"/>
        <v>59920</v>
      </c>
      <c r="K631" s="16">
        <v>4</v>
      </c>
      <c r="L631" s="16" t="s">
        <v>28</v>
      </c>
      <c r="M631" s="16" t="s">
        <v>91</v>
      </c>
      <c r="N631" s="16" t="s">
        <v>622</v>
      </c>
      <c r="O631" s="16">
        <v>4</v>
      </c>
      <c r="P631" s="16">
        <v>14980</v>
      </c>
      <c r="Q631" s="16">
        <f t="shared" si="140"/>
        <v>59920</v>
      </c>
      <c r="R631" s="18">
        <v>0</v>
      </c>
      <c r="S631" s="16">
        <f t="shared" si="141"/>
        <v>0</v>
      </c>
      <c r="T631" s="16">
        <f t="shared" si="142"/>
        <v>59920</v>
      </c>
      <c r="U631" s="16" t="s">
        <v>623</v>
      </c>
      <c r="V631" s="19" t="s">
        <v>486</v>
      </c>
      <c r="W631" s="146">
        <v>45994</v>
      </c>
    </row>
    <row r="632" spans="1:23" x14ac:dyDescent="0.3">
      <c r="A632" s="1"/>
      <c r="B632" s="1"/>
      <c r="C632" s="1"/>
      <c r="D632" s="1"/>
      <c r="E632" s="16" t="s">
        <v>123</v>
      </c>
      <c r="F632" s="16" t="s">
        <v>626</v>
      </c>
      <c r="G632" s="16">
        <v>5</v>
      </c>
      <c r="H632" s="16" t="s">
        <v>28</v>
      </c>
      <c r="I632" s="16">
        <v>5000</v>
      </c>
      <c r="J632" s="16">
        <f t="shared" si="139"/>
        <v>25000</v>
      </c>
      <c r="K632" s="16">
        <v>5</v>
      </c>
      <c r="L632" s="16" t="s">
        <v>28</v>
      </c>
      <c r="M632" s="16" t="s">
        <v>91</v>
      </c>
      <c r="N632" s="16" t="s">
        <v>622</v>
      </c>
      <c r="O632" s="16">
        <v>5</v>
      </c>
      <c r="P632" s="16">
        <v>5000</v>
      </c>
      <c r="Q632" s="16">
        <f t="shared" si="140"/>
        <v>25000</v>
      </c>
      <c r="R632" s="18">
        <v>0</v>
      </c>
      <c r="S632" s="16">
        <f t="shared" si="141"/>
        <v>0</v>
      </c>
      <c r="T632" s="16">
        <f t="shared" si="142"/>
        <v>25000</v>
      </c>
      <c r="U632" s="16" t="s">
        <v>623</v>
      </c>
      <c r="V632" s="19" t="s">
        <v>486</v>
      </c>
      <c r="W632" s="146">
        <v>45994</v>
      </c>
    </row>
    <row r="633" spans="1:23" x14ac:dyDescent="0.3">
      <c r="A633" s="1"/>
      <c r="B633" s="1"/>
      <c r="C633" s="1"/>
      <c r="D633" s="1"/>
      <c r="E633" s="16" t="s">
        <v>123</v>
      </c>
      <c r="F633" s="16" t="s">
        <v>627</v>
      </c>
      <c r="G633" s="16">
        <v>2</v>
      </c>
      <c r="H633" s="16" t="s">
        <v>28</v>
      </c>
      <c r="I633" s="16">
        <v>5200</v>
      </c>
      <c r="J633" s="16">
        <f t="shared" si="139"/>
        <v>10400</v>
      </c>
      <c r="K633" s="16">
        <v>2</v>
      </c>
      <c r="L633" s="16" t="s">
        <v>28</v>
      </c>
      <c r="M633" s="16" t="s">
        <v>91</v>
      </c>
      <c r="N633" s="16" t="s">
        <v>622</v>
      </c>
      <c r="O633" s="16">
        <v>2</v>
      </c>
      <c r="P633" s="16">
        <v>5200</v>
      </c>
      <c r="Q633" s="16">
        <f t="shared" si="140"/>
        <v>10400</v>
      </c>
      <c r="R633" s="18">
        <v>0</v>
      </c>
      <c r="S633" s="16">
        <f t="shared" si="141"/>
        <v>0</v>
      </c>
      <c r="T633" s="16">
        <f t="shared" si="142"/>
        <v>10400</v>
      </c>
      <c r="U633" s="16" t="s">
        <v>623</v>
      </c>
      <c r="V633" s="19" t="s">
        <v>486</v>
      </c>
      <c r="W633" s="146">
        <v>45994</v>
      </c>
    </row>
    <row r="634" spans="1:23" x14ac:dyDescent="0.3">
      <c r="A634" s="1"/>
      <c r="B634" s="1"/>
      <c r="C634" s="1"/>
      <c r="D634" s="1"/>
      <c r="E634" s="16" t="s">
        <v>123</v>
      </c>
      <c r="F634" s="16" t="s">
        <v>628</v>
      </c>
      <c r="G634" s="16">
        <v>1</v>
      </c>
      <c r="H634" s="16" t="s">
        <v>28</v>
      </c>
      <c r="I634" s="16">
        <v>365</v>
      </c>
      <c r="J634" s="16">
        <f t="shared" si="139"/>
        <v>365</v>
      </c>
      <c r="K634" s="16">
        <v>1</v>
      </c>
      <c r="L634" s="16" t="s">
        <v>28</v>
      </c>
      <c r="M634" s="16" t="s">
        <v>91</v>
      </c>
      <c r="N634" s="16" t="s">
        <v>622</v>
      </c>
      <c r="O634" s="16">
        <v>1</v>
      </c>
      <c r="P634" s="16">
        <v>365</v>
      </c>
      <c r="Q634" s="16">
        <f t="shared" si="140"/>
        <v>365</v>
      </c>
      <c r="R634" s="18">
        <v>0</v>
      </c>
      <c r="S634" s="16">
        <f t="shared" si="141"/>
        <v>0</v>
      </c>
      <c r="T634" s="16">
        <f t="shared" si="142"/>
        <v>365</v>
      </c>
      <c r="U634" s="16" t="s">
        <v>623</v>
      </c>
      <c r="V634" s="19" t="s">
        <v>486</v>
      </c>
      <c r="W634" s="146">
        <v>45994</v>
      </c>
    </row>
    <row r="635" spans="1:23" x14ac:dyDescent="0.3">
      <c r="A635" s="1"/>
      <c r="B635" s="1"/>
      <c r="C635" s="1"/>
      <c r="D635" s="1"/>
      <c r="E635" s="16" t="s">
        <v>123</v>
      </c>
      <c r="F635" s="16" t="s">
        <v>629</v>
      </c>
      <c r="G635" s="16">
        <v>10</v>
      </c>
      <c r="H635" s="16" t="s">
        <v>28</v>
      </c>
      <c r="I635" s="16">
        <v>8315</v>
      </c>
      <c r="J635" s="16">
        <f t="shared" si="139"/>
        <v>83150</v>
      </c>
      <c r="K635" s="16">
        <v>10</v>
      </c>
      <c r="L635" s="16" t="s">
        <v>28</v>
      </c>
      <c r="M635" s="16" t="s">
        <v>91</v>
      </c>
      <c r="N635" s="16" t="s">
        <v>622</v>
      </c>
      <c r="O635" s="16">
        <v>10</v>
      </c>
      <c r="P635" s="16">
        <v>8315</v>
      </c>
      <c r="Q635" s="16">
        <f t="shared" si="140"/>
        <v>83150</v>
      </c>
      <c r="R635" s="18">
        <v>0</v>
      </c>
      <c r="S635" s="16">
        <f t="shared" si="141"/>
        <v>0</v>
      </c>
      <c r="T635" s="16">
        <f t="shared" si="142"/>
        <v>83150</v>
      </c>
      <c r="U635" s="16" t="s">
        <v>623</v>
      </c>
      <c r="V635" s="19" t="s">
        <v>486</v>
      </c>
      <c r="W635" s="146">
        <v>45994</v>
      </c>
    </row>
    <row r="636" spans="1:23" x14ac:dyDescent="0.3">
      <c r="A636" s="1"/>
      <c r="B636" s="1"/>
      <c r="C636" s="1"/>
      <c r="D636" s="1"/>
      <c r="E636" s="16" t="s">
        <v>123</v>
      </c>
      <c r="F636" s="16" t="s">
        <v>630</v>
      </c>
      <c r="G636" s="16">
        <v>2</v>
      </c>
      <c r="H636" s="16" t="s">
        <v>28</v>
      </c>
      <c r="I636" s="16">
        <v>6000</v>
      </c>
      <c r="J636" s="16">
        <f t="shared" si="139"/>
        <v>12000</v>
      </c>
      <c r="K636" s="16">
        <v>2</v>
      </c>
      <c r="L636" s="16" t="s">
        <v>28</v>
      </c>
      <c r="M636" s="16" t="s">
        <v>91</v>
      </c>
      <c r="N636" s="16" t="s">
        <v>622</v>
      </c>
      <c r="O636" s="16">
        <v>2</v>
      </c>
      <c r="P636" s="16">
        <v>6000</v>
      </c>
      <c r="Q636" s="16">
        <f t="shared" si="140"/>
        <v>12000</v>
      </c>
      <c r="R636" s="18">
        <v>0</v>
      </c>
      <c r="S636" s="16">
        <f t="shared" si="141"/>
        <v>0</v>
      </c>
      <c r="T636" s="16">
        <f t="shared" si="142"/>
        <v>12000</v>
      </c>
      <c r="U636" s="16" t="s">
        <v>623</v>
      </c>
      <c r="V636" s="19" t="s">
        <v>486</v>
      </c>
      <c r="W636" s="146">
        <v>45994</v>
      </c>
    </row>
    <row r="637" spans="1:23" x14ac:dyDescent="0.3">
      <c r="A637" s="1"/>
      <c r="B637" s="1"/>
      <c r="C637" s="1"/>
      <c r="D637" s="1"/>
      <c r="E637" s="16" t="s">
        <v>123</v>
      </c>
      <c r="F637" s="16" t="s">
        <v>631</v>
      </c>
      <c r="G637" s="16">
        <v>2</v>
      </c>
      <c r="H637" s="16" t="s">
        <v>28</v>
      </c>
      <c r="I637" s="16">
        <v>7265</v>
      </c>
      <c r="J637" s="16">
        <f t="shared" si="139"/>
        <v>14530</v>
      </c>
      <c r="K637" s="16">
        <v>2</v>
      </c>
      <c r="L637" s="16" t="s">
        <v>28</v>
      </c>
      <c r="M637" s="16" t="s">
        <v>91</v>
      </c>
      <c r="N637" s="16" t="s">
        <v>622</v>
      </c>
      <c r="O637" s="16">
        <v>2</v>
      </c>
      <c r="P637" s="16">
        <v>7265</v>
      </c>
      <c r="Q637" s="16">
        <f t="shared" si="140"/>
        <v>14530</v>
      </c>
      <c r="R637" s="18">
        <v>0</v>
      </c>
      <c r="S637" s="16">
        <f t="shared" si="141"/>
        <v>0</v>
      </c>
      <c r="T637" s="16">
        <f t="shared" si="142"/>
        <v>14530</v>
      </c>
      <c r="U637" s="16" t="s">
        <v>623</v>
      </c>
      <c r="V637" s="19" t="s">
        <v>486</v>
      </c>
      <c r="W637" s="146">
        <v>45994</v>
      </c>
    </row>
    <row r="638" spans="1:23" x14ac:dyDescent="0.3">
      <c r="A638" s="1"/>
      <c r="B638" s="1"/>
      <c r="C638" s="1"/>
      <c r="D638" s="1"/>
      <c r="E638" s="1" t="s">
        <v>127</v>
      </c>
      <c r="F638" s="22" t="s">
        <v>632</v>
      </c>
      <c r="G638" s="1">
        <v>30</v>
      </c>
      <c r="H638" s="1" t="s">
        <v>141</v>
      </c>
      <c r="I638" s="1">
        <v>220</v>
      </c>
      <c r="J638" s="1">
        <f t="shared" si="139"/>
        <v>6600</v>
      </c>
      <c r="K638" s="58">
        <v>30</v>
      </c>
      <c r="L638" s="58" t="s">
        <v>141</v>
      </c>
      <c r="M638" s="58" t="s">
        <v>91</v>
      </c>
      <c r="N638" s="58" t="s">
        <v>622</v>
      </c>
      <c r="O638" s="1"/>
      <c r="P638" s="1">
        <v>220</v>
      </c>
      <c r="Q638" s="1"/>
      <c r="R638" s="1"/>
      <c r="S638" s="1"/>
      <c r="T638" s="1"/>
      <c r="U638" s="1"/>
      <c r="V638" s="1"/>
      <c r="W638" s="142"/>
    </row>
    <row r="639" spans="1:23" x14ac:dyDescent="0.3">
      <c r="A639" s="219" t="s">
        <v>39</v>
      </c>
      <c r="B639" s="219"/>
      <c r="C639" s="219"/>
      <c r="D639" s="219"/>
      <c r="E639" s="219"/>
      <c r="F639" s="219"/>
      <c r="G639" s="219"/>
      <c r="H639" s="219"/>
      <c r="I639" s="219"/>
      <c r="J639" s="124">
        <f>SUM(J629:J638)</f>
        <v>516815</v>
      </c>
      <c r="K639" s="1"/>
      <c r="L639" s="1"/>
      <c r="M639" s="1"/>
      <c r="N639" s="1"/>
      <c r="O639" s="1"/>
      <c r="P639" s="1"/>
      <c r="Q639" s="1"/>
      <c r="R639" s="1"/>
      <c r="S639" s="1"/>
      <c r="T639" s="1"/>
      <c r="U639" s="1"/>
      <c r="V639" s="1"/>
      <c r="W639" s="142"/>
    </row>
    <row r="640" spans="1:23" x14ac:dyDescent="0.3">
      <c r="A640" s="219" t="s">
        <v>599</v>
      </c>
      <c r="B640" s="219"/>
      <c r="C640" s="219"/>
      <c r="D640" s="219"/>
      <c r="E640" s="219"/>
      <c r="F640" s="219"/>
      <c r="G640" s="219"/>
      <c r="H640" s="219"/>
      <c r="I640" s="219"/>
      <c r="J640" s="124">
        <v>0</v>
      </c>
      <c r="K640" s="1"/>
      <c r="L640" s="1"/>
      <c r="M640" s="1"/>
      <c r="N640" s="1"/>
      <c r="O640" s="1"/>
      <c r="P640" s="1"/>
      <c r="Q640" s="1"/>
      <c r="R640" s="1"/>
      <c r="S640" s="1"/>
      <c r="T640" s="1"/>
      <c r="U640" s="1"/>
      <c r="V640" s="1"/>
      <c r="W640" s="142"/>
    </row>
    <row r="641" spans="1:23" x14ac:dyDescent="0.3">
      <c r="A641" s="219" t="s">
        <v>41</v>
      </c>
      <c r="B641" s="219"/>
      <c r="C641" s="219"/>
      <c r="D641" s="219"/>
      <c r="E641" s="219"/>
      <c r="F641" s="219"/>
      <c r="G641" s="219"/>
      <c r="H641" s="219"/>
      <c r="I641" s="219"/>
      <c r="J641" s="124">
        <f>SUM(J639:J640)</f>
        <v>516815</v>
      </c>
      <c r="K641" s="1"/>
      <c r="L641" s="1"/>
      <c r="M641" s="1"/>
      <c r="N641" s="1"/>
      <c r="O641" s="1"/>
      <c r="P641" s="1"/>
      <c r="Q641" s="1"/>
      <c r="R641" s="1"/>
      <c r="S641" s="1"/>
      <c r="T641" s="1">
        <f>SUM(T629:T640)</f>
        <v>510215</v>
      </c>
      <c r="U641" s="1"/>
      <c r="V641" s="1"/>
      <c r="W641" s="142"/>
    </row>
    <row r="642" spans="1:23" x14ac:dyDescent="0.3">
      <c r="A642" s="1"/>
      <c r="B642" s="1"/>
      <c r="C642" s="1"/>
      <c r="D642" s="1"/>
      <c r="E642" s="1"/>
      <c r="F642" s="1"/>
      <c r="G642" s="1"/>
      <c r="H642" s="1"/>
      <c r="I642" s="1"/>
      <c r="J642" s="1"/>
      <c r="K642" s="1"/>
      <c r="L642" s="1"/>
      <c r="M642" s="1"/>
      <c r="N642" s="1"/>
      <c r="O642" s="1"/>
      <c r="P642" s="1"/>
      <c r="Q642" s="1"/>
      <c r="R642" s="1"/>
      <c r="S642" s="1"/>
      <c r="T642" s="1"/>
      <c r="U642" s="1"/>
      <c r="V642" s="1"/>
      <c r="W642" s="142"/>
    </row>
    <row r="643" spans="1:23" x14ac:dyDescent="0.3">
      <c r="A643" s="16">
        <v>60</v>
      </c>
      <c r="B643" s="16">
        <v>8600051675</v>
      </c>
      <c r="C643" s="16" t="s">
        <v>633</v>
      </c>
      <c r="D643" s="16" t="s">
        <v>43</v>
      </c>
      <c r="E643" s="16" t="s">
        <v>127</v>
      </c>
      <c r="F643" s="16" t="s">
        <v>634</v>
      </c>
      <c r="G643" s="16">
        <v>15</v>
      </c>
      <c r="H643" s="16" t="s">
        <v>28</v>
      </c>
      <c r="I643" s="16">
        <v>3000</v>
      </c>
      <c r="J643" s="16">
        <f>G643*I643</f>
        <v>45000</v>
      </c>
      <c r="K643" s="16"/>
      <c r="L643" s="16"/>
      <c r="M643" s="16"/>
      <c r="N643" s="16"/>
      <c r="O643" s="16">
        <v>15</v>
      </c>
      <c r="P643" s="16">
        <v>3000</v>
      </c>
      <c r="Q643" s="16">
        <f>O643*P643</f>
        <v>45000</v>
      </c>
      <c r="R643" s="18">
        <v>0</v>
      </c>
      <c r="S643" s="16">
        <f>Q643*R643</f>
        <v>0</v>
      </c>
      <c r="T643" s="16">
        <f>Q643+S643</f>
        <v>45000</v>
      </c>
      <c r="U643" s="16" t="s">
        <v>635</v>
      </c>
      <c r="V643" s="19">
        <v>45667</v>
      </c>
      <c r="W643" s="142" t="s">
        <v>418</v>
      </c>
    </row>
    <row r="644" spans="1:23" x14ac:dyDescent="0.3">
      <c r="A644" s="1"/>
      <c r="B644" s="1"/>
      <c r="C644" s="1"/>
      <c r="D644" s="1"/>
      <c r="E644" s="16" t="s">
        <v>127</v>
      </c>
      <c r="F644" s="16" t="s">
        <v>636</v>
      </c>
      <c r="G644" s="16">
        <v>5</v>
      </c>
      <c r="H644" s="16" t="s">
        <v>28</v>
      </c>
      <c r="I644" s="16">
        <v>2750</v>
      </c>
      <c r="J644" s="16">
        <f t="shared" ref="J644:J650" si="143">G644*I644</f>
        <v>13750</v>
      </c>
      <c r="K644" s="16"/>
      <c r="L644" s="16"/>
      <c r="M644" s="16"/>
      <c r="N644" s="16"/>
      <c r="O644" s="121">
        <v>5</v>
      </c>
      <c r="P644" s="121">
        <v>2750</v>
      </c>
      <c r="Q644" s="121">
        <f t="shared" ref="Q644:Q650" si="144">O644*P644</f>
        <v>13750</v>
      </c>
      <c r="R644" s="122">
        <v>0</v>
      </c>
      <c r="S644" s="121">
        <f t="shared" ref="S644:S650" si="145">Q644*R644</f>
        <v>0</v>
      </c>
      <c r="T644" s="121">
        <f t="shared" ref="T644:T650" si="146">Q644+S644</f>
        <v>13750</v>
      </c>
      <c r="U644" s="121" t="s">
        <v>1043</v>
      </c>
      <c r="V644" s="123" t="s">
        <v>1044</v>
      </c>
      <c r="W644" s="142" t="s">
        <v>1089</v>
      </c>
    </row>
    <row r="645" spans="1:23" x14ac:dyDescent="0.3">
      <c r="A645" s="1"/>
      <c r="B645" s="1"/>
      <c r="C645" s="1"/>
      <c r="D645" s="1"/>
      <c r="E645" s="16" t="s">
        <v>127</v>
      </c>
      <c r="F645" s="16" t="s">
        <v>637</v>
      </c>
      <c r="G645" s="16">
        <v>100</v>
      </c>
      <c r="H645" s="16" t="s">
        <v>28</v>
      </c>
      <c r="I645" s="16">
        <v>95</v>
      </c>
      <c r="J645" s="16">
        <f t="shared" si="143"/>
        <v>9500</v>
      </c>
      <c r="K645" s="16"/>
      <c r="L645" s="16"/>
      <c r="M645" s="16"/>
      <c r="N645" s="16"/>
      <c r="O645" s="16">
        <v>100</v>
      </c>
      <c r="P645" s="16">
        <v>95</v>
      </c>
      <c r="Q645" s="16">
        <f t="shared" si="144"/>
        <v>9500</v>
      </c>
      <c r="R645" s="18">
        <v>0</v>
      </c>
      <c r="S645" s="16">
        <f t="shared" si="145"/>
        <v>0</v>
      </c>
      <c r="T645" s="16">
        <f t="shared" si="146"/>
        <v>9500</v>
      </c>
      <c r="U645" s="16" t="s">
        <v>635</v>
      </c>
      <c r="V645" s="19">
        <v>45667</v>
      </c>
      <c r="W645" s="142" t="s">
        <v>418</v>
      </c>
    </row>
    <row r="646" spans="1:23" x14ac:dyDescent="0.3">
      <c r="A646" s="1"/>
      <c r="B646" s="1"/>
      <c r="C646" s="1"/>
      <c r="D646" s="1"/>
      <c r="E646" s="16" t="s">
        <v>127</v>
      </c>
      <c r="F646" s="39" t="s">
        <v>638</v>
      </c>
      <c r="G646" s="16">
        <v>25</v>
      </c>
      <c r="H646" s="16" t="s">
        <v>28</v>
      </c>
      <c r="I646" s="16">
        <v>535</v>
      </c>
      <c r="J646" s="16">
        <f t="shared" si="143"/>
        <v>13375</v>
      </c>
      <c r="K646" s="16"/>
      <c r="L646" s="16"/>
      <c r="M646" s="16"/>
      <c r="N646" s="16"/>
      <c r="O646" s="16">
        <v>25</v>
      </c>
      <c r="P646" s="16">
        <v>535</v>
      </c>
      <c r="Q646" s="16">
        <f t="shared" si="144"/>
        <v>13375</v>
      </c>
      <c r="R646" s="18">
        <v>0</v>
      </c>
      <c r="S646" s="16">
        <f t="shared" si="145"/>
        <v>0</v>
      </c>
      <c r="T646" s="16">
        <f t="shared" si="146"/>
        <v>13375</v>
      </c>
      <c r="U646" s="16" t="s">
        <v>635</v>
      </c>
      <c r="V646" s="19">
        <v>45667</v>
      </c>
      <c r="W646" s="142" t="s">
        <v>418</v>
      </c>
    </row>
    <row r="647" spans="1:23" x14ac:dyDescent="0.3">
      <c r="A647" s="1"/>
      <c r="B647" s="1"/>
      <c r="C647" s="1"/>
      <c r="D647" s="1"/>
      <c r="E647" s="16" t="s">
        <v>127</v>
      </c>
      <c r="F647" s="16" t="s">
        <v>639</v>
      </c>
      <c r="G647" s="16">
        <v>25</v>
      </c>
      <c r="H647" s="16" t="s">
        <v>28</v>
      </c>
      <c r="I647" s="16">
        <v>350</v>
      </c>
      <c r="J647" s="16">
        <f t="shared" si="143"/>
        <v>8750</v>
      </c>
      <c r="K647" s="16"/>
      <c r="L647" s="16"/>
      <c r="M647" s="16"/>
      <c r="N647" s="16"/>
      <c r="O647" s="16">
        <v>25</v>
      </c>
      <c r="P647" s="16">
        <v>350</v>
      </c>
      <c r="Q647" s="16">
        <f t="shared" si="144"/>
        <v>8750</v>
      </c>
      <c r="R647" s="18">
        <v>0</v>
      </c>
      <c r="S647" s="16">
        <f t="shared" si="145"/>
        <v>0</v>
      </c>
      <c r="T647" s="16">
        <f t="shared" si="146"/>
        <v>8750</v>
      </c>
      <c r="U647" s="16" t="s">
        <v>635</v>
      </c>
      <c r="V647" s="19">
        <v>45667</v>
      </c>
      <c r="W647" s="142" t="s">
        <v>418</v>
      </c>
    </row>
    <row r="648" spans="1:23" x14ac:dyDescent="0.3">
      <c r="A648" s="1"/>
      <c r="B648" s="1"/>
      <c r="C648" s="1"/>
      <c r="D648" s="1"/>
      <c r="E648" s="16" t="s">
        <v>127</v>
      </c>
      <c r="F648" s="16" t="s">
        <v>640</v>
      </c>
      <c r="G648" s="16">
        <v>50</v>
      </c>
      <c r="H648" s="16" t="s">
        <v>28</v>
      </c>
      <c r="I648" s="16">
        <v>126</v>
      </c>
      <c r="J648" s="16">
        <f t="shared" si="143"/>
        <v>6300</v>
      </c>
      <c r="K648" s="16"/>
      <c r="L648" s="16"/>
      <c r="M648" s="16"/>
      <c r="N648" s="16"/>
      <c r="O648" s="16">
        <v>50</v>
      </c>
      <c r="P648" s="16">
        <v>126</v>
      </c>
      <c r="Q648" s="16">
        <f t="shared" si="144"/>
        <v>6300</v>
      </c>
      <c r="R648" s="18">
        <v>0</v>
      </c>
      <c r="S648" s="16">
        <f t="shared" si="145"/>
        <v>0</v>
      </c>
      <c r="T648" s="16">
        <f t="shared" si="146"/>
        <v>6300</v>
      </c>
      <c r="U648" s="16" t="s">
        <v>635</v>
      </c>
      <c r="V648" s="19">
        <v>45667</v>
      </c>
      <c r="W648" s="142" t="s">
        <v>418</v>
      </c>
    </row>
    <row r="649" spans="1:23" x14ac:dyDescent="0.3">
      <c r="A649" s="1"/>
      <c r="B649" s="1"/>
      <c r="C649" s="1"/>
      <c r="D649" s="1"/>
      <c r="E649" s="16" t="s">
        <v>127</v>
      </c>
      <c r="F649" s="16" t="s">
        <v>641</v>
      </c>
      <c r="G649" s="16">
        <v>50</v>
      </c>
      <c r="H649" s="16" t="s">
        <v>28</v>
      </c>
      <c r="I649" s="16">
        <v>60</v>
      </c>
      <c r="J649" s="16">
        <f t="shared" si="143"/>
        <v>3000</v>
      </c>
      <c r="K649" s="16"/>
      <c r="L649" s="16"/>
      <c r="M649" s="16"/>
      <c r="N649" s="16"/>
      <c r="O649" s="16">
        <v>50</v>
      </c>
      <c r="P649" s="16">
        <v>60</v>
      </c>
      <c r="Q649" s="16">
        <f t="shared" si="144"/>
        <v>3000</v>
      </c>
      <c r="R649" s="18">
        <v>0</v>
      </c>
      <c r="S649" s="16">
        <f t="shared" si="145"/>
        <v>0</v>
      </c>
      <c r="T649" s="16">
        <f t="shared" si="146"/>
        <v>3000</v>
      </c>
      <c r="U649" s="16" t="s">
        <v>635</v>
      </c>
      <c r="V649" s="19">
        <v>45667</v>
      </c>
      <c r="W649" s="142" t="s">
        <v>418</v>
      </c>
    </row>
    <row r="650" spans="1:23" ht="25.2" x14ac:dyDescent="0.3">
      <c r="A650" s="1"/>
      <c r="B650" s="1"/>
      <c r="C650" s="1"/>
      <c r="D650" s="1"/>
      <c r="E650" s="16" t="s">
        <v>127</v>
      </c>
      <c r="F650" s="39" t="s">
        <v>642</v>
      </c>
      <c r="G650" s="16">
        <v>10</v>
      </c>
      <c r="H650" s="16" t="s">
        <v>28</v>
      </c>
      <c r="I650" s="16">
        <v>1850</v>
      </c>
      <c r="J650" s="16">
        <f t="shared" si="143"/>
        <v>18500</v>
      </c>
      <c r="K650" s="16"/>
      <c r="L650" s="16"/>
      <c r="M650" s="16"/>
      <c r="N650" s="16"/>
      <c r="O650" s="121">
        <v>10</v>
      </c>
      <c r="P650" s="121">
        <v>1850</v>
      </c>
      <c r="Q650" s="121">
        <f t="shared" si="144"/>
        <v>18500</v>
      </c>
      <c r="R650" s="122">
        <v>0</v>
      </c>
      <c r="S650" s="121">
        <f t="shared" si="145"/>
        <v>0</v>
      </c>
      <c r="T650" s="121">
        <f t="shared" si="146"/>
        <v>18500</v>
      </c>
      <c r="U650" s="121" t="s">
        <v>1043</v>
      </c>
      <c r="V650" s="123" t="s">
        <v>1044</v>
      </c>
      <c r="W650" s="142" t="s">
        <v>1089</v>
      </c>
    </row>
    <row r="651" spans="1:23" x14ac:dyDescent="0.3">
      <c r="A651" s="1"/>
      <c r="B651" s="1"/>
      <c r="C651" s="1"/>
      <c r="D651" s="1"/>
      <c r="E651" s="1"/>
      <c r="F651" s="1"/>
      <c r="G651" s="1"/>
      <c r="H651" s="1"/>
      <c r="I651" s="1"/>
      <c r="J651" s="1"/>
      <c r="K651" s="1"/>
      <c r="L651" s="1"/>
      <c r="M651" s="1"/>
      <c r="N651" s="1"/>
      <c r="O651" s="1"/>
      <c r="P651" s="1"/>
      <c r="Q651" s="1"/>
      <c r="R651" s="1"/>
      <c r="S651" s="1"/>
      <c r="T651" s="1"/>
      <c r="U651" s="1"/>
      <c r="V651" s="1"/>
      <c r="W651" s="142"/>
    </row>
    <row r="652" spans="1:23" x14ac:dyDescent="0.3">
      <c r="A652" s="219" t="s">
        <v>39</v>
      </c>
      <c r="B652" s="219"/>
      <c r="C652" s="219"/>
      <c r="D652" s="219"/>
      <c r="E652" s="219"/>
      <c r="F652" s="219"/>
      <c r="G652" s="219"/>
      <c r="H652" s="219"/>
      <c r="I652" s="219"/>
      <c r="J652" s="124">
        <f>SUM(J643:J651)</f>
        <v>118175</v>
      </c>
      <c r="K652" s="1"/>
      <c r="L652" s="1"/>
      <c r="M652" s="1"/>
      <c r="N652" s="1"/>
      <c r="O652" s="1"/>
      <c r="P652" s="1"/>
      <c r="Q652" s="1"/>
      <c r="R652" s="1"/>
      <c r="S652" s="1"/>
      <c r="T652" s="1"/>
      <c r="U652" s="1"/>
      <c r="V652" s="1"/>
      <c r="W652" s="142"/>
    </row>
    <row r="653" spans="1:23" x14ac:dyDescent="0.3">
      <c r="A653" s="219" t="s">
        <v>599</v>
      </c>
      <c r="B653" s="219"/>
      <c r="C653" s="219"/>
      <c r="D653" s="219"/>
      <c r="E653" s="219"/>
      <c r="F653" s="219"/>
      <c r="G653" s="219"/>
      <c r="H653" s="219"/>
      <c r="I653" s="219"/>
      <c r="J653" s="124">
        <v>0</v>
      </c>
      <c r="K653" s="1"/>
      <c r="L653" s="1"/>
      <c r="M653" s="1"/>
      <c r="N653" s="1"/>
      <c r="O653" s="1"/>
      <c r="P653" s="1"/>
      <c r="Q653" s="1"/>
      <c r="R653" s="1"/>
      <c r="S653" s="1"/>
      <c r="T653" s="1"/>
      <c r="U653" s="1"/>
      <c r="V653" s="1"/>
      <c r="W653" s="142"/>
    </row>
    <row r="654" spans="1:23" x14ac:dyDescent="0.3">
      <c r="A654" s="219" t="s">
        <v>41</v>
      </c>
      <c r="B654" s="219"/>
      <c r="C654" s="219"/>
      <c r="D654" s="219"/>
      <c r="E654" s="219"/>
      <c r="F654" s="219"/>
      <c r="G654" s="219"/>
      <c r="H654" s="219"/>
      <c r="I654" s="219"/>
      <c r="J654" s="133">
        <f>SUM(J652:J653)</f>
        <v>118175</v>
      </c>
      <c r="K654" s="8"/>
      <c r="L654" s="8"/>
      <c r="M654" s="8"/>
      <c r="N654" s="8"/>
      <c r="O654" s="8"/>
      <c r="P654" s="8"/>
      <c r="Q654" s="8"/>
      <c r="R654" s="8"/>
      <c r="S654" s="8"/>
      <c r="T654" s="8"/>
      <c r="U654" s="8"/>
      <c r="V654" s="8"/>
      <c r="W654" s="142"/>
    </row>
    <row r="655" spans="1:23" x14ac:dyDescent="0.3">
      <c r="A655" s="62"/>
      <c r="B655" s="8"/>
      <c r="C655" s="8"/>
      <c r="D655" s="8"/>
      <c r="E655" s="8"/>
      <c r="F655" s="8"/>
      <c r="G655" s="8"/>
      <c r="H655" s="8"/>
      <c r="I655" s="8"/>
      <c r="J655" s="8"/>
      <c r="K655" s="8"/>
      <c r="L655" s="8"/>
      <c r="M655" s="8"/>
      <c r="N655" s="8"/>
      <c r="O655" s="8"/>
      <c r="P655" s="8"/>
      <c r="Q655" s="8"/>
      <c r="R655" s="8"/>
      <c r="S655" s="8"/>
      <c r="T655" s="8"/>
      <c r="U655" s="8"/>
      <c r="V655" s="8"/>
      <c r="W655" s="142"/>
    </row>
    <row r="656" spans="1:23" x14ac:dyDescent="0.3">
      <c r="A656" s="16">
        <v>61</v>
      </c>
      <c r="B656" s="16">
        <v>9200126412</v>
      </c>
      <c r="C656" s="16" t="s">
        <v>152</v>
      </c>
      <c r="D656" s="38" t="s">
        <v>154</v>
      </c>
      <c r="E656" s="16" t="s">
        <v>123</v>
      </c>
      <c r="F656" s="16" t="s">
        <v>643</v>
      </c>
      <c r="G656" s="16">
        <v>80</v>
      </c>
      <c r="H656" s="16" t="s">
        <v>111</v>
      </c>
      <c r="I656" s="16">
        <v>90</v>
      </c>
      <c r="J656" s="16">
        <f>G656*I656</f>
        <v>7200</v>
      </c>
      <c r="K656" s="16">
        <v>80</v>
      </c>
      <c r="L656" s="55" t="s">
        <v>111</v>
      </c>
      <c r="M656" s="55" t="s">
        <v>91</v>
      </c>
      <c r="N656" s="55" t="s">
        <v>644</v>
      </c>
      <c r="O656" s="55">
        <v>80</v>
      </c>
      <c r="P656" s="55">
        <v>90</v>
      </c>
      <c r="Q656" s="55">
        <f>O656*P656</f>
        <v>7200</v>
      </c>
      <c r="R656" s="92">
        <v>0.18</v>
      </c>
      <c r="S656" s="55">
        <f>Q656*R656</f>
        <v>1296</v>
      </c>
      <c r="T656" s="55">
        <f>Q656+S656</f>
        <v>8496</v>
      </c>
      <c r="U656" s="16" t="s">
        <v>645</v>
      </c>
      <c r="V656" s="19">
        <v>45334</v>
      </c>
      <c r="W656" s="142"/>
    </row>
    <row r="657" spans="1:23" x14ac:dyDescent="0.3">
      <c r="A657" s="62"/>
      <c r="B657" s="87"/>
      <c r="C657" s="87"/>
      <c r="D657" s="87"/>
      <c r="E657" s="87"/>
      <c r="F657" s="87"/>
      <c r="G657" s="87"/>
      <c r="H657" s="87"/>
      <c r="I657" s="87"/>
      <c r="J657" s="62"/>
      <c r="K657" s="62"/>
      <c r="L657" s="8"/>
      <c r="M657" s="8"/>
      <c r="N657" s="8"/>
      <c r="O657" s="8"/>
      <c r="P657" s="8"/>
      <c r="Q657" s="8"/>
      <c r="R657" s="8"/>
      <c r="S657" s="8"/>
      <c r="T657" s="8"/>
      <c r="U657" s="8"/>
      <c r="V657" s="8"/>
      <c r="W657" s="142"/>
    </row>
    <row r="658" spans="1:23" x14ac:dyDescent="0.3">
      <c r="A658" s="124" t="s">
        <v>39</v>
      </c>
      <c r="B658" s="88"/>
      <c r="C658" s="88"/>
      <c r="D658" s="88"/>
      <c r="E658" s="88"/>
      <c r="F658" s="88"/>
      <c r="G658" s="88"/>
      <c r="H658" s="88"/>
      <c r="I658" s="88"/>
      <c r="J658" s="133">
        <f>SUM(J656:J657)</f>
        <v>7200</v>
      </c>
      <c r="K658" s="62"/>
      <c r="L658" s="8"/>
      <c r="M658" s="8"/>
      <c r="N658" s="8"/>
      <c r="O658" s="8"/>
      <c r="P658" s="8"/>
      <c r="Q658" s="8"/>
      <c r="R658" s="8"/>
      <c r="S658" s="8"/>
      <c r="T658" s="8"/>
      <c r="U658" s="8"/>
      <c r="V658" s="8"/>
      <c r="W658" s="142"/>
    </row>
    <row r="659" spans="1:23" x14ac:dyDescent="0.3">
      <c r="A659" s="124" t="s">
        <v>187</v>
      </c>
      <c r="B659" s="88"/>
      <c r="C659" s="88"/>
      <c r="D659" s="88"/>
      <c r="E659" s="88"/>
      <c r="F659" s="88"/>
      <c r="G659" s="88"/>
      <c r="H659" s="88"/>
      <c r="I659" s="88"/>
      <c r="J659" s="133">
        <f>J658*18/100</f>
        <v>1296</v>
      </c>
      <c r="K659" s="62"/>
      <c r="L659" s="8"/>
      <c r="M659" s="8"/>
      <c r="N659" s="8"/>
      <c r="O659" s="8"/>
      <c r="P659" s="8"/>
      <c r="Q659" s="8"/>
      <c r="R659" s="8"/>
      <c r="S659" s="8"/>
      <c r="T659" s="8"/>
      <c r="U659" s="8"/>
      <c r="V659" s="8"/>
      <c r="W659" s="142"/>
    </row>
    <row r="660" spans="1:23" x14ac:dyDescent="0.3">
      <c r="A660" s="124" t="s">
        <v>41</v>
      </c>
      <c r="B660" s="88"/>
      <c r="C660" s="88"/>
      <c r="D660" s="88"/>
      <c r="E660" s="88"/>
      <c r="F660" s="88"/>
      <c r="G660" s="88"/>
      <c r="H660" s="88"/>
      <c r="I660" s="88"/>
      <c r="J660" s="133">
        <f>SUM(J658:J659)</f>
        <v>8496</v>
      </c>
      <c r="K660" s="62"/>
      <c r="L660" s="8"/>
      <c r="M660" s="8"/>
      <c r="N660" s="8"/>
      <c r="O660" s="8"/>
      <c r="P660" s="8"/>
      <c r="Q660" s="8"/>
      <c r="R660" s="8"/>
      <c r="S660" s="8"/>
      <c r="T660" s="8"/>
      <c r="U660" s="8"/>
      <c r="V660" s="8"/>
      <c r="W660" s="142"/>
    </row>
    <row r="661" spans="1:23" x14ac:dyDescent="0.3">
      <c r="A661" s="1"/>
      <c r="B661" s="1"/>
      <c r="C661" s="1"/>
      <c r="D661" s="1"/>
      <c r="E661" s="1"/>
      <c r="F661" s="1"/>
      <c r="G661" s="1"/>
      <c r="H661" s="1"/>
      <c r="I661" s="1"/>
      <c r="J661" s="1"/>
      <c r="K661" s="1"/>
      <c r="L661" s="1"/>
      <c r="M661" s="1"/>
      <c r="N661" s="1"/>
      <c r="O661" s="1"/>
      <c r="P661" s="1"/>
      <c r="Q661" s="1"/>
      <c r="R661" s="1"/>
      <c r="S661" s="1"/>
      <c r="T661" s="1"/>
      <c r="U661" s="1"/>
      <c r="V661" s="1"/>
      <c r="W661" s="142"/>
    </row>
    <row r="662" spans="1:23" x14ac:dyDescent="0.3">
      <c r="A662" s="16">
        <v>62</v>
      </c>
      <c r="B662" s="16">
        <v>8100015733</v>
      </c>
      <c r="C662" s="19">
        <v>45363</v>
      </c>
      <c r="D662" s="16" t="s">
        <v>43</v>
      </c>
      <c r="E662" s="16" t="s">
        <v>127</v>
      </c>
      <c r="F662" s="56" t="s">
        <v>646</v>
      </c>
      <c r="G662" s="16">
        <v>4</v>
      </c>
      <c r="H662" s="16" t="s">
        <v>28</v>
      </c>
      <c r="I662" s="16">
        <v>70000</v>
      </c>
      <c r="J662" s="16">
        <f>G662*I662</f>
        <v>280000</v>
      </c>
      <c r="K662" s="16"/>
      <c r="L662" s="16"/>
      <c r="M662" s="16"/>
      <c r="N662" s="16"/>
      <c r="O662" s="121">
        <v>4</v>
      </c>
      <c r="P662" s="121">
        <v>70000</v>
      </c>
      <c r="Q662" s="121">
        <f>O662*P662</f>
        <v>280000</v>
      </c>
      <c r="R662" s="122">
        <v>0.18</v>
      </c>
      <c r="S662" s="121">
        <f>Q662*R662</f>
        <v>50400</v>
      </c>
      <c r="T662" s="121">
        <f>Q662+S662</f>
        <v>330400</v>
      </c>
      <c r="U662" s="121" t="s">
        <v>647</v>
      </c>
      <c r="V662" s="123" t="s">
        <v>648</v>
      </c>
      <c r="W662" s="146">
        <v>45994</v>
      </c>
    </row>
    <row r="663" spans="1:23" x14ac:dyDescent="0.3">
      <c r="A663" s="1"/>
      <c r="B663" s="1"/>
      <c r="C663" s="1"/>
      <c r="D663" s="1"/>
      <c r="E663" s="16" t="s">
        <v>127</v>
      </c>
      <c r="F663" s="89" t="s">
        <v>649</v>
      </c>
      <c r="G663" s="16">
        <v>90</v>
      </c>
      <c r="H663" s="16" t="s">
        <v>94</v>
      </c>
      <c r="I663" s="16">
        <v>275</v>
      </c>
      <c r="J663" s="16">
        <f t="shared" ref="J663:J672" si="147">G663*I663</f>
        <v>24750</v>
      </c>
      <c r="K663" s="16"/>
      <c r="L663" s="16"/>
      <c r="M663" s="16"/>
      <c r="N663" s="16"/>
      <c r="O663" s="137">
        <v>90</v>
      </c>
      <c r="P663" s="137">
        <v>275</v>
      </c>
      <c r="Q663" s="137">
        <f t="shared" ref="Q663:Q672" si="148">O663*P663</f>
        <v>24750</v>
      </c>
      <c r="R663" s="138">
        <v>0.18</v>
      </c>
      <c r="S663" s="137">
        <f t="shared" ref="S663:S672" si="149">Q663*R663</f>
        <v>4455</v>
      </c>
      <c r="T663" s="137">
        <f t="shared" ref="T663:T672" si="150">Q663+S663</f>
        <v>29205</v>
      </c>
      <c r="U663" s="137" t="s">
        <v>650</v>
      </c>
      <c r="V663" s="139" t="s">
        <v>651</v>
      </c>
      <c r="W663" s="142" t="s">
        <v>200</v>
      </c>
    </row>
    <row r="664" spans="1:23" x14ac:dyDescent="0.3">
      <c r="A664" s="1"/>
      <c r="B664" s="1"/>
      <c r="C664" s="1"/>
      <c r="D664" s="1"/>
      <c r="E664" s="16" t="s">
        <v>127</v>
      </c>
      <c r="F664" s="30" t="s">
        <v>652</v>
      </c>
      <c r="G664" s="16">
        <v>250</v>
      </c>
      <c r="H664" s="16" t="s">
        <v>60</v>
      </c>
      <c r="I664" s="16">
        <v>410</v>
      </c>
      <c r="J664" s="16">
        <f t="shared" si="147"/>
        <v>102500</v>
      </c>
      <c r="K664" s="16"/>
      <c r="L664" s="16"/>
      <c r="M664" s="16"/>
      <c r="N664" s="16"/>
      <c r="O664" s="16">
        <v>250</v>
      </c>
      <c r="P664" s="16">
        <v>410</v>
      </c>
      <c r="Q664" s="16">
        <f t="shared" si="148"/>
        <v>102500</v>
      </c>
      <c r="R664" s="18">
        <v>0.18</v>
      </c>
      <c r="S664" s="16">
        <f t="shared" si="149"/>
        <v>18450</v>
      </c>
      <c r="T664" s="16">
        <f t="shared" si="150"/>
        <v>120950</v>
      </c>
      <c r="U664" s="16" t="s">
        <v>653</v>
      </c>
      <c r="V664" s="19">
        <v>45931</v>
      </c>
      <c r="W664" s="142" t="s">
        <v>1109</v>
      </c>
    </row>
    <row r="665" spans="1:23" x14ac:dyDescent="0.3">
      <c r="A665" s="1"/>
      <c r="B665" s="1"/>
      <c r="C665" s="1"/>
      <c r="D665" s="1"/>
      <c r="E665" s="16" t="s">
        <v>127</v>
      </c>
      <c r="F665" s="30" t="s">
        <v>654</v>
      </c>
      <c r="G665" s="16">
        <v>100</v>
      </c>
      <c r="H665" s="16" t="s">
        <v>60</v>
      </c>
      <c r="I665" s="16">
        <v>315</v>
      </c>
      <c r="J665" s="16">
        <f t="shared" si="147"/>
        <v>31500</v>
      </c>
      <c r="K665" s="16"/>
      <c r="L665" s="16"/>
      <c r="M665" s="16"/>
      <c r="N665" s="16"/>
      <c r="O665" s="16">
        <v>100</v>
      </c>
      <c r="P665" s="16">
        <v>315</v>
      </c>
      <c r="Q665" s="16">
        <f t="shared" si="148"/>
        <v>31500</v>
      </c>
      <c r="R665" s="18">
        <v>0.18</v>
      </c>
      <c r="S665" s="16">
        <f t="shared" si="149"/>
        <v>5670</v>
      </c>
      <c r="T665" s="16">
        <f t="shared" si="150"/>
        <v>37170</v>
      </c>
      <c r="U665" s="16" t="s">
        <v>653</v>
      </c>
      <c r="V665" s="19">
        <v>45931</v>
      </c>
      <c r="W665" s="142" t="s">
        <v>1109</v>
      </c>
    </row>
    <row r="666" spans="1:23" ht="24" x14ac:dyDescent="0.3">
      <c r="A666" s="1"/>
      <c r="B666" s="1"/>
      <c r="C666" s="1"/>
      <c r="D666" s="1"/>
      <c r="E666" s="16" t="s">
        <v>123</v>
      </c>
      <c r="F666" s="56" t="s">
        <v>655</v>
      </c>
      <c r="G666" s="16">
        <v>90</v>
      </c>
      <c r="H666" s="16" t="s">
        <v>94</v>
      </c>
      <c r="I666" s="16">
        <v>175</v>
      </c>
      <c r="J666" s="16">
        <f t="shared" si="147"/>
        <v>15750</v>
      </c>
      <c r="K666" s="16"/>
      <c r="L666" s="16"/>
      <c r="M666" s="16" t="s">
        <v>91</v>
      </c>
      <c r="N666" s="16" t="s">
        <v>656</v>
      </c>
      <c r="O666" s="97">
        <v>90</v>
      </c>
      <c r="P666" s="97">
        <v>175</v>
      </c>
      <c r="Q666" s="97">
        <f t="shared" si="148"/>
        <v>15750</v>
      </c>
      <c r="R666" s="111">
        <v>0.18</v>
      </c>
      <c r="S666" s="97">
        <f t="shared" si="149"/>
        <v>2835</v>
      </c>
      <c r="T666" s="97">
        <f t="shared" si="150"/>
        <v>18585</v>
      </c>
      <c r="U666" s="97" t="s">
        <v>1033</v>
      </c>
      <c r="V666" s="110" t="s">
        <v>1034</v>
      </c>
      <c r="W666" s="142" t="s">
        <v>1218</v>
      </c>
    </row>
    <row r="667" spans="1:23" x14ac:dyDescent="0.3">
      <c r="A667" s="1"/>
      <c r="B667" s="1"/>
      <c r="C667" s="1"/>
      <c r="D667" s="1"/>
      <c r="E667" s="16" t="s">
        <v>123</v>
      </c>
      <c r="F667" s="30" t="s">
        <v>657</v>
      </c>
      <c r="G667" s="16">
        <v>250</v>
      </c>
      <c r="H667" s="16" t="s">
        <v>94</v>
      </c>
      <c r="I667" s="16">
        <v>46</v>
      </c>
      <c r="J667" s="16">
        <f t="shared" si="147"/>
        <v>11500</v>
      </c>
      <c r="K667" s="16"/>
      <c r="L667" s="16"/>
      <c r="M667" s="16"/>
      <c r="N667" s="16"/>
      <c r="O667" s="97">
        <v>250</v>
      </c>
      <c r="P667" s="97">
        <v>46</v>
      </c>
      <c r="Q667" s="97">
        <f t="shared" si="148"/>
        <v>11500</v>
      </c>
      <c r="R667" s="111">
        <v>0.18</v>
      </c>
      <c r="S667" s="97">
        <f t="shared" si="149"/>
        <v>2070</v>
      </c>
      <c r="T667" s="97">
        <f t="shared" si="150"/>
        <v>13570</v>
      </c>
      <c r="U667" s="97" t="s">
        <v>1033</v>
      </c>
      <c r="V667" s="110" t="s">
        <v>1034</v>
      </c>
      <c r="W667" s="142" t="s">
        <v>1218</v>
      </c>
    </row>
    <row r="668" spans="1:23" ht="36" x14ac:dyDescent="0.15">
      <c r="A668" s="1"/>
      <c r="B668" s="140"/>
      <c r="C668" s="1"/>
      <c r="D668" s="1"/>
      <c r="E668" s="16" t="s">
        <v>123</v>
      </c>
      <c r="F668" s="56" t="s">
        <v>658</v>
      </c>
      <c r="G668" s="16">
        <v>100</v>
      </c>
      <c r="H668" s="16" t="s">
        <v>94</v>
      </c>
      <c r="I668" s="16">
        <v>46</v>
      </c>
      <c r="J668" s="16">
        <f t="shared" si="147"/>
        <v>4600</v>
      </c>
      <c r="K668" s="16"/>
      <c r="L668" s="16"/>
      <c r="M668" s="16"/>
      <c r="N668" s="16"/>
      <c r="O668" s="97">
        <v>100</v>
      </c>
      <c r="P668" s="97">
        <v>46</v>
      </c>
      <c r="Q668" s="97">
        <f t="shared" si="148"/>
        <v>4600</v>
      </c>
      <c r="R668" s="111">
        <v>0.18</v>
      </c>
      <c r="S668" s="97">
        <f t="shared" si="149"/>
        <v>828</v>
      </c>
      <c r="T668" s="97">
        <f t="shared" si="150"/>
        <v>5428</v>
      </c>
      <c r="U668" s="97" t="s">
        <v>1033</v>
      </c>
      <c r="V668" s="110" t="s">
        <v>1034</v>
      </c>
      <c r="W668" s="142" t="s">
        <v>1218</v>
      </c>
    </row>
    <row r="669" spans="1:23" ht="36" x14ac:dyDescent="0.3">
      <c r="A669" s="1"/>
      <c r="B669" s="1"/>
      <c r="C669" s="1"/>
      <c r="D669" s="1"/>
      <c r="E669" s="16" t="s">
        <v>123</v>
      </c>
      <c r="F669" s="56" t="s">
        <v>659</v>
      </c>
      <c r="G669" s="16">
        <v>8</v>
      </c>
      <c r="H669" s="16" t="s">
        <v>28</v>
      </c>
      <c r="I669" s="16">
        <v>1225</v>
      </c>
      <c r="J669" s="16">
        <f t="shared" si="147"/>
        <v>9800</v>
      </c>
      <c r="K669" s="16"/>
      <c r="L669" s="16"/>
      <c r="M669" s="16" t="s">
        <v>91</v>
      </c>
      <c r="N669" s="16" t="s">
        <v>656</v>
      </c>
      <c r="O669" s="97">
        <v>8</v>
      </c>
      <c r="P669" s="97">
        <v>1225</v>
      </c>
      <c r="Q669" s="97">
        <f t="shared" si="148"/>
        <v>9800</v>
      </c>
      <c r="R669" s="111">
        <v>0.18</v>
      </c>
      <c r="S669" s="97">
        <f t="shared" si="149"/>
        <v>1764</v>
      </c>
      <c r="T669" s="97">
        <f t="shared" si="150"/>
        <v>11564</v>
      </c>
      <c r="U669" s="97" t="s">
        <v>1033</v>
      </c>
      <c r="V669" s="110" t="s">
        <v>1034</v>
      </c>
      <c r="W669" s="142" t="s">
        <v>1218</v>
      </c>
    </row>
    <row r="670" spans="1:23" ht="36" x14ac:dyDescent="0.3">
      <c r="A670" s="1"/>
      <c r="B670" s="1"/>
      <c r="C670" s="1"/>
      <c r="D670" s="1"/>
      <c r="E670" s="16" t="s">
        <v>123</v>
      </c>
      <c r="F670" s="56" t="s">
        <v>660</v>
      </c>
      <c r="G670" s="16">
        <v>80</v>
      </c>
      <c r="H670" s="16" t="s">
        <v>28</v>
      </c>
      <c r="I670" s="16">
        <v>780</v>
      </c>
      <c r="J670" s="16">
        <f t="shared" si="147"/>
        <v>62400</v>
      </c>
      <c r="K670" s="16"/>
      <c r="L670" s="16"/>
      <c r="M670" s="16"/>
      <c r="N670" s="16"/>
      <c r="O670" s="97">
        <v>80</v>
      </c>
      <c r="P670" s="97">
        <v>780</v>
      </c>
      <c r="Q670" s="97">
        <f t="shared" si="148"/>
        <v>62400</v>
      </c>
      <c r="R670" s="111">
        <v>0.18</v>
      </c>
      <c r="S670" s="97">
        <f t="shared" si="149"/>
        <v>11232</v>
      </c>
      <c r="T670" s="97">
        <f t="shared" si="150"/>
        <v>73632</v>
      </c>
      <c r="U670" s="97" t="s">
        <v>1033</v>
      </c>
      <c r="V670" s="110" t="s">
        <v>1034</v>
      </c>
      <c r="W670" s="142" t="s">
        <v>1218</v>
      </c>
    </row>
    <row r="671" spans="1:23" ht="24" x14ac:dyDescent="0.3">
      <c r="A671" s="1"/>
      <c r="B671" s="1"/>
      <c r="C671" s="1"/>
      <c r="D671" s="1"/>
      <c r="E671" s="16" t="s">
        <v>123</v>
      </c>
      <c r="F671" s="56" t="s">
        <v>661</v>
      </c>
      <c r="G671" s="16">
        <v>40</v>
      </c>
      <c r="H671" s="16" t="s">
        <v>28</v>
      </c>
      <c r="I671" s="16">
        <v>480</v>
      </c>
      <c r="J671" s="16">
        <f t="shared" si="147"/>
        <v>19200</v>
      </c>
      <c r="K671" s="16"/>
      <c r="L671" s="16"/>
      <c r="M671" s="16" t="s">
        <v>91</v>
      </c>
      <c r="N671" s="16" t="s">
        <v>656</v>
      </c>
      <c r="O671" s="97">
        <v>40</v>
      </c>
      <c r="P671" s="97">
        <v>480</v>
      </c>
      <c r="Q671" s="97">
        <f t="shared" si="148"/>
        <v>19200</v>
      </c>
      <c r="R671" s="111">
        <v>0.18</v>
      </c>
      <c r="S671" s="97">
        <f t="shared" si="149"/>
        <v>3456</v>
      </c>
      <c r="T671" s="97">
        <f t="shared" si="150"/>
        <v>22656</v>
      </c>
      <c r="U671" s="97" t="s">
        <v>1033</v>
      </c>
      <c r="V671" s="110" t="s">
        <v>1034</v>
      </c>
      <c r="W671" s="142" t="s">
        <v>1218</v>
      </c>
    </row>
    <row r="672" spans="1:23" ht="36" x14ac:dyDescent="0.3">
      <c r="A672" s="1"/>
      <c r="B672" s="1"/>
      <c r="C672" s="1"/>
      <c r="D672" s="1"/>
      <c r="E672" s="16" t="s">
        <v>123</v>
      </c>
      <c r="F672" s="56" t="s">
        <v>662</v>
      </c>
      <c r="G672" s="16">
        <v>12</v>
      </c>
      <c r="H672" s="16" t="s">
        <v>28</v>
      </c>
      <c r="I672" s="16">
        <v>10000</v>
      </c>
      <c r="J672" s="16">
        <f t="shared" si="147"/>
        <v>120000</v>
      </c>
      <c r="K672" s="16"/>
      <c r="L672" s="16"/>
      <c r="M672" s="16"/>
      <c r="N672" s="16"/>
      <c r="O672" s="97">
        <v>12</v>
      </c>
      <c r="P672" s="97">
        <v>10000</v>
      </c>
      <c r="Q672" s="97">
        <f t="shared" si="148"/>
        <v>120000</v>
      </c>
      <c r="R672" s="111">
        <v>0.18</v>
      </c>
      <c r="S672" s="97">
        <f t="shared" si="149"/>
        <v>21600</v>
      </c>
      <c r="T672" s="97">
        <f t="shared" si="150"/>
        <v>141600</v>
      </c>
      <c r="U672" s="97" t="s">
        <v>1033</v>
      </c>
      <c r="V672" s="110" t="s">
        <v>1034</v>
      </c>
      <c r="W672" s="142" t="s">
        <v>1218</v>
      </c>
    </row>
    <row r="673" spans="1:23" x14ac:dyDescent="0.3">
      <c r="A673" s="124" t="s">
        <v>39</v>
      </c>
      <c r="B673" s="88"/>
      <c r="C673" s="88"/>
      <c r="D673" s="88"/>
      <c r="E673" s="88"/>
      <c r="F673" s="88"/>
      <c r="G673" s="88"/>
      <c r="H673" s="88"/>
      <c r="I673" s="88"/>
      <c r="J673" s="124">
        <f>SUM(J662:J672)</f>
        <v>682000</v>
      </c>
      <c r="K673" s="1"/>
      <c r="L673" s="1"/>
      <c r="M673" s="1"/>
      <c r="N673" s="1"/>
      <c r="O673" s="1"/>
      <c r="P673" s="1"/>
      <c r="Q673" s="1"/>
      <c r="R673" s="1"/>
      <c r="S673" s="1"/>
      <c r="T673" s="1"/>
      <c r="U673" s="1"/>
      <c r="V673" s="1"/>
      <c r="W673" s="142"/>
    </row>
    <row r="674" spans="1:23" x14ac:dyDescent="0.3">
      <c r="A674" s="124" t="s">
        <v>187</v>
      </c>
      <c r="B674" s="88"/>
      <c r="C674" s="88"/>
      <c r="D674" s="88"/>
      <c r="E674" s="88"/>
      <c r="F674" s="88"/>
      <c r="G674" s="88"/>
      <c r="H674" s="88"/>
      <c r="I674" s="88"/>
      <c r="J674" s="124">
        <f>J673*18/100</f>
        <v>122760</v>
      </c>
      <c r="K674" s="1"/>
      <c r="L674" s="1"/>
      <c r="M674" s="1"/>
      <c r="N674" s="1"/>
      <c r="O674" s="1"/>
      <c r="P674" s="1"/>
      <c r="Q674" s="1"/>
      <c r="R674" s="1"/>
      <c r="S674" s="1"/>
      <c r="T674" s="1"/>
      <c r="U674" s="1"/>
      <c r="V674" s="1"/>
      <c r="W674" s="142"/>
    </row>
    <row r="675" spans="1:23" x14ac:dyDescent="0.3">
      <c r="A675" s="124" t="s">
        <v>41</v>
      </c>
      <c r="B675" s="88"/>
      <c r="C675" s="88"/>
      <c r="D675" s="88"/>
      <c r="E675" s="88"/>
      <c r="F675" s="88"/>
      <c r="G675" s="88"/>
      <c r="H675" s="88"/>
      <c r="I675" s="88"/>
      <c r="J675" s="124">
        <f>SUM(J673:J674)</f>
        <v>804760</v>
      </c>
      <c r="K675" s="1"/>
      <c r="L675" s="1"/>
      <c r="M675" s="1"/>
      <c r="N675" s="1"/>
      <c r="O675" s="1"/>
      <c r="P675" s="1"/>
      <c r="Q675" s="1"/>
      <c r="R675" s="1"/>
      <c r="S675" s="1"/>
      <c r="T675" s="1">
        <f>SUM(T662:T674)</f>
        <v>804760</v>
      </c>
      <c r="U675" s="1"/>
      <c r="V675" s="1"/>
      <c r="W675" s="142"/>
    </row>
    <row r="676" spans="1:23" x14ac:dyDescent="0.3">
      <c r="A676" s="124"/>
      <c r="B676" s="88"/>
      <c r="C676" s="88"/>
      <c r="D676" s="88"/>
      <c r="E676" s="88"/>
      <c r="F676" s="88"/>
      <c r="G676" s="88"/>
      <c r="H676" s="88"/>
      <c r="I676" s="88"/>
      <c r="J676" s="124"/>
      <c r="K676" s="1"/>
      <c r="L676" s="1"/>
      <c r="M676" s="1"/>
      <c r="N676" s="1"/>
      <c r="O676" s="1"/>
      <c r="P676" s="1"/>
      <c r="Q676" s="1"/>
      <c r="R676" s="1"/>
      <c r="S676" s="1"/>
      <c r="T676" s="1"/>
      <c r="U676" s="1"/>
      <c r="V676" s="1"/>
      <c r="W676" s="142"/>
    </row>
    <row r="677" spans="1:23" ht="25.2" x14ac:dyDescent="0.3">
      <c r="A677" s="16">
        <v>63</v>
      </c>
      <c r="B677" s="16">
        <v>9200127430</v>
      </c>
      <c r="C677" s="19">
        <v>45608</v>
      </c>
      <c r="D677" s="16" t="s">
        <v>300</v>
      </c>
      <c r="E677" s="16" t="s">
        <v>123</v>
      </c>
      <c r="F677" s="39" t="s">
        <v>663</v>
      </c>
      <c r="G677" s="16">
        <v>10</v>
      </c>
      <c r="H677" s="16" t="s">
        <v>28</v>
      </c>
      <c r="I677" s="16">
        <v>15562</v>
      </c>
      <c r="J677" s="16">
        <f>G677*I677</f>
        <v>155620</v>
      </c>
      <c r="K677" s="114">
        <v>10</v>
      </c>
      <c r="L677" s="114" t="s">
        <v>28</v>
      </c>
      <c r="M677" s="114" t="s">
        <v>91</v>
      </c>
      <c r="N677" s="114" t="s">
        <v>664</v>
      </c>
      <c r="O677" s="16">
        <v>10</v>
      </c>
      <c r="P677" s="16">
        <v>15562</v>
      </c>
      <c r="Q677" s="16">
        <f>O677*P677</f>
        <v>155620</v>
      </c>
      <c r="R677" s="18">
        <v>0.18</v>
      </c>
      <c r="S677" s="16">
        <f>Q677*R677</f>
        <v>28011.599999999999</v>
      </c>
      <c r="T677" s="16">
        <f>Q677+S677</f>
        <v>183631.6</v>
      </c>
      <c r="U677" s="16" t="s">
        <v>665</v>
      </c>
      <c r="V677" s="19" t="s">
        <v>666</v>
      </c>
      <c r="W677" s="142" t="s">
        <v>200</v>
      </c>
    </row>
    <row r="678" spans="1:23" x14ac:dyDescent="0.3">
      <c r="A678" s="124"/>
      <c r="B678" s="88" t="s">
        <v>39</v>
      </c>
      <c r="C678" s="88"/>
      <c r="D678" s="88"/>
      <c r="E678" s="88"/>
      <c r="F678" s="88"/>
      <c r="G678" s="88"/>
      <c r="H678" s="88"/>
      <c r="I678" s="1"/>
      <c r="J678" s="124">
        <f>SUM(J677)</f>
        <v>155620</v>
      </c>
      <c r="K678" s="1"/>
      <c r="L678" s="1"/>
      <c r="M678" s="1"/>
      <c r="N678" s="1"/>
      <c r="O678" s="1"/>
      <c r="P678" s="1"/>
      <c r="Q678" s="1"/>
      <c r="R678" s="1"/>
      <c r="S678" s="1"/>
      <c r="T678" s="1"/>
      <c r="U678" s="1"/>
      <c r="V678" s="1"/>
      <c r="W678" s="142"/>
    </row>
    <row r="679" spans="1:23" x14ac:dyDescent="0.3">
      <c r="A679" s="124"/>
      <c r="B679" s="88" t="s">
        <v>187</v>
      </c>
      <c r="C679" s="88"/>
      <c r="D679" s="88"/>
      <c r="E679" s="88"/>
      <c r="F679" s="88"/>
      <c r="G679" s="88"/>
      <c r="H679" s="88"/>
      <c r="I679" s="1"/>
      <c r="J679" s="124">
        <f>J678*18/100</f>
        <v>28011.599999999999</v>
      </c>
      <c r="K679" s="1"/>
      <c r="L679" s="1"/>
      <c r="M679" s="1"/>
      <c r="N679" s="1"/>
      <c r="O679" s="1"/>
      <c r="P679" s="1"/>
      <c r="Q679" s="1"/>
      <c r="R679" s="1"/>
      <c r="S679" s="1"/>
      <c r="T679" s="1"/>
      <c r="U679" s="1"/>
      <c r="V679" s="1"/>
      <c r="W679" s="142"/>
    </row>
    <row r="680" spans="1:23" x14ac:dyDescent="0.3">
      <c r="A680" s="124"/>
      <c r="B680" s="88" t="s">
        <v>41</v>
      </c>
      <c r="C680" s="88"/>
      <c r="D680" s="88"/>
      <c r="E680" s="88"/>
      <c r="F680" s="88"/>
      <c r="G680" s="88"/>
      <c r="H680" s="88"/>
      <c r="I680" s="1"/>
      <c r="J680" s="124">
        <f>SUM(J678:J679)</f>
        <v>183631.6</v>
      </c>
      <c r="K680" s="1"/>
      <c r="L680" s="1"/>
      <c r="M680" s="1"/>
      <c r="N680" s="1"/>
      <c r="O680" s="1"/>
      <c r="P680" s="1"/>
      <c r="Q680" s="1"/>
      <c r="R680" s="1"/>
      <c r="S680" s="1"/>
      <c r="T680" s="1"/>
      <c r="U680" s="1"/>
      <c r="V680" s="1"/>
      <c r="W680" s="142"/>
    </row>
    <row r="681" spans="1:23" x14ac:dyDescent="0.3">
      <c r="A681" s="1"/>
      <c r="B681" s="1"/>
      <c r="C681" s="1"/>
      <c r="D681" s="1"/>
      <c r="E681" s="1"/>
      <c r="F681" s="1"/>
      <c r="G681" s="1"/>
      <c r="H681" s="1"/>
      <c r="I681" s="1"/>
      <c r="J681" s="1"/>
      <c r="K681" s="1"/>
      <c r="L681" s="1"/>
      <c r="M681" s="1"/>
      <c r="N681" s="1"/>
      <c r="O681" s="1"/>
      <c r="P681" s="1"/>
      <c r="Q681" s="1"/>
      <c r="R681" s="1"/>
      <c r="S681" s="1"/>
      <c r="T681" s="1"/>
      <c r="U681" s="1"/>
      <c r="V681" s="1"/>
      <c r="W681" s="142"/>
    </row>
    <row r="682" spans="1:23" ht="88.2" x14ac:dyDescent="0.3">
      <c r="A682" s="1">
        <v>64</v>
      </c>
      <c r="B682" s="1">
        <v>9200127858</v>
      </c>
      <c r="C682" s="1" t="s">
        <v>667</v>
      </c>
      <c r="D682" s="26" t="s">
        <v>154</v>
      </c>
      <c r="E682" s="1" t="s">
        <v>123</v>
      </c>
      <c r="F682" s="22" t="s">
        <v>668</v>
      </c>
      <c r="G682" s="1">
        <v>1650</v>
      </c>
      <c r="H682" s="1" t="s">
        <v>302</v>
      </c>
      <c r="I682" s="1">
        <v>395</v>
      </c>
      <c r="J682" s="1">
        <f>G682*I682</f>
        <v>651750</v>
      </c>
      <c r="K682" s="1"/>
      <c r="L682" s="1"/>
      <c r="M682" s="1"/>
      <c r="N682" s="1"/>
      <c r="O682" s="1"/>
      <c r="P682" s="1"/>
      <c r="Q682" s="1"/>
      <c r="R682" s="86">
        <v>0.18</v>
      </c>
      <c r="S682" s="1"/>
      <c r="T682" s="1"/>
      <c r="U682" s="1"/>
      <c r="V682" s="1"/>
      <c r="W682" s="142"/>
    </row>
    <row r="683" spans="1:23" ht="37.799999999999997" x14ac:dyDescent="0.3">
      <c r="A683" s="1"/>
      <c r="B683" s="1"/>
      <c r="C683" s="1"/>
      <c r="D683" s="1"/>
      <c r="E683" s="1" t="s">
        <v>123</v>
      </c>
      <c r="F683" s="22" t="s">
        <v>669</v>
      </c>
      <c r="G683" s="1">
        <v>200</v>
      </c>
      <c r="H683" s="1" t="s">
        <v>302</v>
      </c>
      <c r="I683" s="1">
        <v>130</v>
      </c>
      <c r="J683" s="1">
        <f t="shared" ref="J683:J711" si="151">G683*I683</f>
        <v>26000</v>
      </c>
      <c r="K683" s="1"/>
      <c r="L683" s="1"/>
      <c r="M683" s="1"/>
      <c r="N683" s="1"/>
      <c r="O683" s="1"/>
      <c r="P683" s="1"/>
      <c r="Q683" s="1"/>
      <c r="R683" s="86">
        <v>0.18</v>
      </c>
      <c r="S683" s="1"/>
      <c r="T683" s="1"/>
      <c r="U683" s="1"/>
      <c r="V683" s="1"/>
      <c r="W683" s="142"/>
    </row>
    <row r="684" spans="1:23" ht="88.2" x14ac:dyDescent="0.3">
      <c r="A684" s="1"/>
      <c r="B684" s="1"/>
      <c r="C684" s="1"/>
      <c r="D684" s="1"/>
      <c r="E684" s="1" t="s">
        <v>123</v>
      </c>
      <c r="F684" s="22" t="s">
        <v>670</v>
      </c>
      <c r="G684" s="1">
        <v>4</v>
      </c>
      <c r="H684" s="1" t="s">
        <v>28</v>
      </c>
      <c r="I684" s="1">
        <v>26000</v>
      </c>
      <c r="J684" s="1">
        <f t="shared" si="151"/>
        <v>104000</v>
      </c>
      <c r="K684" s="1"/>
      <c r="L684" s="1"/>
      <c r="M684" s="1"/>
      <c r="N684" s="1"/>
      <c r="O684" s="1"/>
      <c r="P684" s="1"/>
      <c r="Q684" s="1"/>
      <c r="R684" s="86">
        <v>0.18</v>
      </c>
      <c r="S684" s="1"/>
      <c r="T684" s="1"/>
      <c r="U684" s="1"/>
      <c r="V684" s="1"/>
      <c r="W684" s="142"/>
    </row>
    <row r="685" spans="1:23" ht="37.799999999999997" x14ac:dyDescent="0.3">
      <c r="A685" s="1"/>
      <c r="B685" s="1"/>
      <c r="C685" s="1"/>
      <c r="D685" s="1"/>
      <c r="E685" s="1" t="s">
        <v>123</v>
      </c>
      <c r="F685" s="22" t="s">
        <v>671</v>
      </c>
      <c r="G685" s="1">
        <v>300</v>
      </c>
      <c r="H685" s="1" t="s">
        <v>302</v>
      </c>
      <c r="I685" s="1">
        <v>26</v>
      </c>
      <c r="J685" s="1">
        <f t="shared" si="151"/>
        <v>7800</v>
      </c>
      <c r="K685" s="1"/>
      <c r="L685" s="1"/>
      <c r="M685" s="1"/>
      <c r="N685" s="1"/>
      <c r="O685" s="1"/>
      <c r="P685" s="1"/>
      <c r="Q685" s="1"/>
      <c r="R685" s="86">
        <v>0.18</v>
      </c>
      <c r="S685" s="1"/>
      <c r="T685" s="1"/>
      <c r="U685" s="1"/>
      <c r="V685" s="1"/>
      <c r="W685" s="142"/>
    </row>
    <row r="686" spans="1:23" ht="25.2" x14ac:dyDescent="0.3">
      <c r="A686" s="1"/>
      <c r="B686" s="1"/>
      <c r="C686" s="1"/>
      <c r="D686" s="1"/>
      <c r="E686" s="1" t="s">
        <v>123</v>
      </c>
      <c r="F686" s="22" t="s">
        <v>672</v>
      </c>
      <c r="G686" s="1">
        <v>3000</v>
      </c>
      <c r="H686" s="1" t="s">
        <v>302</v>
      </c>
      <c r="I686" s="1">
        <v>7</v>
      </c>
      <c r="J686" s="1">
        <f t="shared" si="151"/>
        <v>21000</v>
      </c>
      <c r="K686" s="1"/>
      <c r="L686" s="1"/>
      <c r="M686" s="1"/>
      <c r="N686" s="1"/>
      <c r="O686" s="1"/>
      <c r="P686" s="1"/>
      <c r="Q686" s="1"/>
      <c r="R686" s="86">
        <v>0.18</v>
      </c>
      <c r="S686" s="1"/>
      <c r="T686" s="1"/>
      <c r="U686" s="1"/>
      <c r="V686" s="1"/>
      <c r="W686" s="142"/>
    </row>
    <row r="687" spans="1:23" ht="201.6" x14ac:dyDescent="0.3">
      <c r="A687" s="1"/>
      <c r="B687" s="1"/>
      <c r="C687" s="1"/>
      <c r="D687" s="1"/>
      <c r="E687" s="1" t="s">
        <v>123</v>
      </c>
      <c r="F687" s="22" t="s">
        <v>673</v>
      </c>
      <c r="G687" s="1">
        <v>220</v>
      </c>
      <c r="H687" s="1" t="s">
        <v>302</v>
      </c>
      <c r="I687" s="1">
        <v>392</v>
      </c>
      <c r="J687" s="1">
        <f t="shared" si="151"/>
        <v>86240</v>
      </c>
      <c r="K687" s="1"/>
      <c r="L687" s="1"/>
      <c r="M687" s="1"/>
      <c r="N687" s="1"/>
      <c r="O687" s="1"/>
      <c r="P687" s="1"/>
      <c r="Q687" s="1"/>
      <c r="R687" s="86">
        <v>0.18</v>
      </c>
      <c r="S687" s="1"/>
      <c r="T687" s="1"/>
      <c r="U687" s="1"/>
      <c r="V687" s="1"/>
      <c r="W687" s="142"/>
    </row>
    <row r="688" spans="1:23" ht="63" x14ac:dyDescent="0.3">
      <c r="A688" s="1"/>
      <c r="B688" s="1"/>
      <c r="C688" s="1"/>
      <c r="D688" s="1"/>
      <c r="E688" s="1" t="s">
        <v>123</v>
      </c>
      <c r="F688" s="22" t="s">
        <v>674</v>
      </c>
      <c r="G688" s="1">
        <v>1</v>
      </c>
      <c r="H688" s="1" t="s">
        <v>87</v>
      </c>
      <c r="I688" s="1">
        <v>33800</v>
      </c>
      <c r="J688" s="1">
        <f t="shared" si="151"/>
        <v>33800</v>
      </c>
      <c r="K688" s="1"/>
      <c r="L688" s="1"/>
      <c r="M688" s="1"/>
      <c r="N688" s="1"/>
      <c r="O688" s="1"/>
      <c r="P688" s="1"/>
      <c r="Q688" s="1"/>
      <c r="R688" s="86">
        <v>0.18</v>
      </c>
      <c r="S688" s="1"/>
      <c r="T688" s="1"/>
      <c r="U688" s="1"/>
      <c r="V688" s="1"/>
      <c r="W688" s="142"/>
    </row>
    <row r="689" spans="1:23" x14ac:dyDescent="0.3">
      <c r="A689" s="1"/>
      <c r="B689" s="1"/>
      <c r="C689" s="1"/>
      <c r="D689" s="1"/>
      <c r="E689" s="1" t="s">
        <v>123</v>
      </c>
      <c r="F689" s="1" t="s">
        <v>675</v>
      </c>
      <c r="G689" s="1">
        <v>335</v>
      </c>
      <c r="H689" s="1" t="s">
        <v>302</v>
      </c>
      <c r="I689" s="1">
        <v>195</v>
      </c>
      <c r="J689" s="1">
        <f t="shared" si="151"/>
        <v>65325</v>
      </c>
      <c r="K689" s="1"/>
      <c r="L689" s="1"/>
      <c r="M689" s="1"/>
      <c r="N689" s="1"/>
      <c r="O689" s="1"/>
      <c r="P689" s="1"/>
      <c r="Q689" s="1"/>
      <c r="R689" s="86">
        <v>0.18</v>
      </c>
      <c r="S689" s="1"/>
      <c r="T689" s="1"/>
      <c r="U689" s="1"/>
      <c r="V689" s="1"/>
      <c r="W689" s="142"/>
    </row>
    <row r="690" spans="1:23" ht="25.2" x14ac:dyDescent="0.3">
      <c r="A690" s="1"/>
      <c r="B690" s="1"/>
      <c r="C690" s="1"/>
      <c r="D690" s="1"/>
      <c r="E690" s="1" t="s">
        <v>123</v>
      </c>
      <c r="F690" s="22" t="s">
        <v>676</v>
      </c>
      <c r="G690" s="1">
        <v>70</v>
      </c>
      <c r="H690" s="1" t="s">
        <v>252</v>
      </c>
      <c r="I690" s="1">
        <v>130</v>
      </c>
      <c r="J690" s="1">
        <f t="shared" si="151"/>
        <v>9100</v>
      </c>
      <c r="K690" s="1"/>
      <c r="L690" s="1"/>
      <c r="M690" s="1"/>
      <c r="N690" s="1"/>
      <c r="O690" s="1"/>
      <c r="P690" s="1"/>
      <c r="Q690" s="1"/>
      <c r="R690" s="86">
        <v>0.18</v>
      </c>
      <c r="S690" s="1"/>
      <c r="T690" s="1"/>
      <c r="U690" s="1"/>
      <c r="V690" s="1"/>
      <c r="W690" s="142"/>
    </row>
    <row r="691" spans="1:23" x14ac:dyDescent="0.3">
      <c r="A691" s="1"/>
      <c r="B691" s="1"/>
      <c r="C691" s="1"/>
      <c r="D691" s="1"/>
      <c r="E691" s="1" t="s">
        <v>123</v>
      </c>
      <c r="F691" s="1" t="s">
        <v>677</v>
      </c>
      <c r="G691" s="1">
        <v>1</v>
      </c>
      <c r="H691" s="1" t="s">
        <v>181</v>
      </c>
      <c r="I691" s="1">
        <v>3900</v>
      </c>
      <c r="J691" s="1">
        <f t="shared" si="151"/>
        <v>3900</v>
      </c>
      <c r="K691" s="1"/>
      <c r="L691" s="1"/>
      <c r="M691" s="1"/>
      <c r="N691" s="1"/>
      <c r="O691" s="1"/>
      <c r="P691" s="1"/>
      <c r="Q691" s="1"/>
      <c r="R691" s="86">
        <v>0.18</v>
      </c>
      <c r="S691" s="1"/>
      <c r="T691" s="1"/>
      <c r="U691" s="1"/>
      <c r="V691" s="1"/>
      <c r="W691" s="142"/>
    </row>
    <row r="692" spans="1:23" ht="50.4" x14ac:dyDescent="0.3">
      <c r="A692" s="1"/>
      <c r="B692" s="1"/>
      <c r="C692" s="1"/>
      <c r="D692" s="1"/>
      <c r="E692" s="1" t="s">
        <v>123</v>
      </c>
      <c r="F692" s="22" t="s">
        <v>678</v>
      </c>
      <c r="G692" s="1">
        <v>1</v>
      </c>
      <c r="H692" s="1" t="s">
        <v>181</v>
      </c>
      <c r="I692" s="1">
        <v>1800</v>
      </c>
      <c r="J692" s="1">
        <f t="shared" si="151"/>
        <v>1800</v>
      </c>
      <c r="K692" s="1"/>
      <c r="L692" s="1"/>
      <c r="M692" s="1"/>
      <c r="N692" s="1"/>
      <c r="O692" s="1"/>
      <c r="P692" s="1"/>
      <c r="Q692" s="1"/>
      <c r="R692" s="86">
        <v>0.18</v>
      </c>
      <c r="S692" s="1"/>
      <c r="T692" s="1"/>
      <c r="U692" s="1"/>
      <c r="V692" s="1"/>
      <c r="W692" s="142"/>
    </row>
    <row r="693" spans="1:23" ht="50.4" x14ac:dyDescent="0.3">
      <c r="A693" s="1"/>
      <c r="B693" s="1"/>
      <c r="C693" s="1"/>
      <c r="D693" s="1"/>
      <c r="E693" s="1" t="s">
        <v>123</v>
      </c>
      <c r="F693" s="22" t="s">
        <v>679</v>
      </c>
      <c r="G693" s="1">
        <v>1</v>
      </c>
      <c r="H693" s="1" t="s">
        <v>181</v>
      </c>
      <c r="I693" s="1">
        <v>2500</v>
      </c>
      <c r="J693" s="1">
        <f t="shared" si="151"/>
        <v>2500</v>
      </c>
      <c r="K693" s="1"/>
      <c r="L693" s="1"/>
      <c r="M693" s="1"/>
      <c r="N693" s="1"/>
      <c r="O693" s="1"/>
      <c r="P693" s="1"/>
      <c r="Q693" s="1"/>
      <c r="R693" s="86">
        <v>0.18</v>
      </c>
      <c r="S693" s="1"/>
      <c r="T693" s="1"/>
      <c r="U693" s="1"/>
      <c r="V693" s="1"/>
      <c r="W693" s="142"/>
    </row>
    <row r="694" spans="1:23" x14ac:dyDescent="0.3">
      <c r="A694" s="1"/>
      <c r="B694" s="1"/>
      <c r="C694" s="1"/>
      <c r="D694" s="1"/>
      <c r="E694" s="1" t="s">
        <v>123</v>
      </c>
      <c r="F694" s="1" t="s">
        <v>680</v>
      </c>
      <c r="G694" s="1">
        <v>200</v>
      </c>
      <c r="H694" s="1" t="s">
        <v>252</v>
      </c>
      <c r="I694" s="1">
        <v>90</v>
      </c>
      <c r="J694" s="1">
        <f t="shared" si="151"/>
        <v>18000</v>
      </c>
      <c r="K694" s="1"/>
      <c r="L694" s="1"/>
      <c r="M694" s="1"/>
      <c r="N694" s="1"/>
      <c r="O694" s="1"/>
      <c r="P694" s="1"/>
      <c r="Q694" s="1"/>
      <c r="R694" s="86">
        <v>0.18</v>
      </c>
      <c r="S694" s="1"/>
      <c r="T694" s="1"/>
      <c r="U694" s="1"/>
      <c r="V694" s="1"/>
      <c r="W694" s="142"/>
    </row>
    <row r="695" spans="1:23" ht="37.799999999999997" x14ac:dyDescent="0.3">
      <c r="A695" s="1"/>
      <c r="B695" s="1"/>
      <c r="C695" s="1"/>
      <c r="D695" s="1"/>
      <c r="E695" s="1" t="s">
        <v>123</v>
      </c>
      <c r="F695" s="22" t="s">
        <v>681</v>
      </c>
      <c r="G695" s="1">
        <v>1000</v>
      </c>
      <c r="H695" s="1" t="s">
        <v>302</v>
      </c>
      <c r="I695" s="1">
        <v>13</v>
      </c>
      <c r="J695" s="1">
        <f t="shared" si="151"/>
        <v>13000</v>
      </c>
      <c r="K695" s="1"/>
      <c r="L695" s="1"/>
      <c r="M695" s="1"/>
      <c r="N695" s="1"/>
      <c r="O695" s="1"/>
      <c r="P695" s="1"/>
      <c r="Q695" s="1"/>
      <c r="R695" s="86">
        <v>0.18</v>
      </c>
      <c r="S695" s="1"/>
      <c r="T695" s="1"/>
      <c r="U695" s="1"/>
      <c r="V695" s="1"/>
      <c r="W695" s="142"/>
    </row>
    <row r="696" spans="1:23" x14ac:dyDescent="0.3">
      <c r="A696" s="1"/>
      <c r="B696" s="1"/>
      <c r="C696" s="1"/>
      <c r="D696" s="1"/>
      <c r="E696" s="1" t="s">
        <v>123</v>
      </c>
      <c r="F696" s="1" t="s">
        <v>682</v>
      </c>
      <c r="G696" s="1">
        <v>1000</v>
      </c>
      <c r="H696" s="1" t="s">
        <v>302</v>
      </c>
      <c r="I696" s="1">
        <v>7</v>
      </c>
      <c r="J696" s="1">
        <f t="shared" si="151"/>
        <v>7000</v>
      </c>
      <c r="K696" s="1"/>
      <c r="L696" s="1"/>
      <c r="M696" s="1"/>
      <c r="N696" s="1"/>
      <c r="O696" s="1"/>
      <c r="P696" s="1"/>
      <c r="Q696" s="1"/>
      <c r="R696" s="86">
        <v>0.18</v>
      </c>
      <c r="S696" s="1"/>
      <c r="T696" s="1"/>
      <c r="U696" s="1"/>
      <c r="V696" s="1"/>
      <c r="W696" s="142"/>
    </row>
    <row r="697" spans="1:23" x14ac:dyDescent="0.3">
      <c r="A697" s="1"/>
      <c r="B697" s="1"/>
      <c r="C697" s="1"/>
      <c r="D697" s="1"/>
      <c r="E697" s="1" t="s">
        <v>123</v>
      </c>
      <c r="F697" s="1" t="s">
        <v>683</v>
      </c>
      <c r="G697" s="1">
        <v>1</v>
      </c>
      <c r="H697" s="1" t="s">
        <v>87</v>
      </c>
      <c r="I697" s="1">
        <v>3250</v>
      </c>
      <c r="J697" s="1">
        <f t="shared" si="151"/>
        <v>3250</v>
      </c>
      <c r="K697" s="1"/>
      <c r="L697" s="1"/>
      <c r="M697" s="1"/>
      <c r="N697" s="1"/>
      <c r="O697" s="1"/>
      <c r="P697" s="1"/>
      <c r="Q697" s="1"/>
      <c r="R697" s="86">
        <v>0.18</v>
      </c>
      <c r="S697" s="1"/>
      <c r="T697" s="1"/>
      <c r="U697" s="1"/>
      <c r="V697" s="1"/>
      <c r="W697" s="142"/>
    </row>
    <row r="698" spans="1:23" x14ac:dyDescent="0.3">
      <c r="A698" s="1"/>
      <c r="B698" s="1"/>
      <c r="C698" s="1"/>
      <c r="D698" s="1"/>
      <c r="E698" s="1" t="s">
        <v>123</v>
      </c>
      <c r="F698" s="101" t="s">
        <v>684</v>
      </c>
      <c r="G698" s="1">
        <v>80</v>
      </c>
      <c r="H698" s="1" t="s">
        <v>302</v>
      </c>
      <c r="I698" s="1">
        <v>275</v>
      </c>
      <c r="J698" s="1">
        <f t="shared" si="151"/>
        <v>22000</v>
      </c>
      <c r="K698" s="1"/>
      <c r="L698" s="1"/>
      <c r="M698" s="1"/>
      <c r="N698" s="1"/>
      <c r="O698" s="1"/>
      <c r="P698" s="1"/>
      <c r="Q698" s="1"/>
      <c r="R698" s="86">
        <v>0.18</v>
      </c>
      <c r="S698" s="1"/>
      <c r="T698" s="1"/>
      <c r="U698" s="1"/>
      <c r="V698" s="1"/>
      <c r="W698" s="142"/>
    </row>
    <row r="699" spans="1:23" x14ac:dyDescent="0.3">
      <c r="A699" s="1"/>
      <c r="B699" s="1"/>
      <c r="C699" s="1"/>
      <c r="D699" s="1"/>
      <c r="E699" s="1" t="s">
        <v>123</v>
      </c>
      <c r="F699" s="1" t="s">
        <v>685</v>
      </c>
      <c r="G699" s="1">
        <v>1</v>
      </c>
      <c r="H699" s="1" t="s">
        <v>28</v>
      </c>
      <c r="I699" s="1">
        <v>10400</v>
      </c>
      <c r="J699" s="1">
        <f t="shared" si="151"/>
        <v>10400</v>
      </c>
      <c r="K699" s="1"/>
      <c r="L699" s="1"/>
      <c r="M699" s="1"/>
      <c r="N699" s="1"/>
      <c r="O699" s="1"/>
      <c r="P699" s="1"/>
      <c r="Q699" s="1"/>
      <c r="R699" s="86">
        <v>0.18</v>
      </c>
      <c r="S699" s="1"/>
      <c r="T699" s="1"/>
      <c r="U699" s="1"/>
      <c r="V699" s="1"/>
      <c r="W699" s="142"/>
    </row>
    <row r="700" spans="1:23" ht="25.2" x14ac:dyDescent="0.3">
      <c r="A700" s="1"/>
      <c r="B700" s="1"/>
      <c r="C700" s="1"/>
      <c r="D700" s="1"/>
      <c r="E700" s="1" t="s">
        <v>123</v>
      </c>
      <c r="F700" s="22" t="s">
        <v>338</v>
      </c>
      <c r="G700" s="1">
        <v>1</v>
      </c>
      <c r="H700" s="1" t="s">
        <v>87</v>
      </c>
      <c r="I700" s="1">
        <v>9000</v>
      </c>
      <c r="J700" s="1">
        <f t="shared" si="151"/>
        <v>9000</v>
      </c>
      <c r="K700" s="1"/>
      <c r="L700" s="1"/>
      <c r="M700" s="1"/>
      <c r="N700" s="1"/>
      <c r="O700" s="1"/>
      <c r="P700" s="1"/>
      <c r="Q700" s="1"/>
      <c r="R700" s="86">
        <v>0.18</v>
      </c>
      <c r="S700" s="1"/>
      <c r="T700" s="1"/>
      <c r="U700" s="1"/>
      <c r="V700" s="1"/>
      <c r="W700" s="142"/>
    </row>
    <row r="701" spans="1:23" ht="25.2" x14ac:dyDescent="0.3">
      <c r="A701" s="1"/>
      <c r="B701" s="1"/>
      <c r="C701" s="1"/>
      <c r="D701" s="1"/>
      <c r="E701" s="1" t="s">
        <v>123</v>
      </c>
      <c r="F701" s="22" t="s">
        <v>340</v>
      </c>
      <c r="G701" s="1">
        <v>50</v>
      </c>
      <c r="H701" s="1" t="s">
        <v>302</v>
      </c>
      <c r="I701" s="1">
        <v>90</v>
      </c>
      <c r="J701" s="1">
        <f t="shared" si="151"/>
        <v>4500</v>
      </c>
      <c r="K701" s="1"/>
      <c r="L701" s="1"/>
      <c r="M701" s="1"/>
      <c r="N701" s="1"/>
      <c r="O701" s="1"/>
      <c r="P701" s="1"/>
      <c r="Q701" s="1"/>
      <c r="R701" s="86">
        <v>0.18</v>
      </c>
      <c r="S701" s="1"/>
      <c r="T701" s="1"/>
      <c r="U701" s="1"/>
      <c r="V701" s="1"/>
      <c r="W701" s="142"/>
    </row>
    <row r="702" spans="1:23" ht="25.2" x14ac:dyDescent="0.3">
      <c r="A702" s="1"/>
      <c r="B702" s="1"/>
      <c r="C702" s="1"/>
      <c r="D702" s="1"/>
      <c r="E702" s="1" t="s">
        <v>123</v>
      </c>
      <c r="F702" s="22" t="s">
        <v>686</v>
      </c>
      <c r="G702" s="1">
        <v>1</v>
      </c>
      <c r="H702" s="1" t="s">
        <v>87</v>
      </c>
      <c r="I702" s="1">
        <v>13500</v>
      </c>
      <c r="J702" s="1">
        <f t="shared" si="151"/>
        <v>13500</v>
      </c>
      <c r="K702" s="1"/>
      <c r="L702" s="1"/>
      <c r="M702" s="1"/>
      <c r="N702" s="1"/>
      <c r="O702" s="1"/>
      <c r="P702" s="1"/>
      <c r="Q702" s="1"/>
      <c r="R702" s="86">
        <v>0.18</v>
      </c>
      <c r="S702" s="1"/>
      <c r="T702" s="1"/>
      <c r="U702" s="1"/>
      <c r="V702" s="1"/>
      <c r="W702" s="142"/>
    </row>
    <row r="703" spans="1:23" ht="37.799999999999997" x14ac:dyDescent="0.3">
      <c r="A703" s="1"/>
      <c r="B703" s="1"/>
      <c r="C703" s="1"/>
      <c r="D703" s="1"/>
      <c r="E703" s="1" t="s">
        <v>123</v>
      </c>
      <c r="F703" s="22" t="s">
        <v>687</v>
      </c>
      <c r="G703" s="1">
        <v>1</v>
      </c>
      <c r="H703" s="1" t="s">
        <v>28</v>
      </c>
      <c r="I703" s="1">
        <v>4000</v>
      </c>
      <c r="J703" s="1">
        <f t="shared" si="151"/>
        <v>4000</v>
      </c>
      <c r="K703" s="1"/>
      <c r="L703" s="1"/>
      <c r="M703" s="1"/>
      <c r="N703" s="1"/>
      <c r="O703" s="1"/>
      <c r="P703" s="1"/>
      <c r="Q703" s="1"/>
      <c r="R703" s="86">
        <v>0.18</v>
      </c>
      <c r="S703" s="1"/>
      <c r="T703" s="1"/>
      <c r="U703" s="1"/>
      <c r="V703" s="1"/>
      <c r="W703" s="142"/>
    </row>
    <row r="704" spans="1:23" ht="25.2" x14ac:dyDescent="0.3">
      <c r="A704" s="1"/>
      <c r="B704" s="1"/>
      <c r="C704" s="1"/>
      <c r="D704" s="1"/>
      <c r="E704" s="1" t="s">
        <v>123</v>
      </c>
      <c r="F704" s="22" t="s">
        <v>688</v>
      </c>
      <c r="G704" s="1">
        <v>40</v>
      </c>
      <c r="H704" s="1" t="s">
        <v>252</v>
      </c>
      <c r="I704" s="1">
        <v>140</v>
      </c>
      <c r="J704" s="1">
        <f t="shared" si="151"/>
        <v>5600</v>
      </c>
      <c r="K704" s="1"/>
      <c r="L704" s="1"/>
      <c r="M704" s="1"/>
      <c r="N704" s="1"/>
      <c r="O704" s="1"/>
      <c r="P704" s="1"/>
      <c r="Q704" s="1"/>
      <c r="R704" s="86">
        <v>0.18</v>
      </c>
      <c r="S704" s="1"/>
      <c r="T704" s="1"/>
      <c r="U704" s="1"/>
      <c r="V704" s="1"/>
      <c r="W704" s="142"/>
    </row>
    <row r="705" spans="1:23" ht="25.2" x14ac:dyDescent="0.3">
      <c r="A705" s="1"/>
      <c r="B705" s="1"/>
      <c r="C705" s="1"/>
      <c r="D705" s="1"/>
      <c r="E705" s="1" t="s">
        <v>123</v>
      </c>
      <c r="F705" s="22" t="s">
        <v>689</v>
      </c>
      <c r="G705" s="1">
        <v>50</v>
      </c>
      <c r="H705" s="1" t="s">
        <v>28</v>
      </c>
      <c r="I705" s="1">
        <v>2600</v>
      </c>
      <c r="J705" s="1">
        <f t="shared" si="151"/>
        <v>130000</v>
      </c>
      <c r="K705" s="1"/>
      <c r="L705" s="1"/>
      <c r="M705" s="1"/>
      <c r="N705" s="1"/>
      <c r="O705" s="1"/>
      <c r="P705" s="1"/>
      <c r="Q705" s="1"/>
      <c r="R705" s="86">
        <v>0.18</v>
      </c>
      <c r="S705" s="1"/>
      <c r="T705" s="1"/>
      <c r="U705" s="1"/>
      <c r="V705" s="1"/>
      <c r="W705" s="142"/>
    </row>
    <row r="706" spans="1:23" ht="50.4" x14ac:dyDescent="0.3">
      <c r="A706" s="1"/>
      <c r="B706" s="1"/>
      <c r="C706" s="1"/>
      <c r="D706" s="1"/>
      <c r="E706" s="1" t="s">
        <v>123</v>
      </c>
      <c r="F706" s="22" t="s">
        <v>690</v>
      </c>
      <c r="G706" s="1">
        <v>1</v>
      </c>
      <c r="H706" s="1" t="s">
        <v>28</v>
      </c>
      <c r="I706" s="1">
        <v>84635</v>
      </c>
      <c r="J706" s="1">
        <f t="shared" si="151"/>
        <v>84635</v>
      </c>
      <c r="K706" s="1"/>
      <c r="L706" s="1"/>
      <c r="M706" s="1"/>
      <c r="N706" s="1"/>
      <c r="O706" s="1"/>
      <c r="P706" s="1"/>
      <c r="Q706" s="1"/>
      <c r="R706" s="86">
        <v>0.18</v>
      </c>
      <c r="S706" s="1"/>
      <c r="T706" s="1"/>
      <c r="U706" s="1"/>
      <c r="V706" s="1"/>
      <c r="W706" s="142"/>
    </row>
    <row r="707" spans="1:23" x14ac:dyDescent="0.3">
      <c r="A707" s="1"/>
      <c r="B707" s="1"/>
      <c r="C707" s="1"/>
      <c r="D707" s="1"/>
      <c r="E707" s="1" t="s">
        <v>123</v>
      </c>
      <c r="F707" s="1" t="s">
        <v>691</v>
      </c>
      <c r="G707" s="1">
        <v>6</v>
      </c>
      <c r="H707" s="1" t="s">
        <v>28</v>
      </c>
      <c r="I707" s="1">
        <v>16300</v>
      </c>
      <c r="J707" s="1">
        <f t="shared" si="151"/>
        <v>97800</v>
      </c>
      <c r="K707" s="1"/>
      <c r="L707" s="1"/>
      <c r="M707" s="1"/>
      <c r="N707" s="1"/>
      <c r="O707" s="1"/>
      <c r="P707" s="1"/>
      <c r="Q707" s="1"/>
      <c r="R707" s="86">
        <v>0.18</v>
      </c>
      <c r="S707" s="1"/>
      <c r="T707" s="1"/>
      <c r="U707" s="1"/>
      <c r="V707" s="1"/>
      <c r="W707" s="142"/>
    </row>
    <row r="708" spans="1:23" ht="37.799999999999997" x14ac:dyDescent="0.3">
      <c r="A708" s="1"/>
      <c r="B708" s="1"/>
      <c r="C708" s="1"/>
      <c r="D708" s="1"/>
      <c r="E708" s="1" t="s">
        <v>123</v>
      </c>
      <c r="F708" s="22" t="s">
        <v>692</v>
      </c>
      <c r="G708" s="1">
        <v>1</v>
      </c>
      <c r="H708" s="1" t="s">
        <v>225</v>
      </c>
      <c r="I708" s="1">
        <v>1500</v>
      </c>
      <c r="J708" s="1">
        <f t="shared" si="151"/>
        <v>1500</v>
      </c>
      <c r="K708" s="1"/>
      <c r="L708" s="1"/>
      <c r="M708" s="1"/>
      <c r="N708" s="1"/>
      <c r="O708" s="1"/>
      <c r="P708" s="1"/>
      <c r="Q708" s="1"/>
      <c r="R708" s="86">
        <v>0.18</v>
      </c>
      <c r="S708" s="1"/>
      <c r="T708" s="1"/>
      <c r="U708" s="1"/>
      <c r="V708" s="1"/>
      <c r="W708" s="142"/>
    </row>
    <row r="709" spans="1:23" ht="25.2" x14ac:dyDescent="0.3">
      <c r="A709" s="1"/>
      <c r="B709" s="1"/>
      <c r="C709" s="1"/>
      <c r="D709" s="1"/>
      <c r="E709" s="1" t="s">
        <v>123</v>
      </c>
      <c r="F709" s="22" t="s">
        <v>693</v>
      </c>
      <c r="G709" s="1">
        <v>1</v>
      </c>
      <c r="H709" s="1" t="s">
        <v>87</v>
      </c>
      <c r="I709" s="1">
        <v>56500</v>
      </c>
      <c r="J709" s="1">
        <f t="shared" si="151"/>
        <v>56500</v>
      </c>
      <c r="K709" s="1"/>
      <c r="L709" s="1"/>
      <c r="M709" s="1"/>
      <c r="N709" s="1"/>
      <c r="O709" s="1"/>
      <c r="P709" s="1"/>
      <c r="Q709" s="1"/>
      <c r="R709" s="86">
        <v>0.18</v>
      </c>
      <c r="S709" s="1"/>
      <c r="T709" s="1"/>
      <c r="U709" s="1"/>
      <c r="V709" s="1"/>
      <c r="W709" s="142"/>
    </row>
    <row r="710" spans="1:23" ht="25.2" x14ac:dyDescent="0.3">
      <c r="A710" s="1"/>
      <c r="B710" s="1"/>
      <c r="C710" s="1"/>
      <c r="D710" s="1"/>
      <c r="E710" s="1" t="s">
        <v>123</v>
      </c>
      <c r="F710" s="22" t="s">
        <v>694</v>
      </c>
      <c r="G710" s="1">
        <v>3</v>
      </c>
      <c r="H710" s="1" t="s">
        <v>28</v>
      </c>
      <c r="I710" s="1">
        <v>8200</v>
      </c>
      <c r="J710" s="1">
        <f t="shared" si="151"/>
        <v>24600</v>
      </c>
      <c r="K710" s="1"/>
      <c r="L710" s="1"/>
      <c r="M710" s="1"/>
      <c r="N710" s="1"/>
      <c r="O710" s="1"/>
      <c r="P710" s="1"/>
      <c r="Q710" s="1"/>
      <c r="R710" s="86">
        <v>0.18</v>
      </c>
      <c r="S710" s="1"/>
      <c r="T710" s="1"/>
      <c r="U710" s="1"/>
      <c r="V710" s="1"/>
      <c r="W710" s="142"/>
    </row>
    <row r="711" spans="1:23" ht="25.2" x14ac:dyDescent="0.3">
      <c r="A711" s="1"/>
      <c r="B711" s="1"/>
      <c r="C711" s="1"/>
      <c r="D711" s="1"/>
      <c r="E711" s="1" t="s">
        <v>123</v>
      </c>
      <c r="F711" s="102" t="s">
        <v>695</v>
      </c>
      <c r="G711" s="1">
        <v>1</v>
      </c>
      <c r="H711" s="1" t="s">
        <v>28</v>
      </c>
      <c r="I711" s="1">
        <v>68500</v>
      </c>
      <c r="J711" s="1">
        <f t="shared" si="151"/>
        <v>68500</v>
      </c>
      <c r="K711" s="1"/>
      <c r="L711" s="1"/>
      <c r="M711" s="1"/>
      <c r="N711" s="1"/>
      <c r="O711" s="1"/>
      <c r="P711" s="1"/>
      <c r="Q711" s="1"/>
      <c r="R711" s="86">
        <v>0.28000000000000003</v>
      </c>
      <c r="S711" s="1"/>
      <c r="T711" s="1"/>
      <c r="U711" s="1"/>
      <c r="V711" s="1"/>
      <c r="W711" s="142"/>
    </row>
    <row r="712" spans="1:23" x14ac:dyDescent="0.3">
      <c r="A712" s="124"/>
      <c r="B712" s="88" t="s">
        <v>39</v>
      </c>
      <c r="C712" s="88"/>
      <c r="D712" s="88"/>
      <c r="E712" s="88"/>
      <c r="F712" s="88"/>
      <c r="G712" s="88"/>
      <c r="H712" s="1"/>
      <c r="I712" s="1"/>
      <c r="J712" s="124">
        <f>SUM(J682:J711)</f>
        <v>1587000</v>
      </c>
      <c r="K712" s="1"/>
      <c r="L712" s="1"/>
      <c r="M712" s="1"/>
      <c r="N712" s="1"/>
      <c r="O712" s="1"/>
      <c r="P712" s="1"/>
      <c r="Q712" s="1"/>
      <c r="R712" s="1"/>
      <c r="S712" s="1"/>
      <c r="T712" s="1"/>
      <c r="U712" s="1"/>
      <c r="V712" s="1"/>
      <c r="W712" s="142"/>
    </row>
    <row r="713" spans="1:23" x14ac:dyDescent="0.3">
      <c r="A713" s="124"/>
      <c r="B713" s="88" t="s">
        <v>187</v>
      </c>
      <c r="C713" s="88"/>
      <c r="D713" s="88"/>
      <c r="E713" s="88"/>
      <c r="F713" s="88"/>
      <c r="G713" s="88"/>
      <c r="H713" s="1"/>
      <c r="I713" s="1"/>
      <c r="J713" s="124">
        <f>J712*18/100</f>
        <v>285660</v>
      </c>
      <c r="K713" s="1"/>
      <c r="L713" s="1"/>
      <c r="M713" s="1"/>
      <c r="N713" s="1"/>
      <c r="O713" s="1"/>
      <c r="P713" s="1"/>
      <c r="Q713" s="1"/>
      <c r="R713" s="1"/>
      <c r="S713" s="1"/>
      <c r="T713" s="1"/>
      <c r="U713" s="1"/>
      <c r="V713" s="1"/>
      <c r="W713" s="142"/>
    </row>
    <row r="714" spans="1:23" x14ac:dyDescent="0.3">
      <c r="A714" s="124"/>
      <c r="B714" s="88" t="s">
        <v>41</v>
      </c>
      <c r="C714" s="88"/>
      <c r="D714" s="88"/>
      <c r="E714" s="88"/>
      <c r="F714" s="88"/>
      <c r="G714" s="88"/>
      <c r="H714" s="1"/>
      <c r="I714" s="1"/>
      <c r="J714" s="124">
        <f>SUM(J712:J713)</f>
        <v>1872660</v>
      </c>
      <c r="K714" s="1"/>
      <c r="L714" s="1"/>
      <c r="M714" s="1"/>
      <c r="N714" s="1"/>
      <c r="O714" s="1"/>
      <c r="P714" s="1"/>
      <c r="Q714" s="1"/>
      <c r="R714" s="1"/>
      <c r="S714" s="1"/>
      <c r="T714" s="1"/>
      <c r="U714" s="1"/>
      <c r="V714" s="1"/>
      <c r="W714" s="142"/>
    </row>
    <row r="715" spans="1:23" x14ac:dyDescent="0.3">
      <c r="A715" s="1"/>
      <c r="B715" s="1"/>
      <c r="C715" s="1"/>
      <c r="D715" s="1"/>
      <c r="E715" s="1"/>
      <c r="F715" s="1"/>
      <c r="G715" s="1"/>
      <c r="H715" s="1"/>
      <c r="I715" s="1"/>
      <c r="J715" s="1"/>
      <c r="K715" s="1"/>
      <c r="L715" s="1"/>
      <c r="M715" s="1"/>
      <c r="N715" s="1"/>
      <c r="O715" s="1"/>
      <c r="P715" s="1"/>
      <c r="Q715" s="1"/>
      <c r="R715" s="1"/>
      <c r="S715" s="1"/>
      <c r="T715" s="1"/>
      <c r="U715" s="1"/>
      <c r="V715" s="1"/>
      <c r="W715" s="142"/>
    </row>
    <row r="716" spans="1:23" ht="63" x14ac:dyDescent="0.3">
      <c r="A716" s="16">
        <v>65</v>
      </c>
      <c r="B716" s="16">
        <v>8100016116</v>
      </c>
      <c r="C716" s="16" t="s">
        <v>696</v>
      </c>
      <c r="D716" s="16" t="s">
        <v>697</v>
      </c>
      <c r="E716" s="16"/>
      <c r="F716" s="39" t="s">
        <v>698</v>
      </c>
      <c r="G716" s="1"/>
      <c r="H716" s="1"/>
      <c r="I716" s="1"/>
      <c r="J716" s="1"/>
      <c r="K716" s="1"/>
      <c r="L716" s="1"/>
      <c r="M716" s="1"/>
      <c r="N716" s="1"/>
      <c r="O716" s="1"/>
      <c r="P716" s="1"/>
      <c r="Q716" s="1"/>
      <c r="R716" s="1"/>
      <c r="S716" s="1"/>
      <c r="T716" s="1"/>
      <c r="U716" s="1"/>
      <c r="V716" s="1"/>
      <c r="W716" s="142"/>
    </row>
    <row r="717" spans="1:23" x14ac:dyDescent="0.3">
      <c r="A717" s="1"/>
      <c r="B717" s="1"/>
      <c r="C717" s="1"/>
      <c r="D717" s="1"/>
      <c r="E717" s="16" t="s">
        <v>127</v>
      </c>
      <c r="F717" s="16" t="s">
        <v>699</v>
      </c>
      <c r="G717" s="16">
        <v>200</v>
      </c>
      <c r="H717" s="16" t="s">
        <v>60</v>
      </c>
      <c r="I717" s="16">
        <v>583</v>
      </c>
      <c r="J717" s="16">
        <f>G717*I717</f>
        <v>116600</v>
      </c>
      <c r="K717" s="16"/>
      <c r="L717" s="16"/>
      <c r="M717" s="16"/>
      <c r="N717" s="16"/>
      <c r="O717" s="16">
        <v>200</v>
      </c>
      <c r="P717" s="16">
        <v>583</v>
      </c>
      <c r="Q717" s="16">
        <f>O717*P717</f>
        <v>116600</v>
      </c>
      <c r="R717" s="18">
        <v>0</v>
      </c>
      <c r="S717" s="16">
        <f>Q717*R717</f>
        <v>0</v>
      </c>
      <c r="T717" s="16">
        <f>Q717+S717</f>
        <v>116600</v>
      </c>
      <c r="U717" s="16" t="s">
        <v>700</v>
      </c>
      <c r="V717" s="19">
        <v>45931</v>
      </c>
      <c r="W717" s="142" t="s">
        <v>1154</v>
      </c>
    </row>
    <row r="718" spans="1:23" x14ac:dyDescent="0.3">
      <c r="A718" s="1"/>
      <c r="B718" s="1"/>
      <c r="C718" s="1"/>
      <c r="D718" s="1"/>
      <c r="E718" s="16" t="s">
        <v>127</v>
      </c>
      <c r="F718" s="39" t="s">
        <v>701</v>
      </c>
      <c r="G718" s="16">
        <v>16</v>
      </c>
      <c r="H718" s="16" t="s">
        <v>28</v>
      </c>
      <c r="I718" s="16">
        <v>120</v>
      </c>
      <c r="J718" s="16">
        <f t="shared" ref="J718:J737" si="152">G718*I718</f>
        <v>1920</v>
      </c>
      <c r="K718" s="16"/>
      <c r="L718" s="16"/>
      <c r="M718" s="16"/>
      <c r="N718" s="16"/>
      <c r="O718" s="16">
        <v>16</v>
      </c>
      <c r="P718" s="16">
        <v>120</v>
      </c>
      <c r="Q718" s="16">
        <f t="shared" ref="Q718:Q724" si="153">O718*P718</f>
        <v>1920</v>
      </c>
      <c r="R718" s="18">
        <v>0</v>
      </c>
      <c r="S718" s="16">
        <f t="shared" ref="S718:S723" si="154">Q718*R718</f>
        <v>0</v>
      </c>
      <c r="T718" s="16">
        <f t="shared" ref="T718:T723" si="155">Q718+S718</f>
        <v>1920</v>
      </c>
      <c r="U718" s="16" t="s">
        <v>700</v>
      </c>
      <c r="V718" s="19">
        <v>45931</v>
      </c>
      <c r="W718" s="142" t="s">
        <v>1154</v>
      </c>
    </row>
    <row r="719" spans="1:23" x14ac:dyDescent="0.3">
      <c r="A719" s="1"/>
      <c r="B719" s="1"/>
      <c r="C719" s="1"/>
      <c r="D719" s="1"/>
      <c r="E719" s="16" t="s">
        <v>127</v>
      </c>
      <c r="F719" s="16" t="s">
        <v>702</v>
      </c>
      <c r="G719" s="16">
        <v>16</v>
      </c>
      <c r="H719" s="16" t="s">
        <v>28</v>
      </c>
      <c r="I719" s="16">
        <v>320</v>
      </c>
      <c r="J719" s="16">
        <f t="shared" si="152"/>
        <v>5120</v>
      </c>
      <c r="K719" s="16"/>
      <c r="L719" s="16"/>
      <c r="M719" s="16"/>
      <c r="N719" s="16"/>
      <c r="O719" s="16">
        <v>16</v>
      </c>
      <c r="P719" s="16">
        <v>320</v>
      </c>
      <c r="Q719" s="16">
        <f t="shared" si="153"/>
        <v>5120</v>
      </c>
      <c r="R719" s="18">
        <v>0</v>
      </c>
      <c r="S719" s="16">
        <f t="shared" si="154"/>
        <v>0</v>
      </c>
      <c r="T719" s="16">
        <f t="shared" si="155"/>
        <v>5120</v>
      </c>
      <c r="U719" s="16" t="s">
        <v>700</v>
      </c>
      <c r="V719" s="19">
        <v>45931</v>
      </c>
      <c r="W719" s="142" t="s">
        <v>1154</v>
      </c>
    </row>
    <row r="720" spans="1:23" x14ac:dyDescent="0.3">
      <c r="A720" s="1"/>
      <c r="B720" s="1"/>
      <c r="C720" s="1"/>
      <c r="D720" s="1"/>
      <c r="E720" s="16" t="s">
        <v>127</v>
      </c>
      <c r="F720" s="16" t="s">
        <v>703</v>
      </c>
      <c r="G720" s="16">
        <v>16</v>
      </c>
      <c r="H720" s="16" t="s">
        <v>28</v>
      </c>
      <c r="I720" s="16">
        <v>225</v>
      </c>
      <c r="J720" s="16">
        <f t="shared" si="152"/>
        <v>3600</v>
      </c>
      <c r="K720" s="16"/>
      <c r="L720" s="16"/>
      <c r="M720" s="16"/>
      <c r="N720" s="16"/>
      <c r="O720" s="16">
        <v>16</v>
      </c>
      <c r="P720" s="16">
        <v>225</v>
      </c>
      <c r="Q720" s="16">
        <f t="shared" si="153"/>
        <v>3600</v>
      </c>
      <c r="R720" s="18">
        <v>0</v>
      </c>
      <c r="S720" s="16">
        <f t="shared" si="154"/>
        <v>0</v>
      </c>
      <c r="T720" s="16">
        <f t="shared" si="155"/>
        <v>3600</v>
      </c>
      <c r="U720" s="16" t="s">
        <v>700</v>
      </c>
      <c r="V720" s="19">
        <v>45931</v>
      </c>
      <c r="W720" s="142" t="s">
        <v>1154</v>
      </c>
    </row>
    <row r="721" spans="1:23" x14ac:dyDescent="0.3">
      <c r="A721" s="1"/>
      <c r="B721" s="1"/>
      <c r="C721" s="1"/>
      <c r="D721" s="1"/>
      <c r="E721" s="16" t="s">
        <v>127</v>
      </c>
      <c r="F721" s="16" t="s">
        <v>704</v>
      </c>
      <c r="G721" s="16">
        <v>4</v>
      </c>
      <c r="H721" s="16" t="s">
        <v>28</v>
      </c>
      <c r="I721" s="16">
        <v>735</v>
      </c>
      <c r="J721" s="16">
        <f t="shared" si="152"/>
        <v>2940</v>
      </c>
      <c r="K721" s="16"/>
      <c r="L721" s="16"/>
      <c r="M721" s="16"/>
      <c r="N721" s="16"/>
      <c r="O721" s="16">
        <v>4</v>
      </c>
      <c r="P721" s="16">
        <v>735</v>
      </c>
      <c r="Q721" s="16">
        <f t="shared" si="153"/>
        <v>2940</v>
      </c>
      <c r="R721" s="18">
        <v>0</v>
      </c>
      <c r="S721" s="16">
        <f t="shared" si="154"/>
        <v>0</v>
      </c>
      <c r="T721" s="16">
        <f t="shared" si="155"/>
        <v>2940</v>
      </c>
      <c r="U721" s="16" t="s">
        <v>700</v>
      </c>
      <c r="V721" s="19">
        <v>45931</v>
      </c>
      <c r="W721" s="142" t="s">
        <v>1154</v>
      </c>
    </row>
    <row r="722" spans="1:23" ht="63" x14ac:dyDescent="0.3">
      <c r="A722" s="1"/>
      <c r="B722" s="1"/>
      <c r="C722" s="1"/>
      <c r="D722" s="1"/>
      <c r="E722" s="16" t="s">
        <v>127</v>
      </c>
      <c r="F722" s="39" t="s">
        <v>705</v>
      </c>
      <c r="G722" s="16">
        <v>2</v>
      </c>
      <c r="H722" s="16" t="s">
        <v>28</v>
      </c>
      <c r="I722" s="16">
        <v>76000</v>
      </c>
      <c r="J722" s="16">
        <f t="shared" si="152"/>
        <v>152000</v>
      </c>
      <c r="K722" s="16"/>
      <c r="L722" s="16"/>
      <c r="M722" s="16"/>
      <c r="N722" s="16"/>
      <c r="O722" s="16">
        <v>2</v>
      </c>
      <c r="P722" s="16">
        <v>76000</v>
      </c>
      <c r="Q722" s="16">
        <f t="shared" si="153"/>
        <v>152000</v>
      </c>
      <c r="R722" s="18">
        <v>0</v>
      </c>
      <c r="S722" s="16">
        <f t="shared" si="154"/>
        <v>0</v>
      </c>
      <c r="T722" s="16">
        <f t="shared" si="155"/>
        <v>152000</v>
      </c>
      <c r="U722" s="16" t="s">
        <v>700</v>
      </c>
      <c r="V722" s="19">
        <v>45931</v>
      </c>
      <c r="W722" s="142" t="s">
        <v>1154</v>
      </c>
    </row>
    <row r="723" spans="1:23" ht="25.2" x14ac:dyDescent="0.3">
      <c r="A723" s="1"/>
      <c r="B723" s="1"/>
      <c r="C723" s="1"/>
      <c r="D723" s="1"/>
      <c r="E723" s="16" t="s">
        <v>127</v>
      </c>
      <c r="F723" s="39" t="s">
        <v>706</v>
      </c>
      <c r="G723" s="16">
        <v>40</v>
      </c>
      <c r="H723" s="16" t="s">
        <v>60</v>
      </c>
      <c r="I723" s="16">
        <v>165</v>
      </c>
      <c r="J723" s="16">
        <f t="shared" si="152"/>
        <v>6600</v>
      </c>
      <c r="K723" s="16"/>
      <c r="L723" s="16"/>
      <c r="M723" s="16"/>
      <c r="N723" s="16"/>
      <c r="O723" s="16">
        <v>40</v>
      </c>
      <c r="P723" s="16">
        <v>165</v>
      </c>
      <c r="Q723" s="16">
        <f t="shared" si="153"/>
        <v>6600</v>
      </c>
      <c r="R723" s="18">
        <v>0</v>
      </c>
      <c r="S723" s="16">
        <f t="shared" si="154"/>
        <v>0</v>
      </c>
      <c r="T723" s="16">
        <f t="shared" si="155"/>
        <v>6600</v>
      </c>
      <c r="U723" s="16" t="s">
        <v>700</v>
      </c>
      <c r="V723" s="19">
        <v>45931</v>
      </c>
      <c r="W723" s="142" t="s">
        <v>1154</v>
      </c>
    </row>
    <row r="724" spans="1:23" x14ac:dyDescent="0.3">
      <c r="A724" s="1"/>
      <c r="B724" s="1"/>
      <c r="C724" s="1"/>
      <c r="D724" s="1"/>
      <c r="E724" s="16" t="s">
        <v>123</v>
      </c>
      <c r="F724" s="16" t="s">
        <v>707</v>
      </c>
      <c r="G724" s="16">
        <v>1</v>
      </c>
      <c r="H724" s="16" t="s">
        <v>28</v>
      </c>
      <c r="I724" s="16">
        <v>10500</v>
      </c>
      <c r="J724" s="16">
        <f t="shared" si="152"/>
        <v>10500</v>
      </c>
      <c r="K724" s="16"/>
      <c r="L724" s="16"/>
      <c r="M724" s="16"/>
      <c r="N724" s="16"/>
      <c r="O724" s="97">
        <v>1</v>
      </c>
      <c r="P724" s="97">
        <v>10500</v>
      </c>
      <c r="Q724" s="97">
        <f t="shared" si="153"/>
        <v>10500</v>
      </c>
      <c r="R724" s="111">
        <v>0</v>
      </c>
      <c r="S724" s="97">
        <f t="shared" ref="S724" si="156">Q724*R724</f>
        <v>0</v>
      </c>
      <c r="T724" s="97">
        <f t="shared" ref="T724" si="157">Q724+S724</f>
        <v>10500</v>
      </c>
      <c r="U724" s="97" t="s">
        <v>708</v>
      </c>
      <c r="V724" s="110" t="s">
        <v>592</v>
      </c>
      <c r="W724" s="142" t="s">
        <v>1048</v>
      </c>
    </row>
    <row r="725" spans="1:23" x14ac:dyDescent="0.3">
      <c r="A725" s="124"/>
      <c r="B725" s="88" t="s">
        <v>39</v>
      </c>
      <c r="C725" s="88"/>
      <c r="D725" s="88"/>
      <c r="E725" s="88"/>
      <c r="F725" s="88"/>
      <c r="G725" s="88"/>
      <c r="H725" s="1"/>
      <c r="I725" s="1"/>
      <c r="J725" s="124">
        <f>SUM(J716:J724)</f>
        <v>299280</v>
      </c>
      <c r="K725" s="1"/>
      <c r="L725" s="1"/>
      <c r="M725" s="1"/>
      <c r="N725" s="1"/>
      <c r="O725" s="1"/>
      <c r="P725" s="1"/>
      <c r="Q725" s="1"/>
      <c r="R725" s="1"/>
      <c r="S725" s="1"/>
      <c r="T725" s="1"/>
      <c r="U725" s="1"/>
      <c r="V725" s="1"/>
      <c r="W725" s="142"/>
    </row>
    <row r="726" spans="1:23" x14ac:dyDescent="0.3">
      <c r="A726" s="124"/>
      <c r="B726" s="88" t="s">
        <v>599</v>
      </c>
      <c r="C726" s="88"/>
      <c r="D726" s="88"/>
      <c r="E726" s="88"/>
      <c r="F726" s="88"/>
      <c r="G726" s="88"/>
      <c r="H726" s="1"/>
      <c r="I726" s="1"/>
      <c r="J726" s="124">
        <v>0</v>
      </c>
      <c r="K726" s="1"/>
      <c r="L726" s="1"/>
      <c r="M726" s="1"/>
      <c r="N726" s="1"/>
      <c r="O726" s="1"/>
      <c r="P726" s="1"/>
      <c r="Q726" s="1"/>
      <c r="R726" s="1"/>
      <c r="S726" s="1"/>
      <c r="T726" s="1"/>
      <c r="U726" s="1"/>
      <c r="V726" s="1"/>
      <c r="W726" s="142"/>
    </row>
    <row r="727" spans="1:23" x14ac:dyDescent="0.3">
      <c r="A727" s="124"/>
      <c r="B727" s="88" t="s">
        <v>41</v>
      </c>
      <c r="C727" s="88"/>
      <c r="D727" s="88"/>
      <c r="E727" s="88"/>
      <c r="F727" s="88"/>
      <c r="G727" s="88"/>
      <c r="H727" s="1"/>
      <c r="I727" s="1"/>
      <c r="J727" s="124">
        <f>SUM(J725:J726)</f>
        <v>299280</v>
      </c>
      <c r="K727" s="1"/>
      <c r="L727" s="1"/>
      <c r="M727" s="1"/>
      <c r="N727" s="1"/>
      <c r="O727" s="1"/>
      <c r="P727" s="1"/>
      <c r="Q727" s="1"/>
      <c r="R727" s="1"/>
      <c r="S727" s="1"/>
      <c r="T727" s="1">
        <f>SUM(T716:T726)</f>
        <v>299280</v>
      </c>
      <c r="U727" s="1"/>
      <c r="V727" s="1"/>
      <c r="W727" s="142"/>
    </row>
    <row r="728" spans="1:23" x14ac:dyDescent="0.3">
      <c r="A728" s="62"/>
      <c r="B728" s="62"/>
      <c r="C728" s="62"/>
      <c r="D728" s="62"/>
      <c r="E728" s="62"/>
      <c r="F728" s="62"/>
      <c r="G728" s="62"/>
      <c r="H728" s="62"/>
      <c r="I728" s="62"/>
      <c r="J728" s="62">
        <f t="shared" si="152"/>
        <v>0</v>
      </c>
      <c r="K728" s="62"/>
      <c r="L728" s="62"/>
      <c r="M728" s="62"/>
      <c r="N728" s="62"/>
      <c r="O728" s="62"/>
      <c r="P728" s="62"/>
      <c r="Q728" s="62"/>
      <c r="R728" s="62"/>
      <c r="S728" s="62"/>
      <c r="T728" s="62"/>
      <c r="U728" s="62"/>
      <c r="V728" s="62"/>
      <c r="W728" s="142"/>
    </row>
    <row r="729" spans="1:23" x14ac:dyDescent="0.3">
      <c r="A729" s="1">
        <v>66</v>
      </c>
      <c r="B729" s="1">
        <v>8100016229</v>
      </c>
      <c r="C729" s="37">
        <v>45689</v>
      </c>
      <c r="D729" s="1" t="s">
        <v>43</v>
      </c>
      <c r="E729" s="1" t="s">
        <v>127</v>
      </c>
      <c r="F729" s="16" t="s">
        <v>709</v>
      </c>
      <c r="G729" s="16">
        <v>1500</v>
      </c>
      <c r="H729" s="16" t="s">
        <v>60</v>
      </c>
      <c r="I729" s="16">
        <v>95</v>
      </c>
      <c r="J729" s="16">
        <f t="shared" si="152"/>
        <v>142500</v>
      </c>
      <c r="K729" s="16"/>
      <c r="L729" s="16"/>
      <c r="M729" s="16"/>
      <c r="N729" s="16"/>
      <c r="O729" s="97">
        <v>1500</v>
      </c>
      <c r="P729" s="97">
        <v>95</v>
      </c>
      <c r="Q729" s="97">
        <f>O729*P729</f>
        <v>142500</v>
      </c>
      <c r="R729" s="111">
        <v>0</v>
      </c>
      <c r="S729" s="97">
        <f>Q729*R729</f>
        <v>0</v>
      </c>
      <c r="T729" s="97">
        <f>Q729+S729</f>
        <v>142500</v>
      </c>
      <c r="U729" s="97" t="s">
        <v>710</v>
      </c>
      <c r="V729" s="110" t="s">
        <v>711</v>
      </c>
      <c r="W729" s="142" t="s">
        <v>200</v>
      </c>
    </row>
    <row r="730" spans="1:23" ht="25.2" x14ac:dyDescent="0.3">
      <c r="A730" s="1"/>
      <c r="B730" s="1"/>
      <c r="C730" s="1"/>
      <c r="D730" s="1"/>
      <c r="E730" s="1" t="s">
        <v>123</v>
      </c>
      <c r="F730" s="39" t="s">
        <v>712</v>
      </c>
      <c r="G730" s="16">
        <v>1500</v>
      </c>
      <c r="H730" s="16" t="s">
        <v>60</v>
      </c>
      <c r="I730" s="16">
        <v>24</v>
      </c>
      <c r="J730" s="16">
        <f t="shared" si="152"/>
        <v>36000</v>
      </c>
      <c r="K730" s="16"/>
      <c r="L730" s="16"/>
      <c r="M730" s="16"/>
      <c r="N730" s="16"/>
      <c r="O730" s="16">
        <v>900</v>
      </c>
      <c r="P730" s="16">
        <v>24</v>
      </c>
      <c r="Q730" s="16">
        <f t="shared" ref="Q730:Q737" si="158">O730*P730</f>
        <v>21600</v>
      </c>
      <c r="R730" s="18">
        <v>0</v>
      </c>
      <c r="S730" s="16">
        <f t="shared" ref="S730:S737" si="159">Q730*R730</f>
        <v>0</v>
      </c>
      <c r="T730" s="16">
        <f t="shared" ref="T730:T737" si="160">Q730+S730</f>
        <v>21600</v>
      </c>
      <c r="U730" s="16" t="s">
        <v>713</v>
      </c>
      <c r="V730" s="19" t="s">
        <v>592</v>
      </c>
      <c r="W730" s="142" t="s">
        <v>1049</v>
      </c>
    </row>
    <row r="731" spans="1:23" ht="25.2" x14ac:dyDescent="0.3">
      <c r="A731" s="1"/>
      <c r="B731" s="1"/>
      <c r="C731" s="1"/>
      <c r="D731" s="1"/>
      <c r="E731" s="1" t="s">
        <v>123</v>
      </c>
      <c r="F731" s="39" t="s">
        <v>714</v>
      </c>
      <c r="G731" s="16">
        <v>1500</v>
      </c>
      <c r="H731" s="16" t="s">
        <v>60</v>
      </c>
      <c r="I731" s="16">
        <v>35</v>
      </c>
      <c r="J731" s="16">
        <f t="shared" si="152"/>
        <v>52500</v>
      </c>
      <c r="K731" s="16">
        <v>1500</v>
      </c>
      <c r="L731" s="16" t="s">
        <v>60</v>
      </c>
      <c r="M731" s="16" t="s">
        <v>91</v>
      </c>
      <c r="N731" s="16" t="s">
        <v>715</v>
      </c>
      <c r="O731" s="16">
        <v>1500</v>
      </c>
      <c r="P731" s="16">
        <v>35</v>
      </c>
      <c r="Q731" s="16">
        <f t="shared" si="158"/>
        <v>52500</v>
      </c>
      <c r="R731" s="18">
        <v>0</v>
      </c>
      <c r="S731" s="16">
        <f t="shared" si="159"/>
        <v>0</v>
      </c>
      <c r="T731" s="16">
        <f t="shared" si="160"/>
        <v>52500</v>
      </c>
      <c r="U731" s="16" t="s">
        <v>713</v>
      </c>
      <c r="V731" s="19" t="s">
        <v>592</v>
      </c>
      <c r="W731" s="142" t="s">
        <v>1049</v>
      </c>
    </row>
    <row r="732" spans="1:23" x14ac:dyDescent="0.3">
      <c r="A732" s="1"/>
      <c r="B732" s="1"/>
      <c r="C732" s="1"/>
      <c r="D732" s="1"/>
      <c r="E732" s="1" t="s">
        <v>123</v>
      </c>
      <c r="F732" s="16" t="s">
        <v>466</v>
      </c>
      <c r="G732" s="16">
        <v>250</v>
      </c>
      <c r="H732" s="16" t="s">
        <v>111</v>
      </c>
      <c r="I732" s="16">
        <v>83</v>
      </c>
      <c r="J732" s="16">
        <f t="shared" si="152"/>
        <v>20750</v>
      </c>
      <c r="K732" s="16"/>
      <c r="L732" s="16"/>
      <c r="M732" s="16"/>
      <c r="N732" s="16"/>
      <c r="O732" s="16">
        <v>200</v>
      </c>
      <c r="P732" s="16">
        <v>83</v>
      </c>
      <c r="Q732" s="16">
        <f t="shared" si="158"/>
        <v>16600</v>
      </c>
      <c r="R732" s="18">
        <v>0</v>
      </c>
      <c r="S732" s="16">
        <f t="shared" si="159"/>
        <v>0</v>
      </c>
      <c r="T732" s="16">
        <f t="shared" si="160"/>
        <v>16600</v>
      </c>
      <c r="U732" s="16" t="s">
        <v>713</v>
      </c>
      <c r="V732" s="19" t="s">
        <v>592</v>
      </c>
      <c r="W732" s="142" t="s">
        <v>1049</v>
      </c>
    </row>
    <row r="733" spans="1:23" x14ac:dyDescent="0.3">
      <c r="A733" s="1"/>
      <c r="B733" s="1"/>
      <c r="C733" s="1"/>
      <c r="D733" s="202" t="s">
        <v>1467</v>
      </c>
      <c r="E733" s="1" t="s">
        <v>123</v>
      </c>
      <c r="F733" s="101" t="s">
        <v>467</v>
      </c>
      <c r="G733" s="101">
        <v>250</v>
      </c>
      <c r="H733" s="101" t="s">
        <v>111</v>
      </c>
      <c r="I733" s="101">
        <v>65</v>
      </c>
      <c r="J733" s="101">
        <f t="shared" si="152"/>
        <v>16250</v>
      </c>
      <c r="K733" s="1"/>
      <c r="L733" s="1"/>
      <c r="M733" s="1"/>
      <c r="N733" s="1"/>
      <c r="O733" s="1"/>
      <c r="P733" s="1"/>
      <c r="Q733" s="1">
        <f t="shared" si="158"/>
        <v>0</v>
      </c>
      <c r="R733" s="86">
        <v>0</v>
      </c>
      <c r="S733" s="1">
        <f t="shared" si="159"/>
        <v>0</v>
      </c>
      <c r="T733" s="1">
        <f t="shared" si="160"/>
        <v>0</v>
      </c>
      <c r="U733" s="1"/>
      <c r="V733" s="1"/>
      <c r="W733" s="142"/>
    </row>
    <row r="734" spans="1:23" x14ac:dyDescent="0.3">
      <c r="A734" s="1"/>
      <c r="B734" s="1"/>
      <c r="C734" s="1"/>
      <c r="D734" s="203"/>
      <c r="E734" s="1" t="s">
        <v>123</v>
      </c>
      <c r="F734" s="101" t="s">
        <v>468</v>
      </c>
      <c r="G734" s="101">
        <v>250</v>
      </c>
      <c r="H734" s="101" t="s">
        <v>111</v>
      </c>
      <c r="I734" s="101">
        <v>24</v>
      </c>
      <c r="J734" s="101">
        <f t="shared" si="152"/>
        <v>6000</v>
      </c>
      <c r="K734" s="1"/>
      <c r="L734" s="1"/>
      <c r="M734" s="1"/>
      <c r="N734" s="1"/>
      <c r="O734" s="1"/>
      <c r="P734" s="1"/>
      <c r="Q734" s="1">
        <f t="shared" si="158"/>
        <v>0</v>
      </c>
      <c r="R734" s="86">
        <v>0</v>
      </c>
      <c r="S734" s="1">
        <f t="shared" si="159"/>
        <v>0</v>
      </c>
      <c r="T734" s="1">
        <f t="shared" si="160"/>
        <v>0</v>
      </c>
      <c r="U734" s="1"/>
      <c r="V734" s="1"/>
      <c r="W734" s="142"/>
    </row>
    <row r="735" spans="1:23" ht="25.2" x14ac:dyDescent="0.3">
      <c r="A735" s="1"/>
      <c r="B735" s="1"/>
      <c r="C735" s="1"/>
      <c r="D735" s="204"/>
      <c r="E735" s="1" t="s">
        <v>123</v>
      </c>
      <c r="F735" s="102" t="s">
        <v>716</v>
      </c>
      <c r="G735" s="101">
        <v>300</v>
      </c>
      <c r="H735" s="101" t="s">
        <v>111</v>
      </c>
      <c r="I735" s="101">
        <v>147</v>
      </c>
      <c r="J735" s="101">
        <f t="shared" si="152"/>
        <v>44100</v>
      </c>
      <c r="K735" s="1"/>
      <c r="L735" s="1"/>
      <c r="M735" s="1"/>
      <c r="N735" s="1"/>
      <c r="O735" s="1"/>
      <c r="P735" s="1"/>
      <c r="Q735" s="1">
        <f t="shared" si="158"/>
        <v>0</v>
      </c>
      <c r="R735" s="86">
        <v>0</v>
      </c>
      <c r="S735" s="1">
        <f t="shared" si="159"/>
        <v>0</v>
      </c>
      <c r="T735" s="1">
        <f t="shared" si="160"/>
        <v>0</v>
      </c>
      <c r="U735" s="1"/>
      <c r="V735" s="1"/>
      <c r="W735" s="142"/>
    </row>
    <row r="736" spans="1:23" x14ac:dyDescent="0.3">
      <c r="A736" s="1"/>
      <c r="B736" s="1"/>
      <c r="C736" s="1"/>
      <c r="D736" s="1"/>
      <c r="E736" s="1" t="s">
        <v>123</v>
      </c>
      <c r="F736" s="16" t="s">
        <v>717</v>
      </c>
      <c r="G736" s="16">
        <v>250</v>
      </c>
      <c r="H736" s="16" t="s">
        <v>252</v>
      </c>
      <c r="I736" s="16">
        <v>110</v>
      </c>
      <c r="J736" s="16">
        <f t="shared" si="152"/>
        <v>27500</v>
      </c>
      <c r="K736" s="16"/>
      <c r="L736" s="16"/>
      <c r="M736" s="16"/>
      <c r="N736" s="16"/>
      <c r="O736" s="16">
        <v>20</v>
      </c>
      <c r="P736" s="16">
        <v>110</v>
      </c>
      <c r="Q736" s="16">
        <f t="shared" si="158"/>
        <v>2200</v>
      </c>
      <c r="R736" s="18">
        <v>0</v>
      </c>
      <c r="S736" s="16">
        <f t="shared" si="159"/>
        <v>0</v>
      </c>
      <c r="T736" s="16">
        <f t="shared" si="160"/>
        <v>2200</v>
      </c>
      <c r="U736" s="16" t="s">
        <v>713</v>
      </c>
      <c r="V736" s="19" t="s">
        <v>592</v>
      </c>
      <c r="W736" s="142" t="s">
        <v>1050</v>
      </c>
    </row>
    <row r="737" spans="1:27" ht="25.2" x14ac:dyDescent="0.3">
      <c r="A737" s="1"/>
      <c r="B737" s="1"/>
      <c r="C737" s="1"/>
      <c r="D737" s="1"/>
      <c r="E737" s="1" t="s">
        <v>123</v>
      </c>
      <c r="F737" s="39" t="s">
        <v>718</v>
      </c>
      <c r="G737" s="16">
        <v>26</v>
      </c>
      <c r="H737" s="16" t="s">
        <v>28</v>
      </c>
      <c r="I737" s="16">
        <v>708</v>
      </c>
      <c r="J737" s="16">
        <f t="shared" si="152"/>
        <v>18408</v>
      </c>
      <c r="K737" s="16"/>
      <c r="L737" s="16"/>
      <c r="M737" s="16"/>
      <c r="N737" s="16"/>
      <c r="O737" s="16">
        <v>26</v>
      </c>
      <c r="P737" s="16">
        <v>708</v>
      </c>
      <c r="Q737" s="16">
        <f t="shared" si="158"/>
        <v>18408</v>
      </c>
      <c r="R737" s="18">
        <v>0</v>
      </c>
      <c r="S737" s="16">
        <f t="shared" si="159"/>
        <v>0</v>
      </c>
      <c r="T737" s="16">
        <f t="shared" si="160"/>
        <v>18408</v>
      </c>
      <c r="U737" s="16" t="s">
        <v>713</v>
      </c>
      <c r="V737" s="19" t="s">
        <v>592</v>
      </c>
      <c r="W737" s="142" t="s">
        <v>1050</v>
      </c>
    </row>
    <row r="738" spans="1:27" x14ac:dyDescent="0.3">
      <c r="A738" s="124"/>
      <c r="B738" s="88" t="s">
        <v>39</v>
      </c>
      <c r="C738" s="88"/>
      <c r="D738" s="88"/>
      <c r="E738" s="88"/>
      <c r="F738" s="88"/>
      <c r="G738" s="88"/>
      <c r="H738" s="1"/>
      <c r="I738" s="1"/>
      <c r="J738" s="124">
        <f>SUM(J729:J737)</f>
        <v>364008</v>
      </c>
      <c r="K738" s="1"/>
      <c r="L738" s="1"/>
      <c r="M738" s="1"/>
      <c r="N738" s="1"/>
      <c r="O738" s="1"/>
      <c r="P738" s="1"/>
      <c r="Q738" s="1"/>
      <c r="R738" s="1"/>
      <c r="S738" s="1"/>
      <c r="T738" s="1"/>
      <c r="U738" s="1"/>
      <c r="V738" s="1"/>
      <c r="W738" s="142"/>
    </row>
    <row r="739" spans="1:27" x14ac:dyDescent="0.3">
      <c r="A739" s="124"/>
      <c r="B739" s="88" t="s">
        <v>599</v>
      </c>
      <c r="C739" s="88"/>
      <c r="D739" s="88"/>
      <c r="E739" s="88"/>
      <c r="F739" s="88"/>
      <c r="G739" s="88"/>
      <c r="H739" s="1"/>
      <c r="I739" s="1"/>
      <c r="J739" s="124">
        <f>J738*0/100</f>
        <v>0</v>
      </c>
      <c r="K739" s="1"/>
      <c r="L739" s="1"/>
      <c r="M739" s="1"/>
      <c r="N739" s="1"/>
      <c r="O739" s="1"/>
      <c r="P739" s="1"/>
      <c r="Q739" s="1"/>
      <c r="R739" s="1"/>
      <c r="S739" s="1"/>
      <c r="T739" s="1"/>
      <c r="U739" s="1"/>
      <c r="V739" s="1"/>
      <c r="W739" s="142"/>
    </row>
    <row r="740" spans="1:27" x14ac:dyDescent="0.3">
      <c r="A740" s="124"/>
      <c r="B740" s="88" t="s">
        <v>41</v>
      </c>
      <c r="C740" s="88"/>
      <c r="D740" s="88"/>
      <c r="E740" s="88"/>
      <c r="F740" s="88"/>
      <c r="G740" s="88"/>
      <c r="H740" s="1"/>
      <c r="I740" s="1"/>
      <c r="J740" s="124">
        <f>SUM(J738:J739)</f>
        <v>364008</v>
      </c>
      <c r="K740" s="1"/>
      <c r="L740" s="1"/>
      <c r="M740" s="1"/>
      <c r="N740" s="1"/>
      <c r="O740" s="1"/>
      <c r="P740" s="1"/>
      <c r="Q740" s="1"/>
      <c r="R740" s="1"/>
      <c r="S740" s="1"/>
      <c r="T740" s="1"/>
      <c r="U740" s="1"/>
      <c r="V740" s="1"/>
      <c r="W740" s="142"/>
    </row>
    <row r="741" spans="1:27" x14ac:dyDescent="0.3">
      <c r="A741" s="16">
        <v>67</v>
      </c>
      <c r="B741" s="16">
        <v>8100016285</v>
      </c>
      <c r="C741" s="19">
        <v>45839</v>
      </c>
      <c r="D741" s="16" t="s">
        <v>43</v>
      </c>
      <c r="E741" s="16" t="s">
        <v>123</v>
      </c>
      <c r="F741" s="16" t="s">
        <v>719</v>
      </c>
      <c r="G741" s="16">
        <v>700</v>
      </c>
      <c r="H741" s="16" t="s">
        <v>60</v>
      </c>
      <c r="I741" s="16">
        <v>340</v>
      </c>
      <c r="J741" s="16">
        <f>G741*I741</f>
        <v>238000</v>
      </c>
      <c r="K741" s="16"/>
      <c r="L741" s="16"/>
      <c r="M741" s="16"/>
      <c r="N741" s="16"/>
      <c r="O741" s="16">
        <v>490</v>
      </c>
      <c r="P741" s="16">
        <v>340</v>
      </c>
      <c r="Q741" s="16">
        <f>O741*P741</f>
        <v>166600</v>
      </c>
      <c r="R741" s="18">
        <v>0</v>
      </c>
      <c r="S741" s="16">
        <f>Q741*R741</f>
        <v>0</v>
      </c>
      <c r="T741" s="16">
        <f>Q741+S741</f>
        <v>166600</v>
      </c>
      <c r="U741" s="97" t="s">
        <v>1045</v>
      </c>
      <c r="V741" s="110" t="s">
        <v>1046</v>
      </c>
      <c r="W741" s="142" t="s">
        <v>1117</v>
      </c>
      <c r="X741" s="181" t="s">
        <v>2229</v>
      </c>
      <c r="Y741" s="181" t="s">
        <v>2153</v>
      </c>
      <c r="Z741" s="120" t="s">
        <v>2181</v>
      </c>
      <c r="AA741" s="3" t="s">
        <v>2230</v>
      </c>
    </row>
    <row r="742" spans="1:27" x14ac:dyDescent="0.3">
      <c r="A742" s="1"/>
      <c r="B742" s="1"/>
      <c r="C742" s="1"/>
      <c r="D742" s="1"/>
      <c r="E742" s="16" t="s">
        <v>123</v>
      </c>
      <c r="F742" s="16" t="s">
        <v>720</v>
      </c>
      <c r="G742" s="16">
        <v>100</v>
      </c>
      <c r="H742" s="16" t="s">
        <v>28</v>
      </c>
      <c r="I742" s="16">
        <v>100</v>
      </c>
      <c r="J742" s="16">
        <f t="shared" ref="J742:J753" si="161">G742*I742</f>
        <v>10000</v>
      </c>
      <c r="K742" s="16"/>
      <c r="L742" s="16"/>
      <c r="M742" s="16"/>
      <c r="N742" s="16"/>
      <c r="O742" s="16">
        <v>100</v>
      </c>
      <c r="P742" s="16">
        <v>100</v>
      </c>
      <c r="Q742" s="16">
        <f t="shared" ref="Q742:Q746" si="162">O742*P742</f>
        <v>10000</v>
      </c>
      <c r="R742" s="18">
        <v>0</v>
      </c>
      <c r="S742" s="16">
        <f t="shared" ref="S742:S746" si="163">Q742*R742</f>
        <v>0</v>
      </c>
      <c r="T742" s="16">
        <f t="shared" ref="T742:T746" si="164">Q742+S742</f>
        <v>10000</v>
      </c>
      <c r="U742" s="97" t="s">
        <v>1045</v>
      </c>
      <c r="V742" s="110" t="s">
        <v>1046</v>
      </c>
      <c r="W742" s="142" t="s">
        <v>1117</v>
      </c>
    </row>
    <row r="743" spans="1:27" ht="63" x14ac:dyDescent="0.3">
      <c r="A743" s="1"/>
      <c r="B743" s="1"/>
      <c r="C743" s="1"/>
      <c r="D743" s="1"/>
      <c r="E743" s="16" t="s">
        <v>123</v>
      </c>
      <c r="F743" s="39" t="s">
        <v>721</v>
      </c>
      <c r="G743" s="16">
        <v>18</v>
      </c>
      <c r="H743" s="16" t="s">
        <v>28</v>
      </c>
      <c r="I743" s="16">
        <v>1200</v>
      </c>
      <c r="J743" s="16">
        <f t="shared" si="161"/>
        <v>21600</v>
      </c>
      <c r="K743" s="163" t="s">
        <v>722</v>
      </c>
      <c r="L743" s="16" t="s">
        <v>723</v>
      </c>
      <c r="M743" s="16" t="s">
        <v>91</v>
      </c>
      <c r="N743" s="16" t="s">
        <v>724</v>
      </c>
      <c r="O743" s="16">
        <v>18</v>
      </c>
      <c r="P743" s="16">
        <v>1200</v>
      </c>
      <c r="Q743" s="16">
        <f t="shared" si="162"/>
        <v>21600</v>
      </c>
      <c r="R743" s="18">
        <v>0</v>
      </c>
      <c r="S743" s="16">
        <f t="shared" si="163"/>
        <v>0</v>
      </c>
      <c r="T743" s="16">
        <f t="shared" si="164"/>
        <v>21600</v>
      </c>
      <c r="U743" s="97" t="s">
        <v>1045</v>
      </c>
      <c r="V743" s="110" t="s">
        <v>1046</v>
      </c>
      <c r="W743" s="142" t="s">
        <v>1117</v>
      </c>
      <c r="X743" s="3">
        <f>63*340</f>
        <v>21420</v>
      </c>
    </row>
    <row r="744" spans="1:27" ht="37.799999999999997" x14ac:dyDescent="0.3">
      <c r="A744" s="1"/>
      <c r="B744" s="1"/>
      <c r="C744" s="1"/>
      <c r="D744" s="1"/>
      <c r="E744" s="16" t="s">
        <v>123</v>
      </c>
      <c r="F744" s="39" t="s">
        <v>725</v>
      </c>
      <c r="G744" s="16">
        <v>4</v>
      </c>
      <c r="H744" s="16" t="s">
        <v>28</v>
      </c>
      <c r="I744" s="16">
        <v>2600</v>
      </c>
      <c r="J744" s="16">
        <f t="shared" si="161"/>
        <v>10400</v>
      </c>
      <c r="K744" s="16"/>
      <c r="L744" s="16"/>
      <c r="M744" s="16"/>
      <c r="N744" s="16"/>
      <c r="O744" s="16">
        <v>4</v>
      </c>
      <c r="P744" s="16">
        <v>2600</v>
      </c>
      <c r="Q744" s="16">
        <f t="shared" si="162"/>
        <v>10400</v>
      </c>
      <c r="R744" s="18">
        <v>0</v>
      </c>
      <c r="S744" s="16">
        <f t="shared" si="163"/>
        <v>0</v>
      </c>
      <c r="T744" s="16">
        <f t="shared" si="164"/>
        <v>10400</v>
      </c>
      <c r="U744" s="97" t="s">
        <v>1045</v>
      </c>
      <c r="V744" s="110" t="s">
        <v>1046</v>
      </c>
      <c r="W744" s="142" t="s">
        <v>1117</v>
      </c>
    </row>
    <row r="745" spans="1:27" ht="63" x14ac:dyDescent="0.3">
      <c r="A745" s="1"/>
      <c r="B745" s="1"/>
      <c r="C745" s="1"/>
      <c r="D745" s="1"/>
      <c r="E745" s="16" t="s">
        <v>123</v>
      </c>
      <c r="F745" s="39" t="s">
        <v>726</v>
      </c>
      <c r="G745" s="16">
        <v>700</v>
      </c>
      <c r="H745" s="16" t="s">
        <v>60</v>
      </c>
      <c r="I745" s="16">
        <v>10</v>
      </c>
      <c r="J745" s="16">
        <f t="shared" si="161"/>
        <v>7000</v>
      </c>
      <c r="K745" s="16"/>
      <c r="L745" s="16"/>
      <c r="M745" s="16"/>
      <c r="N745" s="16"/>
      <c r="O745" s="16">
        <v>490</v>
      </c>
      <c r="P745" s="16">
        <v>10</v>
      </c>
      <c r="Q745" s="16">
        <f t="shared" si="162"/>
        <v>4900</v>
      </c>
      <c r="R745" s="18">
        <v>0</v>
      </c>
      <c r="S745" s="16">
        <f t="shared" si="163"/>
        <v>0</v>
      </c>
      <c r="T745" s="16">
        <f t="shared" si="164"/>
        <v>4900</v>
      </c>
      <c r="U745" s="97" t="s">
        <v>1045</v>
      </c>
      <c r="V745" s="110" t="s">
        <v>1046</v>
      </c>
      <c r="W745" s="142" t="s">
        <v>1117</v>
      </c>
      <c r="X745" s="95"/>
      <c r="Y745" s="95"/>
      <c r="Z745" s="95"/>
    </row>
    <row r="746" spans="1:27" ht="63" x14ac:dyDescent="0.3">
      <c r="A746" s="1"/>
      <c r="B746" s="1"/>
      <c r="C746" s="1"/>
      <c r="D746" s="1"/>
      <c r="E746" s="16" t="s">
        <v>123</v>
      </c>
      <c r="F746" s="39" t="s">
        <v>727</v>
      </c>
      <c r="G746" s="16">
        <v>700</v>
      </c>
      <c r="H746" s="16" t="s">
        <v>60</v>
      </c>
      <c r="I746" s="16">
        <v>18</v>
      </c>
      <c r="J746" s="16">
        <f t="shared" si="161"/>
        <v>12600</v>
      </c>
      <c r="K746" s="16"/>
      <c r="L746" s="16"/>
      <c r="M746" s="16"/>
      <c r="N746" s="16"/>
      <c r="O746" s="16">
        <v>490</v>
      </c>
      <c r="P746" s="16">
        <v>18</v>
      </c>
      <c r="Q746" s="16">
        <f t="shared" si="162"/>
        <v>8820</v>
      </c>
      <c r="R746" s="18">
        <v>0</v>
      </c>
      <c r="S746" s="16">
        <f t="shared" si="163"/>
        <v>0</v>
      </c>
      <c r="T746" s="16">
        <f t="shared" si="164"/>
        <v>8820</v>
      </c>
      <c r="U746" s="97" t="s">
        <v>1045</v>
      </c>
      <c r="V746" s="110" t="s">
        <v>1046</v>
      </c>
      <c r="W746" s="142" t="s">
        <v>1117</v>
      </c>
      <c r="X746" s="95"/>
      <c r="Y746" s="95"/>
      <c r="Z746" s="95"/>
    </row>
    <row r="747" spans="1:27" ht="37.799999999999997" x14ac:dyDescent="0.3">
      <c r="A747" s="1"/>
      <c r="B747" s="1"/>
      <c r="C747" s="1"/>
      <c r="D747" s="1"/>
      <c r="E747" s="16" t="s">
        <v>127</v>
      </c>
      <c r="F747" s="39" t="s">
        <v>728</v>
      </c>
      <c r="G747" s="16">
        <v>100</v>
      </c>
      <c r="H747" s="16" t="s">
        <v>28</v>
      </c>
      <c r="I747" s="16">
        <v>100</v>
      </c>
      <c r="J747" s="16">
        <f t="shared" si="161"/>
        <v>10000</v>
      </c>
      <c r="K747" s="16"/>
      <c r="L747" s="16"/>
      <c r="M747" s="16"/>
      <c r="N747" s="16"/>
      <c r="O747" s="16">
        <v>100</v>
      </c>
      <c r="P747" s="16">
        <v>100</v>
      </c>
      <c r="Q747" s="16">
        <f>O747*P747</f>
        <v>10000</v>
      </c>
      <c r="R747" s="18">
        <v>0</v>
      </c>
      <c r="S747" s="16">
        <f>Q747*R747</f>
        <v>0</v>
      </c>
      <c r="T747" s="16">
        <f>Q747+S747</f>
        <v>10000</v>
      </c>
      <c r="U747" s="16" t="s">
        <v>729</v>
      </c>
      <c r="V747" s="19" t="s">
        <v>730</v>
      </c>
      <c r="W747" s="142" t="s">
        <v>1256</v>
      </c>
      <c r="X747" s="95"/>
      <c r="Y747" s="95"/>
      <c r="Z747" s="95"/>
    </row>
    <row r="748" spans="1:27" ht="50.4" x14ac:dyDescent="0.3">
      <c r="A748" s="1"/>
      <c r="B748" s="1"/>
      <c r="C748" s="1"/>
      <c r="D748" s="1"/>
      <c r="E748" s="16" t="s">
        <v>127</v>
      </c>
      <c r="F748" s="39" t="s">
        <v>731</v>
      </c>
      <c r="G748" s="16">
        <v>700</v>
      </c>
      <c r="H748" s="16" t="s">
        <v>60</v>
      </c>
      <c r="I748" s="16">
        <v>352</v>
      </c>
      <c r="J748" s="16">
        <f t="shared" si="161"/>
        <v>246400</v>
      </c>
      <c r="K748" s="16"/>
      <c r="L748" s="16"/>
      <c r="M748" s="16"/>
      <c r="N748" s="16"/>
      <c r="O748" s="16">
        <v>700</v>
      </c>
      <c r="P748" s="16">
        <v>352</v>
      </c>
      <c r="Q748" s="16">
        <f>O748*P748</f>
        <v>246400</v>
      </c>
      <c r="R748" s="18">
        <v>0</v>
      </c>
      <c r="S748" s="16">
        <f>Q748*R748</f>
        <v>0</v>
      </c>
      <c r="T748" s="16">
        <f>Q748+S748</f>
        <v>246400</v>
      </c>
      <c r="U748" s="16" t="s">
        <v>729</v>
      </c>
      <c r="V748" s="19" t="s">
        <v>730</v>
      </c>
      <c r="W748" s="142" t="s">
        <v>1256</v>
      </c>
    </row>
    <row r="749" spans="1:27" x14ac:dyDescent="0.3">
      <c r="A749" s="124"/>
      <c r="B749" s="88" t="s">
        <v>39</v>
      </c>
      <c r="C749" s="88"/>
      <c r="D749" s="88"/>
      <c r="E749" s="88"/>
      <c r="F749" s="88"/>
      <c r="G749" s="88"/>
      <c r="H749" s="1"/>
      <c r="I749" s="1"/>
      <c r="J749" s="124">
        <f>SUM(J741:J748)</f>
        <v>556000</v>
      </c>
      <c r="K749" s="1"/>
      <c r="L749" s="1"/>
      <c r="M749" s="1"/>
      <c r="N749" s="1"/>
      <c r="O749" s="1"/>
      <c r="P749" s="1"/>
      <c r="Q749" s="1"/>
      <c r="R749" s="1"/>
      <c r="S749" s="1"/>
      <c r="T749" s="1"/>
      <c r="U749" s="1"/>
      <c r="V749" s="1"/>
      <c r="W749" s="142"/>
    </row>
    <row r="750" spans="1:27" x14ac:dyDescent="0.3">
      <c r="A750" s="124"/>
      <c r="B750" s="88" t="s">
        <v>599</v>
      </c>
      <c r="C750" s="88"/>
      <c r="D750" s="88"/>
      <c r="E750" s="88"/>
      <c r="F750" s="88"/>
      <c r="G750" s="88"/>
      <c r="H750" s="1"/>
      <c r="I750" s="1"/>
      <c r="J750" s="124">
        <v>0</v>
      </c>
      <c r="K750" s="1"/>
      <c r="L750" s="1"/>
      <c r="M750" s="1"/>
      <c r="N750" s="1"/>
      <c r="O750" s="1"/>
      <c r="P750" s="1"/>
      <c r="Q750" s="1"/>
      <c r="R750" s="1"/>
      <c r="S750" s="1"/>
      <c r="T750" s="1"/>
      <c r="U750" s="1"/>
      <c r="V750" s="1"/>
      <c r="W750" s="142"/>
    </row>
    <row r="751" spans="1:27" x14ac:dyDescent="0.3">
      <c r="A751" s="124"/>
      <c r="B751" s="88" t="s">
        <v>41</v>
      </c>
      <c r="C751" s="88"/>
      <c r="D751" s="88"/>
      <c r="E751" s="88"/>
      <c r="F751" s="88"/>
      <c r="G751" s="88"/>
      <c r="H751" s="1"/>
      <c r="I751" s="1"/>
      <c r="J751" s="124">
        <f>SUM(J749:J750)</f>
        <v>556000</v>
      </c>
      <c r="K751" s="1"/>
      <c r="L751" s="1"/>
      <c r="M751" s="1"/>
      <c r="N751" s="1"/>
      <c r="O751" s="1"/>
      <c r="P751" s="1"/>
      <c r="Q751" s="1"/>
      <c r="R751" s="1"/>
      <c r="S751" s="1"/>
      <c r="T751" s="1">
        <f>SUM(T741:T750)</f>
        <v>478720</v>
      </c>
      <c r="U751" s="1"/>
      <c r="V751" s="1"/>
      <c r="W751" s="142"/>
    </row>
    <row r="752" spans="1:27" x14ac:dyDescent="0.3">
      <c r="A752" s="124"/>
      <c r="B752" s="88"/>
      <c r="C752" s="88"/>
      <c r="D752" s="88"/>
      <c r="E752" s="88"/>
      <c r="F752" s="88"/>
      <c r="G752" s="88"/>
      <c r="H752" s="1"/>
      <c r="I752" s="1"/>
      <c r="J752" s="124"/>
      <c r="K752" s="1"/>
      <c r="L752" s="1"/>
      <c r="M752" s="1"/>
      <c r="N752" s="1"/>
      <c r="O752" s="1"/>
      <c r="P752" s="1"/>
      <c r="Q752" s="1"/>
      <c r="R752" s="1"/>
      <c r="S752" s="1"/>
      <c r="T752" s="1"/>
      <c r="U752" s="1"/>
      <c r="V752" s="1"/>
      <c r="W752" s="142"/>
    </row>
    <row r="753" spans="1:23" ht="25.2" x14ac:dyDescent="0.3">
      <c r="A753" s="16">
        <v>68</v>
      </c>
      <c r="B753" s="16">
        <v>9200129845</v>
      </c>
      <c r="C753" s="16" t="s">
        <v>732</v>
      </c>
      <c r="D753" s="16" t="s">
        <v>43</v>
      </c>
      <c r="E753" s="16" t="s">
        <v>123</v>
      </c>
      <c r="F753" s="39" t="s">
        <v>733</v>
      </c>
      <c r="G753" s="16">
        <v>84</v>
      </c>
      <c r="H753" s="16" t="s">
        <v>28</v>
      </c>
      <c r="I753" s="16">
        <v>2625</v>
      </c>
      <c r="J753" s="16">
        <f t="shared" si="161"/>
        <v>220500</v>
      </c>
      <c r="K753" s="16">
        <v>84</v>
      </c>
      <c r="L753" s="16" t="s">
        <v>734</v>
      </c>
      <c r="M753" s="16" t="s">
        <v>91</v>
      </c>
      <c r="N753" s="16" t="s">
        <v>735</v>
      </c>
      <c r="O753" s="16">
        <v>84</v>
      </c>
      <c r="P753" s="16">
        <v>2625</v>
      </c>
      <c r="Q753" s="16">
        <f>O753*P753</f>
        <v>220500</v>
      </c>
      <c r="R753" s="18">
        <v>0</v>
      </c>
      <c r="S753" s="16">
        <f>Q753*R753</f>
        <v>0</v>
      </c>
      <c r="T753" s="16">
        <f>Q753+S753</f>
        <v>220500</v>
      </c>
      <c r="U753" s="16" t="s">
        <v>1090</v>
      </c>
      <c r="V753" s="19">
        <v>45873</v>
      </c>
      <c r="W753" s="142" t="s">
        <v>1109</v>
      </c>
    </row>
    <row r="754" spans="1:23" x14ac:dyDescent="0.3">
      <c r="A754" s="1"/>
      <c r="B754" s="1"/>
      <c r="C754" s="1"/>
      <c r="D754" s="1"/>
      <c r="E754" s="1"/>
      <c r="F754" s="1"/>
      <c r="G754" s="1"/>
      <c r="H754" s="1"/>
      <c r="I754" s="1"/>
      <c r="J754" s="85" t="s">
        <v>1062</v>
      </c>
      <c r="K754" s="85">
        <v>92</v>
      </c>
      <c r="L754" s="85" t="s">
        <v>734</v>
      </c>
      <c r="M754" s="85" t="s">
        <v>91</v>
      </c>
      <c r="N754" s="85" t="s">
        <v>1061</v>
      </c>
      <c r="O754" s="1"/>
      <c r="P754" s="1"/>
      <c r="Q754" s="1"/>
      <c r="R754" s="1"/>
      <c r="S754" s="1"/>
      <c r="T754" s="1"/>
      <c r="U754" s="1"/>
      <c r="V754" s="1"/>
      <c r="W754" s="142"/>
    </row>
    <row r="755" spans="1:23" x14ac:dyDescent="0.3">
      <c r="A755" s="124"/>
      <c r="B755" s="88" t="s">
        <v>39</v>
      </c>
      <c r="C755" s="88"/>
      <c r="D755" s="88"/>
      <c r="E755" s="88"/>
      <c r="F755" s="88"/>
      <c r="G755" s="1"/>
      <c r="H755" s="1"/>
      <c r="I755" s="1"/>
      <c r="J755" s="124">
        <f>SUM(J753:J754)</f>
        <v>220500</v>
      </c>
      <c r="K755" s="1"/>
      <c r="L755" s="1"/>
      <c r="M755" s="1"/>
      <c r="N755" s="1"/>
      <c r="O755" s="1"/>
      <c r="P755" s="1"/>
      <c r="Q755" s="1"/>
      <c r="R755" s="1"/>
      <c r="S755" s="1"/>
      <c r="T755" s="1"/>
      <c r="U755" s="1"/>
      <c r="V755" s="1"/>
      <c r="W755" s="142"/>
    </row>
    <row r="756" spans="1:23" x14ac:dyDescent="0.3">
      <c r="A756" s="124"/>
      <c r="B756" s="88" t="s">
        <v>599</v>
      </c>
      <c r="C756" s="88"/>
      <c r="D756" s="88"/>
      <c r="E756" s="88"/>
      <c r="F756" s="88"/>
      <c r="G756" s="1"/>
      <c r="H756" s="1"/>
      <c r="I756" s="1"/>
      <c r="J756" s="124">
        <v>0</v>
      </c>
      <c r="K756" s="1"/>
      <c r="L756" s="1"/>
      <c r="M756" s="1"/>
      <c r="N756" s="1"/>
      <c r="O756" s="1"/>
      <c r="P756" s="1"/>
      <c r="Q756" s="1"/>
      <c r="R756" s="1"/>
      <c r="S756" s="1"/>
      <c r="T756" s="1"/>
      <c r="U756" s="1"/>
      <c r="V756" s="1"/>
      <c r="W756" s="142"/>
    </row>
    <row r="757" spans="1:23" x14ac:dyDescent="0.3">
      <c r="A757" s="124"/>
      <c r="B757" s="88" t="s">
        <v>41</v>
      </c>
      <c r="C757" s="88"/>
      <c r="D757" s="88"/>
      <c r="E757" s="88"/>
      <c r="F757" s="88"/>
      <c r="G757" s="1"/>
      <c r="H757" s="1"/>
      <c r="I757" s="1"/>
      <c r="J757" s="124">
        <f>SUM(J755:J756)</f>
        <v>220500</v>
      </c>
      <c r="K757" s="1"/>
      <c r="L757" s="1"/>
      <c r="M757" s="1"/>
      <c r="N757" s="1"/>
      <c r="O757" s="1"/>
      <c r="P757" s="1"/>
      <c r="Q757" s="1"/>
      <c r="R757" s="1"/>
      <c r="S757" s="1"/>
      <c r="T757" s="1"/>
      <c r="U757" s="1"/>
      <c r="V757" s="1"/>
      <c r="W757" s="142"/>
    </row>
    <row r="758" spans="1:23" x14ac:dyDescent="0.3">
      <c r="A758" s="1"/>
      <c r="B758" s="2"/>
      <c r="C758" s="2"/>
      <c r="D758" s="2"/>
      <c r="E758" s="2"/>
      <c r="F758" s="2"/>
      <c r="G758" s="2"/>
      <c r="H758" s="2"/>
      <c r="I758" s="2"/>
      <c r="J758" s="1"/>
      <c r="K758" s="2"/>
      <c r="L758" s="2"/>
      <c r="M758" s="2"/>
      <c r="N758" s="2"/>
      <c r="O758" s="2"/>
      <c r="P758" s="2"/>
      <c r="Q758" s="2"/>
      <c r="R758" s="2"/>
      <c r="S758" s="2"/>
      <c r="T758" s="2"/>
      <c r="U758" s="2"/>
      <c r="V758" s="2"/>
      <c r="W758" s="142"/>
    </row>
    <row r="759" spans="1:23" x14ac:dyDescent="0.3">
      <c r="A759" s="16">
        <v>69</v>
      </c>
      <c r="B759" s="16">
        <v>8100016432</v>
      </c>
      <c r="C759" s="16" t="s">
        <v>736</v>
      </c>
      <c r="D759" s="16" t="s">
        <v>43</v>
      </c>
      <c r="E759" s="16" t="s">
        <v>123</v>
      </c>
      <c r="F759" s="16" t="s">
        <v>737</v>
      </c>
      <c r="G759" s="16">
        <v>150</v>
      </c>
      <c r="H759" s="16" t="s">
        <v>60</v>
      </c>
      <c r="I759" s="16">
        <v>50</v>
      </c>
      <c r="J759" s="16">
        <f>G759*I759</f>
        <v>7500</v>
      </c>
      <c r="K759" s="16"/>
      <c r="L759" s="16"/>
      <c r="M759" s="16"/>
      <c r="N759" s="16"/>
      <c r="O759" s="16">
        <v>150</v>
      </c>
      <c r="P759" s="16">
        <v>50</v>
      </c>
      <c r="Q759" s="16">
        <f>O759*P759</f>
        <v>7500</v>
      </c>
      <c r="R759" s="18">
        <v>0</v>
      </c>
      <c r="S759" s="16">
        <f>Q759*R759</f>
        <v>0</v>
      </c>
      <c r="T759" s="16">
        <f>Q759+S759</f>
        <v>7500</v>
      </c>
      <c r="U759" s="97" t="s">
        <v>1092</v>
      </c>
      <c r="V759" s="110">
        <v>45873</v>
      </c>
      <c r="W759" s="142" t="s">
        <v>1256</v>
      </c>
    </row>
    <row r="760" spans="1:23" x14ac:dyDescent="0.3">
      <c r="A760" s="1"/>
      <c r="B760" s="1"/>
      <c r="C760" s="1"/>
      <c r="D760" s="1"/>
      <c r="E760" s="16" t="s">
        <v>123</v>
      </c>
      <c r="F760" s="16" t="s">
        <v>738</v>
      </c>
      <c r="G760" s="16">
        <v>100</v>
      </c>
      <c r="H760" s="16" t="s">
        <v>60</v>
      </c>
      <c r="I760" s="16">
        <v>45</v>
      </c>
      <c r="J760" s="16">
        <f t="shared" ref="J760:J766" si="165">G760*I760</f>
        <v>4500</v>
      </c>
      <c r="K760" s="16"/>
      <c r="L760" s="16"/>
      <c r="M760" s="16"/>
      <c r="N760" s="16"/>
      <c r="O760" s="16">
        <v>100</v>
      </c>
      <c r="P760" s="16">
        <v>45</v>
      </c>
      <c r="Q760" s="16">
        <f t="shared" ref="Q760:Q766" si="166">O760*P760</f>
        <v>4500</v>
      </c>
      <c r="R760" s="18">
        <v>0</v>
      </c>
      <c r="S760" s="16">
        <f t="shared" ref="S760:S766" si="167">Q760*R760</f>
        <v>0</v>
      </c>
      <c r="T760" s="16">
        <f t="shared" ref="T760:T766" si="168">Q760+S760</f>
        <v>4500</v>
      </c>
      <c r="U760" s="97" t="s">
        <v>1092</v>
      </c>
      <c r="V760" s="110">
        <v>45873</v>
      </c>
      <c r="W760" s="142" t="s">
        <v>1256</v>
      </c>
    </row>
    <row r="761" spans="1:23" x14ac:dyDescent="0.3">
      <c r="A761" s="1"/>
      <c r="B761" s="1"/>
      <c r="C761" s="1"/>
      <c r="D761" s="1"/>
      <c r="E761" s="16" t="s">
        <v>123</v>
      </c>
      <c r="F761" s="16" t="s">
        <v>739</v>
      </c>
      <c r="G761" s="16">
        <v>1</v>
      </c>
      <c r="H761" s="16" t="s">
        <v>28</v>
      </c>
      <c r="I761" s="16">
        <v>6500</v>
      </c>
      <c r="J761" s="16">
        <f t="shared" si="165"/>
        <v>6500</v>
      </c>
      <c r="K761" s="16"/>
      <c r="L761" s="16"/>
      <c r="M761" s="16"/>
      <c r="N761" s="16"/>
      <c r="O761" s="16">
        <v>1</v>
      </c>
      <c r="P761" s="16">
        <v>6500</v>
      </c>
      <c r="Q761" s="16">
        <f t="shared" si="166"/>
        <v>6500</v>
      </c>
      <c r="R761" s="18">
        <v>0</v>
      </c>
      <c r="S761" s="16">
        <f t="shared" si="167"/>
        <v>0</v>
      </c>
      <c r="T761" s="16">
        <f t="shared" si="168"/>
        <v>6500</v>
      </c>
      <c r="U761" s="97" t="s">
        <v>1092</v>
      </c>
      <c r="V761" s="110">
        <v>45873</v>
      </c>
      <c r="W761" s="142" t="s">
        <v>1256</v>
      </c>
    </row>
    <row r="762" spans="1:23" ht="63" x14ac:dyDescent="0.3">
      <c r="A762" s="1"/>
      <c r="B762" s="1"/>
      <c r="C762" s="1"/>
      <c r="D762" s="1"/>
      <c r="E762" s="16" t="s">
        <v>123</v>
      </c>
      <c r="F762" s="39" t="s">
        <v>740</v>
      </c>
      <c r="G762" s="16">
        <v>60</v>
      </c>
      <c r="H762" s="16" t="s">
        <v>308</v>
      </c>
      <c r="I762" s="16">
        <v>230</v>
      </c>
      <c r="J762" s="16">
        <f t="shared" si="165"/>
        <v>13800</v>
      </c>
      <c r="K762" s="16"/>
      <c r="L762" s="16"/>
      <c r="M762" s="16"/>
      <c r="N762" s="16"/>
      <c r="O762" s="16">
        <v>60</v>
      </c>
      <c r="P762" s="16">
        <v>230</v>
      </c>
      <c r="Q762" s="16">
        <f t="shared" si="166"/>
        <v>13800</v>
      </c>
      <c r="R762" s="18">
        <v>0</v>
      </c>
      <c r="S762" s="16">
        <f t="shared" si="167"/>
        <v>0</v>
      </c>
      <c r="T762" s="16">
        <f t="shared" si="168"/>
        <v>13800</v>
      </c>
      <c r="U762" s="97" t="s">
        <v>1092</v>
      </c>
      <c r="V762" s="110">
        <v>45873</v>
      </c>
      <c r="W762" s="142" t="s">
        <v>1256</v>
      </c>
    </row>
    <row r="763" spans="1:23" ht="50.4" x14ac:dyDescent="0.3">
      <c r="A763" s="1"/>
      <c r="B763" s="1"/>
      <c r="C763" s="1"/>
      <c r="D763" s="1"/>
      <c r="E763" s="16" t="s">
        <v>123</v>
      </c>
      <c r="F763" s="39" t="s">
        <v>741</v>
      </c>
      <c r="G763" s="16">
        <v>200</v>
      </c>
      <c r="H763" s="16" t="s">
        <v>252</v>
      </c>
      <c r="I763" s="16">
        <v>100</v>
      </c>
      <c r="J763" s="16">
        <f t="shared" si="165"/>
        <v>20000</v>
      </c>
      <c r="K763" s="16"/>
      <c r="L763" s="16"/>
      <c r="M763" s="16"/>
      <c r="N763" s="16"/>
      <c r="O763" s="16">
        <v>200</v>
      </c>
      <c r="P763" s="16">
        <v>100</v>
      </c>
      <c r="Q763" s="16">
        <f t="shared" si="166"/>
        <v>20000</v>
      </c>
      <c r="R763" s="18">
        <v>0</v>
      </c>
      <c r="S763" s="16">
        <f t="shared" si="167"/>
        <v>0</v>
      </c>
      <c r="T763" s="16">
        <f t="shared" si="168"/>
        <v>20000</v>
      </c>
      <c r="U763" s="97" t="s">
        <v>1092</v>
      </c>
      <c r="V763" s="110">
        <v>45873</v>
      </c>
      <c r="W763" s="142" t="s">
        <v>1256</v>
      </c>
    </row>
    <row r="764" spans="1:23" ht="25.2" x14ac:dyDescent="0.3">
      <c r="A764" s="1"/>
      <c r="B764" s="1"/>
      <c r="C764" s="1"/>
      <c r="D764" s="1"/>
      <c r="E764" s="16" t="s">
        <v>127</v>
      </c>
      <c r="F764" s="39" t="s">
        <v>742</v>
      </c>
      <c r="G764" s="16">
        <v>150</v>
      </c>
      <c r="H764" s="16" t="s">
        <v>60</v>
      </c>
      <c r="I764" s="16">
        <v>132</v>
      </c>
      <c r="J764" s="16">
        <f t="shared" si="165"/>
        <v>19800</v>
      </c>
      <c r="K764" s="16"/>
      <c r="L764" s="16"/>
      <c r="M764" s="16"/>
      <c r="N764" s="16"/>
      <c r="O764" s="16">
        <v>150</v>
      </c>
      <c r="P764" s="16">
        <v>132</v>
      </c>
      <c r="Q764" s="16">
        <f t="shared" si="166"/>
        <v>19800</v>
      </c>
      <c r="R764" s="18">
        <v>0</v>
      </c>
      <c r="S764" s="16">
        <f t="shared" si="167"/>
        <v>0</v>
      </c>
      <c r="T764" s="16">
        <f t="shared" si="168"/>
        <v>19800</v>
      </c>
      <c r="U764" s="16" t="s">
        <v>743</v>
      </c>
      <c r="V764" s="19" t="s">
        <v>744</v>
      </c>
      <c r="W764" s="142" t="s">
        <v>418</v>
      </c>
    </row>
    <row r="765" spans="1:23" ht="25.2" x14ac:dyDescent="0.3">
      <c r="A765" s="1"/>
      <c r="B765" s="1"/>
      <c r="C765" s="1"/>
      <c r="D765" s="1"/>
      <c r="E765" s="16" t="s">
        <v>127</v>
      </c>
      <c r="F765" s="39" t="s">
        <v>745</v>
      </c>
      <c r="G765" s="16">
        <v>100</v>
      </c>
      <c r="H765" s="16" t="s">
        <v>60</v>
      </c>
      <c r="I765" s="16">
        <v>92</v>
      </c>
      <c r="J765" s="16">
        <f t="shared" si="165"/>
        <v>9200</v>
      </c>
      <c r="K765" s="16"/>
      <c r="L765" s="16"/>
      <c r="M765" s="16"/>
      <c r="N765" s="16"/>
      <c r="O765" s="16">
        <v>100</v>
      </c>
      <c r="P765" s="16">
        <v>92</v>
      </c>
      <c r="Q765" s="16">
        <f t="shared" si="166"/>
        <v>9200</v>
      </c>
      <c r="R765" s="18">
        <v>0</v>
      </c>
      <c r="S765" s="16">
        <f t="shared" si="167"/>
        <v>0</v>
      </c>
      <c r="T765" s="16">
        <f t="shared" si="168"/>
        <v>9200</v>
      </c>
      <c r="U765" s="16" t="s">
        <v>743</v>
      </c>
      <c r="V765" s="19" t="s">
        <v>744</v>
      </c>
      <c r="W765" s="142" t="s">
        <v>418</v>
      </c>
    </row>
    <row r="766" spans="1:23" ht="37.799999999999997" x14ac:dyDescent="0.3">
      <c r="A766" s="1"/>
      <c r="B766" s="1"/>
      <c r="C766" s="1"/>
      <c r="D766" s="1"/>
      <c r="E766" s="16" t="s">
        <v>123</v>
      </c>
      <c r="F766" s="39" t="s">
        <v>746</v>
      </c>
      <c r="G766" s="16">
        <v>300</v>
      </c>
      <c r="H766" s="16" t="s">
        <v>60</v>
      </c>
      <c r="I766" s="16">
        <v>135</v>
      </c>
      <c r="J766" s="16">
        <f t="shared" si="165"/>
        <v>40500</v>
      </c>
      <c r="K766" s="16">
        <v>300</v>
      </c>
      <c r="L766" s="16" t="s">
        <v>60</v>
      </c>
      <c r="M766" s="16" t="s">
        <v>91</v>
      </c>
      <c r="N766" s="16" t="s">
        <v>747</v>
      </c>
      <c r="O766" s="16">
        <v>300</v>
      </c>
      <c r="P766" s="16">
        <v>135</v>
      </c>
      <c r="Q766" s="16">
        <f t="shared" si="166"/>
        <v>40500</v>
      </c>
      <c r="R766" s="18">
        <v>0</v>
      </c>
      <c r="S766" s="16">
        <f t="shared" si="167"/>
        <v>0</v>
      </c>
      <c r="T766" s="16">
        <f t="shared" si="168"/>
        <v>40500</v>
      </c>
      <c r="U766" s="97" t="s">
        <v>1092</v>
      </c>
      <c r="V766" s="110">
        <v>45873</v>
      </c>
      <c r="W766" s="142" t="s">
        <v>1256</v>
      </c>
    </row>
    <row r="767" spans="1:23" x14ac:dyDescent="0.3">
      <c r="A767" s="1"/>
      <c r="B767" s="2"/>
      <c r="C767" s="2"/>
      <c r="D767" s="2"/>
      <c r="E767" s="2"/>
      <c r="F767" s="2"/>
      <c r="G767" s="2"/>
      <c r="H767" s="2"/>
      <c r="I767" s="2"/>
      <c r="J767" s="1"/>
      <c r="K767" s="2"/>
      <c r="L767" s="2"/>
      <c r="M767" s="2"/>
      <c r="N767" s="2"/>
      <c r="O767" s="2"/>
      <c r="P767" s="2"/>
      <c r="Q767" s="2"/>
      <c r="R767" s="2"/>
      <c r="S767" s="2"/>
      <c r="T767" s="2"/>
      <c r="U767" s="2"/>
      <c r="V767" s="2"/>
      <c r="W767" s="142"/>
    </row>
    <row r="768" spans="1:23" x14ac:dyDescent="0.3">
      <c r="A768" s="124"/>
      <c r="B768" s="88" t="s">
        <v>39</v>
      </c>
      <c r="C768" s="88"/>
      <c r="D768" s="88"/>
      <c r="E768" s="88"/>
      <c r="F768" s="88"/>
      <c r="G768" s="2"/>
      <c r="H768" s="2"/>
      <c r="I768" s="2"/>
      <c r="J768" s="124">
        <f>SUM(J759:J767)</f>
        <v>121800</v>
      </c>
      <c r="K768" s="2"/>
      <c r="L768" s="2"/>
      <c r="M768" s="2"/>
      <c r="N768" s="2"/>
      <c r="O768" s="2"/>
      <c r="P768" s="2"/>
      <c r="Q768" s="2"/>
      <c r="R768" s="2"/>
      <c r="S768" s="2"/>
      <c r="T768" s="2"/>
      <c r="U768" s="2"/>
      <c r="V768" s="2"/>
      <c r="W768" s="142"/>
    </row>
    <row r="769" spans="1:23" x14ac:dyDescent="0.3">
      <c r="A769" s="124"/>
      <c r="B769" s="88" t="s">
        <v>599</v>
      </c>
      <c r="C769" s="88"/>
      <c r="D769" s="88"/>
      <c r="E769" s="88"/>
      <c r="F769" s="88"/>
      <c r="G769" s="2"/>
      <c r="H769" s="2"/>
      <c r="I769" s="2"/>
      <c r="J769" s="124">
        <v>0</v>
      </c>
      <c r="K769" s="2"/>
      <c r="L769" s="2"/>
      <c r="M769" s="2"/>
      <c r="N769" s="2"/>
      <c r="O769" s="2"/>
      <c r="P769" s="2"/>
      <c r="Q769" s="2"/>
      <c r="R769" s="2"/>
      <c r="S769" s="2"/>
      <c r="T769" s="2"/>
      <c r="U769" s="2"/>
      <c r="V769" s="2"/>
      <c r="W769" s="142"/>
    </row>
    <row r="770" spans="1:23" x14ac:dyDescent="0.3">
      <c r="A770" s="124"/>
      <c r="B770" s="88" t="s">
        <v>41</v>
      </c>
      <c r="C770" s="88"/>
      <c r="D770" s="88"/>
      <c r="E770" s="88"/>
      <c r="F770" s="88"/>
      <c r="G770" s="2"/>
      <c r="H770" s="2"/>
      <c r="I770" s="2"/>
      <c r="J770" s="124">
        <f>SUM(J768:J769)</f>
        <v>121800</v>
      </c>
      <c r="K770" s="2"/>
      <c r="L770" s="2"/>
      <c r="M770" s="2"/>
      <c r="N770" s="2"/>
      <c r="O770" s="2"/>
      <c r="P770" s="2"/>
      <c r="Q770" s="2"/>
      <c r="R770" s="2"/>
      <c r="S770" s="2"/>
      <c r="T770" s="2">
        <f>SUM(T759:T769)</f>
        <v>121800</v>
      </c>
      <c r="U770" s="2"/>
      <c r="V770" s="2"/>
      <c r="W770" s="142"/>
    </row>
    <row r="771" spans="1:23" x14ac:dyDescent="0.3">
      <c r="A771" s="1"/>
      <c r="B771" s="2"/>
      <c r="C771" s="2"/>
      <c r="D771" s="2"/>
      <c r="E771" s="2"/>
      <c r="F771" s="2"/>
      <c r="G771" s="2"/>
      <c r="H771" s="2"/>
      <c r="I771" s="2"/>
      <c r="J771" s="1"/>
      <c r="K771" s="2"/>
      <c r="L771" s="2"/>
      <c r="M771" s="2"/>
      <c r="N771" s="2"/>
      <c r="O771" s="2"/>
      <c r="P771" s="2"/>
      <c r="Q771" s="2"/>
      <c r="R771" s="2"/>
      <c r="S771" s="2"/>
      <c r="T771" s="2"/>
      <c r="U771" s="2"/>
      <c r="V771" s="2"/>
      <c r="W771" s="142"/>
    </row>
    <row r="772" spans="1:23" x14ac:dyDescent="0.3">
      <c r="A772" s="16">
        <v>70</v>
      </c>
      <c r="B772" s="16">
        <v>8100016462</v>
      </c>
      <c r="C772" s="16" t="s">
        <v>487</v>
      </c>
      <c r="D772" s="38" t="s">
        <v>748</v>
      </c>
      <c r="E772" s="16" t="s">
        <v>123</v>
      </c>
      <c r="F772" s="16" t="s">
        <v>749</v>
      </c>
      <c r="G772" s="16">
        <v>1</v>
      </c>
      <c r="H772" s="16" t="s">
        <v>87</v>
      </c>
      <c r="I772" s="16">
        <v>1000</v>
      </c>
      <c r="J772" s="16">
        <f>G772*I772</f>
        <v>1000</v>
      </c>
      <c r="K772" s="16"/>
      <c r="L772" s="16"/>
      <c r="M772" s="16"/>
      <c r="N772" s="16"/>
      <c r="O772" s="16">
        <v>1</v>
      </c>
      <c r="P772" s="16">
        <v>1000</v>
      </c>
      <c r="Q772" s="16">
        <f>O772*P772</f>
        <v>1000</v>
      </c>
      <c r="R772" s="18">
        <v>0.18</v>
      </c>
      <c r="S772" s="16">
        <f>Q772*R772</f>
        <v>180</v>
      </c>
      <c r="T772" s="16">
        <f>Q772+S772</f>
        <v>1180</v>
      </c>
      <c r="U772" s="16" t="s">
        <v>1417</v>
      </c>
      <c r="V772" s="19">
        <v>45695</v>
      </c>
      <c r="W772" s="142" t="s">
        <v>1418</v>
      </c>
    </row>
    <row r="773" spans="1:23" x14ac:dyDescent="0.3">
      <c r="A773" s="1"/>
      <c r="B773" s="1"/>
      <c r="C773" s="1"/>
      <c r="D773" s="1"/>
      <c r="E773" s="16" t="s">
        <v>127</v>
      </c>
      <c r="F773" s="16" t="s">
        <v>750</v>
      </c>
      <c r="G773" s="16">
        <v>1</v>
      </c>
      <c r="H773" s="16" t="s">
        <v>28</v>
      </c>
      <c r="I773" s="16">
        <v>13000</v>
      </c>
      <c r="J773" s="16">
        <f>G773*I773</f>
        <v>13000</v>
      </c>
      <c r="K773" s="16"/>
      <c r="L773" s="16"/>
      <c r="M773" s="16"/>
      <c r="N773" s="16"/>
      <c r="O773" s="16">
        <v>1</v>
      </c>
      <c r="P773" s="16">
        <v>13000</v>
      </c>
      <c r="Q773" s="16">
        <f>O773*P773</f>
        <v>13000</v>
      </c>
      <c r="R773" s="18">
        <v>0.18</v>
      </c>
      <c r="S773" s="16">
        <f>Q773*R773</f>
        <v>2340</v>
      </c>
      <c r="T773" s="16">
        <f>Q773+S773</f>
        <v>15340</v>
      </c>
      <c r="U773" s="16" t="s">
        <v>1417</v>
      </c>
      <c r="V773" s="19">
        <v>45695</v>
      </c>
      <c r="W773" s="142" t="s">
        <v>1418</v>
      </c>
    </row>
    <row r="774" spans="1:23" x14ac:dyDescent="0.3">
      <c r="A774" s="124"/>
      <c r="B774" s="88" t="s">
        <v>39</v>
      </c>
      <c r="C774" s="88"/>
      <c r="D774" s="88"/>
      <c r="E774" s="88"/>
      <c r="F774" s="88"/>
      <c r="G774" s="2"/>
      <c r="H774" s="2"/>
      <c r="I774" s="2"/>
      <c r="J774" s="124">
        <f>SUM(J772:J773)</f>
        <v>14000</v>
      </c>
      <c r="K774" s="2"/>
      <c r="L774" s="2"/>
      <c r="M774" s="2"/>
      <c r="N774" s="2"/>
      <c r="O774" s="2"/>
      <c r="P774" s="2"/>
      <c r="Q774" s="2"/>
      <c r="R774" s="2"/>
      <c r="S774" s="2"/>
      <c r="T774" s="1">
        <f>SUM(T772:T773)</f>
        <v>16520</v>
      </c>
      <c r="U774" s="2"/>
      <c r="V774" s="2"/>
      <c r="W774" s="142"/>
    </row>
    <row r="775" spans="1:23" x14ac:dyDescent="0.3">
      <c r="A775" s="124"/>
      <c r="B775" s="88" t="s">
        <v>751</v>
      </c>
      <c r="C775" s="88"/>
      <c r="D775" s="88"/>
      <c r="E775" s="88"/>
      <c r="F775" s="88"/>
      <c r="G775" s="2"/>
      <c r="H775" s="2"/>
      <c r="I775" s="2"/>
      <c r="J775" s="124">
        <f>J774*18/100</f>
        <v>2520</v>
      </c>
      <c r="K775" s="2"/>
      <c r="L775" s="2"/>
      <c r="M775" s="2"/>
      <c r="N775" s="2"/>
      <c r="O775" s="2"/>
      <c r="P775" s="2"/>
      <c r="Q775" s="2"/>
      <c r="R775" s="2"/>
      <c r="S775" s="2"/>
      <c r="T775" s="2"/>
      <c r="U775" s="2"/>
      <c r="V775" s="2"/>
      <c r="W775" s="142"/>
    </row>
    <row r="776" spans="1:23" x14ac:dyDescent="0.3">
      <c r="A776" s="124"/>
      <c r="B776" s="88" t="s">
        <v>41</v>
      </c>
      <c r="C776" s="88"/>
      <c r="D776" s="88"/>
      <c r="E776" s="88"/>
      <c r="F776" s="88"/>
      <c r="G776" s="2"/>
      <c r="H776" s="2"/>
      <c r="I776" s="2"/>
      <c r="J776" s="124">
        <f>SUM(J774:J775)</f>
        <v>16520</v>
      </c>
      <c r="K776" s="2"/>
      <c r="L776" s="2"/>
      <c r="M776" s="2"/>
      <c r="N776" s="2"/>
      <c r="O776" s="2"/>
      <c r="P776" s="2"/>
      <c r="Q776" s="2"/>
      <c r="R776" s="2"/>
      <c r="S776" s="2"/>
      <c r="T776" s="2"/>
      <c r="U776" s="2"/>
      <c r="V776" s="2"/>
      <c r="W776" s="142"/>
    </row>
    <row r="777" spans="1:23" x14ac:dyDescent="0.3">
      <c r="A777" s="1"/>
      <c r="B777" s="2"/>
      <c r="C777" s="2"/>
      <c r="D777" s="2"/>
      <c r="E777" s="2"/>
      <c r="F777" s="2"/>
      <c r="G777" s="2"/>
      <c r="H777" s="2"/>
      <c r="I777" s="2"/>
      <c r="J777" s="1"/>
      <c r="K777" s="2"/>
      <c r="L777" s="2"/>
      <c r="M777" s="2"/>
      <c r="N777" s="2"/>
      <c r="O777" s="2"/>
      <c r="P777" s="2"/>
      <c r="Q777" s="2"/>
      <c r="R777" s="2"/>
      <c r="S777" s="2"/>
      <c r="T777" s="2"/>
      <c r="U777" s="2"/>
      <c r="V777" s="2"/>
      <c r="W777" s="142"/>
    </row>
    <row r="778" spans="1:23" ht="25.2" x14ac:dyDescent="0.3">
      <c r="A778" s="16">
        <v>71</v>
      </c>
      <c r="B778" s="16">
        <v>9200130216</v>
      </c>
      <c r="C778" s="16" t="s">
        <v>752</v>
      </c>
      <c r="D778" s="16" t="s">
        <v>43</v>
      </c>
      <c r="E778" s="16" t="s">
        <v>123</v>
      </c>
      <c r="F778" s="39" t="s">
        <v>753</v>
      </c>
      <c r="G778" s="16">
        <v>7000</v>
      </c>
      <c r="H778" s="16" t="s">
        <v>141</v>
      </c>
      <c r="I778" s="16">
        <v>110</v>
      </c>
      <c r="J778" s="16">
        <f>G778*I778</f>
        <v>770000</v>
      </c>
      <c r="K778" s="16">
        <v>6595</v>
      </c>
      <c r="L778" s="16" t="s">
        <v>141</v>
      </c>
      <c r="M778" s="16" t="s">
        <v>91</v>
      </c>
      <c r="N778" s="16" t="s">
        <v>754</v>
      </c>
      <c r="O778" s="16">
        <v>6595</v>
      </c>
      <c r="P778" s="16">
        <v>110</v>
      </c>
      <c r="Q778" s="16">
        <f>O778*P778</f>
        <v>725450</v>
      </c>
      <c r="R778" s="18">
        <v>0</v>
      </c>
      <c r="S778" s="16">
        <f>Q778*R778</f>
        <v>0</v>
      </c>
      <c r="T778" s="16">
        <f>Q778+S778</f>
        <v>725450</v>
      </c>
      <c r="U778" s="16" t="s">
        <v>1229</v>
      </c>
      <c r="V778" s="19" t="s">
        <v>1228</v>
      </c>
      <c r="W778" s="146">
        <v>45814</v>
      </c>
    </row>
    <row r="779" spans="1:23" x14ac:dyDescent="0.3">
      <c r="A779" s="1"/>
      <c r="B779" s="1"/>
      <c r="C779" s="1"/>
      <c r="D779" s="1"/>
      <c r="E779" s="16" t="s">
        <v>123</v>
      </c>
      <c r="F779" s="16" t="s">
        <v>755</v>
      </c>
      <c r="G779" s="16">
        <v>7000</v>
      </c>
      <c r="H779" s="16" t="s">
        <v>141</v>
      </c>
      <c r="I779" s="16">
        <v>10</v>
      </c>
      <c r="J779" s="16">
        <f t="shared" ref="J779:J815" si="169">G779*I779</f>
        <v>70000</v>
      </c>
      <c r="K779" s="16"/>
      <c r="L779" s="16"/>
      <c r="M779" s="16"/>
      <c r="N779" s="16"/>
      <c r="O779" s="16">
        <v>6595</v>
      </c>
      <c r="P779" s="16">
        <v>10</v>
      </c>
      <c r="Q779" s="16">
        <f t="shared" ref="Q779:Q783" si="170">O779*P779</f>
        <v>65950</v>
      </c>
      <c r="R779" s="18">
        <v>0</v>
      </c>
      <c r="S779" s="16">
        <f t="shared" ref="S779:S783" si="171">Q779*R779</f>
        <v>0</v>
      </c>
      <c r="T779" s="16">
        <f t="shared" ref="T779:T783" si="172">Q779+S779</f>
        <v>65950</v>
      </c>
      <c r="U779" s="16" t="s">
        <v>1229</v>
      </c>
      <c r="V779" s="19" t="s">
        <v>1228</v>
      </c>
      <c r="W779" s="146">
        <v>45814</v>
      </c>
    </row>
    <row r="780" spans="1:23" x14ac:dyDescent="0.3">
      <c r="A780" s="1"/>
      <c r="B780" s="1"/>
      <c r="C780" s="1"/>
      <c r="D780" s="1"/>
      <c r="E780" s="16" t="s">
        <v>123</v>
      </c>
      <c r="F780" s="16" t="s">
        <v>756</v>
      </c>
      <c r="G780" s="16">
        <v>1</v>
      </c>
      <c r="H780" s="16" t="s">
        <v>87</v>
      </c>
      <c r="I780" s="16">
        <v>9000</v>
      </c>
      <c r="J780" s="16">
        <f t="shared" si="169"/>
        <v>9000</v>
      </c>
      <c r="K780" s="16"/>
      <c r="L780" s="16"/>
      <c r="M780" s="16"/>
      <c r="N780" s="16"/>
      <c r="O780" s="16">
        <v>1</v>
      </c>
      <c r="P780" s="16">
        <v>9000</v>
      </c>
      <c r="Q780" s="16">
        <f t="shared" si="170"/>
        <v>9000</v>
      </c>
      <c r="R780" s="18">
        <v>0</v>
      </c>
      <c r="S780" s="16">
        <f t="shared" si="171"/>
        <v>0</v>
      </c>
      <c r="T780" s="16">
        <f t="shared" si="172"/>
        <v>9000</v>
      </c>
      <c r="U780" s="16" t="s">
        <v>1229</v>
      </c>
      <c r="V780" s="19" t="s">
        <v>1228</v>
      </c>
      <c r="W780" s="146">
        <v>45814</v>
      </c>
    </row>
    <row r="781" spans="1:23" x14ac:dyDescent="0.3">
      <c r="A781" s="1"/>
      <c r="B781" s="1"/>
      <c r="C781" s="1"/>
      <c r="D781" s="1"/>
      <c r="E781" s="16" t="s">
        <v>123</v>
      </c>
      <c r="F781" s="16" t="s">
        <v>757</v>
      </c>
      <c r="G781" s="16">
        <v>1</v>
      </c>
      <c r="H781" s="16" t="s">
        <v>87</v>
      </c>
      <c r="I781" s="16">
        <v>9200</v>
      </c>
      <c r="J781" s="16">
        <f t="shared" si="169"/>
        <v>9200</v>
      </c>
      <c r="K781" s="16"/>
      <c r="L781" s="16"/>
      <c r="M781" s="16"/>
      <c r="N781" s="16"/>
      <c r="O781" s="16">
        <v>1</v>
      </c>
      <c r="P781" s="16">
        <v>9200</v>
      </c>
      <c r="Q781" s="16">
        <f t="shared" si="170"/>
        <v>9200</v>
      </c>
      <c r="R781" s="18">
        <v>0</v>
      </c>
      <c r="S781" s="16">
        <f t="shared" si="171"/>
        <v>0</v>
      </c>
      <c r="T781" s="16">
        <f t="shared" si="172"/>
        <v>9200</v>
      </c>
      <c r="U781" s="16" t="s">
        <v>1229</v>
      </c>
      <c r="V781" s="19" t="s">
        <v>1228</v>
      </c>
      <c r="W781" s="146">
        <v>45814</v>
      </c>
    </row>
    <row r="782" spans="1:23" ht="25.2" x14ac:dyDescent="0.3">
      <c r="A782" s="1"/>
      <c r="B782" s="1"/>
      <c r="C782" s="1"/>
      <c r="D782" s="1"/>
      <c r="E782" s="16" t="s">
        <v>123</v>
      </c>
      <c r="F782" s="39" t="s">
        <v>758</v>
      </c>
      <c r="G782" s="16">
        <v>3600</v>
      </c>
      <c r="H782" s="16" t="s">
        <v>111</v>
      </c>
      <c r="I782" s="16">
        <v>18</v>
      </c>
      <c r="J782" s="16">
        <f t="shared" si="169"/>
        <v>64800</v>
      </c>
      <c r="K782" s="16" t="s">
        <v>759</v>
      </c>
      <c r="L782" s="16" t="s">
        <v>760</v>
      </c>
      <c r="M782" s="16" t="s">
        <v>91</v>
      </c>
      <c r="N782" s="16" t="s">
        <v>761</v>
      </c>
      <c r="O782" s="16">
        <v>3600</v>
      </c>
      <c r="P782" s="16">
        <v>18</v>
      </c>
      <c r="Q782" s="16">
        <f t="shared" si="170"/>
        <v>64800</v>
      </c>
      <c r="R782" s="18">
        <v>0</v>
      </c>
      <c r="S782" s="16">
        <f t="shared" si="171"/>
        <v>0</v>
      </c>
      <c r="T782" s="16">
        <f t="shared" si="172"/>
        <v>64800</v>
      </c>
      <c r="U782" s="16" t="s">
        <v>1229</v>
      </c>
      <c r="V782" s="19" t="s">
        <v>1228</v>
      </c>
      <c r="W782" s="146">
        <v>45814</v>
      </c>
    </row>
    <row r="783" spans="1:23" x14ac:dyDescent="0.3">
      <c r="A783" s="1"/>
      <c r="B783" s="1"/>
      <c r="C783" s="1"/>
      <c r="D783" s="1"/>
      <c r="E783" s="16" t="s">
        <v>123</v>
      </c>
      <c r="F783" s="16" t="s">
        <v>762</v>
      </c>
      <c r="G783" s="16">
        <v>7000</v>
      </c>
      <c r="H783" s="16" t="s">
        <v>111</v>
      </c>
      <c r="I783" s="16">
        <v>19</v>
      </c>
      <c r="J783" s="16">
        <f t="shared" si="169"/>
        <v>133000</v>
      </c>
      <c r="K783" s="16"/>
      <c r="L783" s="16"/>
      <c r="M783" s="16"/>
      <c r="N783" s="16"/>
      <c r="O783" s="16">
        <v>7000</v>
      </c>
      <c r="P783" s="16">
        <v>19</v>
      </c>
      <c r="Q783" s="16">
        <f t="shared" si="170"/>
        <v>133000</v>
      </c>
      <c r="R783" s="18">
        <v>0</v>
      </c>
      <c r="S783" s="16">
        <f t="shared" si="171"/>
        <v>0</v>
      </c>
      <c r="T783" s="16">
        <f t="shared" si="172"/>
        <v>133000</v>
      </c>
      <c r="U783" s="16" t="s">
        <v>1229</v>
      </c>
      <c r="V783" s="19" t="s">
        <v>1228</v>
      </c>
      <c r="W783" s="146">
        <v>45814</v>
      </c>
    </row>
    <row r="784" spans="1:23" x14ac:dyDescent="0.3">
      <c r="A784" s="1"/>
      <c r="B784" s="1"/>
      <c r="C784" s="1"/>
      <c r="D784" s="1"/>
      <c r="E784" s="1"/>
      <c r="F784" s="1"/>
      <c r="G784" s="1"/>
      <c r="H784" s="1"/>
      <c r="I784" s="1"/>
      <c r="J784" s="1"/>
      <c r="K784" s="1"/>
      <c r="L784" s="1"/>
      <c r="M784" s="1"/>
      <c r="N784" s="1"/>
      <c r="O784" s="1"/>
      <c r="P784" s="1"/>
      <c r="Q784" s="1"/>
      <c r="R784" s="1"/>
      <c r="S784" s="1"/>
      <c r="T784" s="1"/>
      <c r="U784" s="1"/>
      <c r="V784" s="1"/>
      <c r="W784" s="142"/>
    </row>
    <row r="785" spans="1:23" x14ac:dyDescent="0.3">
      <c r="A785" s="124"/>
      <c r="B785" s="88" t="s">
        <v>39</v>
      </c>
      <c r="C785" s="88"/>
      <c r="D785" s="88"/>
      <c r="E785" s="88"/>
      <c r="F785" s="88"/>
      <c r="G785" s="2"/>
      <c r="H785" s="2"/>
      <c r="I785" s="2"/>
      <c r="J785" s="124">
        <f>SUM(J778:J784)</f>
        <v>1056000</v>
      </c>
      <c r="K785" s="2"/>
      <c r="L785" s="2"/>
      <c r="M785" s="2"/>
      <c r="N785" s="2"/>
      <c r="O785" s="2"/>
      <c r="P785" s="2"/>
      <c r="Q785" s="2"/>
      <c r="R785" s="2"/>
      <c r="S785" s="2"/>
      <c r="T785" s="2"/>
      <c r="U785" s="2"/>
      <c r="V785" s="2"/>
      <c r="W785" s="142"/>
    </row>
    <row r="786" spans="1:23" x14ac:dyDescent="0.3">
      <c r="A786" s="124"/>
      <c r="B786" s="88" t="s">
        <v>599</v>
      </c>
      <c r="C786" s="88"/>
      <c r="D786" s="88"/>
      <c r="E786" s="88"/>
      <c r="F786" s="88"/>
      <c r="G786" s="2"/>
      <c r="H786" s="2"/>
      <c r="I786" s="2"/>
      <c r="J786" s="124">
        <f>J785*0/100</f>
        <v>0</v>
      </c>
      <c r="K786" s="2"/>
      <c r="L786" s="2"/>
      <c r="M786" s="2"/>
      <c r="N786" s="2"/>
      <c r="O786" s="2"/>
      <c r="P786" s="2"/>
      <c r="Q786" s="2"/>
      <c r="R786" s="2"/>
      <c r="S786" s="2"/>
      <c r="T786" s="2"/>
      <c r="U786" s="2"/>
      <c r="V786" s="2"/>
      <c r="W786" s="142"/>
    </row>
    <row r="787" spans="1:23" x14ac:dyDescent="0.3">
      <c r="A787" s="124"/>
      <c r="B787" s="88" t="s">
        <v>41</v>
      </c>
      <c r="C787" s="88"/>
      <c r="D787" s="88"/>
      <c r="E787" s="88"/>
      <c r="F787" s="88"/>
      <c r="G787" s="2"/>
      <c r="H787" s="2"/>
      <c r="I787" s="2"/>
      <c r="J787" s="124">
        <f>SUM(J785:J786)</f>
        <v>1056000</v>
      </c>
      <c r="K787" s="2"/>
      <c r="L787" s="2"/>
      <c r="M787" s="2"/>
      <c r="N787" s="2"/>
      <c r="O787" s="2"/>
      <c r="P787" s="2"/>
      <c r="Q787" s="2"/>
      <c r="R787" s="2"/>
      <c r="S787" s="2"/>
      <c r="T787" s="2">
        <f>SUM(T778:T786)</f>
        <v>1007400</v>
      </c>
      <c r="U787" s="2"/>
      <c r="V787" s="2"/>
      <c r="W787" s="142"/>
    </row>
    <row r="788" spans="1:23" x14ac:dyDescent="0.3">
      <c r="A788" s="124"/>
      <c r="B788" s="88"/>
      <c r="C788" s="88"/>
      <c r="D788" s="88"/>
      <c r="E788" s="88"/>
      <c r="F788" s="88"/>
      <c r="G788" s="2"/>
      <c r="H788" s="2"/>
      <c r="I788" s="2"/>
      <c r="J788" s="124"/>
      <c r="K788" s="2"/>
      <c r="L788" s="2"/>
      <c r="M788" s="2"/>
      <c r="N788" s="2"/>
      <c r="O788" s="2"/>
      <c r="P788" s="2"/>
      <c r="Q788" s="2"/>
      <c r="R788" s="2"/>
      <c r="S788" s="2"/>
      <c r="T788" s="2"/>
      <c r="U788" s="2"/>
      <c r="V788" s="2"/>
      <c r="W788" s="142"/>
    </row>
    <row r="789" spans="1:23" ht="25.2" x14ac:dyDescent="0.3">
      <c r="A789" s="85">
        <v>72</v>
      </c>
      <c r="B789" s="85">
        <v>9200130372</v>
      </c>
      <c r="C789" s="85" t="s">
        <v>1405</v>
      </c>
      <c r="D789" s="85" t="s">
        <v>43</v>
      </c>
      <c r="E789" s="16" t="s">
        <v>123</v>
      </c>
      <c r="F789" s="39" t="s">
        <v>1261</v>
      </c>
      <c r="G789" s="16">
        <v>50</v>
      </c>
      <c r="H789" s="16" t="s">
        <v>252</v>
      </c>
      <c r="I789" s="16">
        <v>384</v>
      </c>
      <c r="J789" s="16">
        <f t="shared" si="169"/>
        <v>19200</v>
      </c>
      <c r="K789" s="16">
        <v>40</v>
      </c>
      <c r="L789" s="16" t="s">
        <v>810</v>
      </c>
      <c r="M789" s="16" t="s">
        <v>91</v>
      </c>
      <c r="N789" s="16" t="s">
        <v>1260</v>
      </c>
      <c r="O789" s="16">
        <v>50</v>
      </c>
      <c r="P789" s="16">
        <v>384</v>
      </c>
      <c r="Q789" s="16">
        <f>O789*P789</f>
        <v>19200</v>
      </c>
      <c r="R789" s="18">
        <v>0</v>
      </c>
      <c r="S789" s="16">
        <f>Q789*R789</f>
        <v>0</v>
      </c>
      <c r="T789" s="16">
        <f>Q789+S789</f>
        <v>19200</v>
      </c>
      <c r="U789" s="16" t="s">
        <v>1406</v>
      </c>
      <c r="V789" s="19">
        <v>45876</v>
      </c>
      <c r="W789" s="142" t="s">
        <v>1621</v>
      </c>
    </row>
    <row r="790" spans="1:23" ht="25.2" x14ac:dyDescent="0.3">
      <c r="A790" s="85"/>
      <c r="B790" s="85"/>
      <c r="C790" s="85"/>
      <c r="D790" s="85"/>
      <c r="E790" s="16" t="s">
        <v>123</v>
      </c>
      <c r="F790" s="39" t="s">
        <v>763</v>
      </c>
      <c r="G790" s="16">
        <v>1</v>
      </c>
      <c r="H790" s="16" t="s">
        <v>87</v>
      </c>
      <c r="I790" s="16">
        <v>26000</v>
      </c>
      <c r="J790" s="16">
        <f t="shared" si="169"/>
        <v>26000</v>
      </c>
      <c r="K790" s="16" t="s">
        <v>1262</v>
      </c>
      <c r="L790" s="16"/>
      <c r="M790" s="16"/>
      <c r="N790" s="16"/>
      <c r="O790" s="16">
        <v>1</v>
      </c>
      <c r="P790" s="16">
        <v>26000</v>
      </c>
      <c r="Q790" s="16">
        <f t="shared" ref="Q790:Q793" si="173">O790*P790</f>
        <v>26000</v>
      </c>
      <c r="R790" s="18">
        <v>0</v>
      </c>
      <c r="S790" s="16">
        <f t="shared" ref="S790:S793" si="174">Q790*R790</f>
        <v>0</v>
      </c>
      <c r="T790" s="16">
        <f t="shared" ref="T790:T793" si="175">Q790+S790</f>
        <v>26000</v>
      </c>
      <c r="U790" s="16" t="s">
        <v>1406</v>
      </c>
      <c r="V790" s="19">
        <v>45876</v>
      </c>
      <c r="W790" s="142" t="s">
        <v>1621</v>
      </c>
    </row>
    <row r="791" spans="1:23" ht="25.2" x14ac:dyDescent="0.3">
      <c r="A791" s="85"/>
      <c r="B791" s="85"/>
      <c r="C791" s="85"/>
      <c r="D791" s="85"/>
      <c r="E791" s="16" t="s">
        <v>123</v>
      </c>
      <c r="F791" s="39" t="s">
        <v>764</v>
      </c>
      <c r="G791" s="16">
        <v>1</v>
      </c>
      <c r="H791" s="16" t="s">
        <v>87</v>
      </c>
      <c r="I791" s="16">
        <v>52000</v>
      </c>
      <c r="J791" s="16">
        <f t="shared" si="169"/>
        <v>52000</v>
      </c>
      <c r="K791" s="16"/>
      <c r="L791" s="16"/>
      <c r="M791" s="16"/>
      <c r="N791" s="16"/>
      <c r="O791" s="16">
        <v>1</v>
      </c>
      <c r="P791" s="16">
        <v>52000</v>
      </c>
      <c r="Q791" s="16">
        <f t="shared" si="173"/>
        <v>52000</v>
      </c>
      <c r="R791" s="18">
        <v>0</v>
      </c>
      <c r="S791" s="16">
        <f t="shared" si="174"/>
        <v>0</v>
      </c>
      <c r="T791" s="16">
        <f t="shared" si="175"/>
        <v>52000</v>
      </c>
      <c r="U791" s="16" t="s">
        <v>1406</v>
      </c>
      <c r="V791" s="19">
        <v>45876</v>
      </c>
      <c r="W791" s="142" t="s">
        <v>1621</v>
      </c>
    </row>
    <row r="792" spans="1:23" ht="25.2" x14ac:dyDescent="0.3">
      <c r="A792" s="85"/>
      <c r="B792" s="85"/>
      <c r="C792" s="85"/>
      <c r="D792" s="85" t="s">
        <v>1466</v>
      </c>
      <c r="E792" s="161" t="s">
        <v>123</v>
      </c>
      <c r="F792" s="162" t="s">
        <v>765</v>
      </c>
      <c r="G792" s="161">
        <v>400</v>
      </c>
      <c r="H792" s="161" t="s">
        <v>111</v>
      </c>
      <c r="I792" s="161">
        <v>120</v>
      </c>
      <c r="J792" s="161">
        <f t="shared" si="169"/>
        <v>48000</v>
      </c>
      <c r="K792" s="85"/>
      <c r="L792" s="85"/>
      <c r="M792" s="85"/>
      <c r="N792" s="85"/>
      <c r="O792" s="85"/>
      <c r="P792" s="85"/>
      <c r="Q792" s="85">
        <f t="shared" si="173"/>
        <v>0</v>
      </c>
      <c r="R792" s="104">
        <v>0</v>
      </c>
      <c r="S792" s="85">
        <f t="shared" si="174"/>
        <v>0</v>
      </c>
      <c r="T792" s="85">
        <f t="shared" si="175"/>
        <v>0</v>
      </c>
      <c r="U792" s="85"/>
      <c r="V792" s="94"/>
      <c r="W792" s="142"/>
    </row>
    <row r="793" spans="1:23" ht="25.2" x14ac:dyDescent="0.3">
      <c r="A793" s="85"/>
      <c r="B793" s="85"/>
      <c r="C793" s="85"/>
      <c r="D793" s="85"/>
      <c r="E793" s="161" t="s">
        <v>123</v>
      </c>
      <c r="F793" s="162" t="s">
        <v>766</v>
      </c>
      <c r="G793" s="161">
        <v>1000</v>
      </c>
      <c r="H793" s="161" t="s">
        <v>111</v>
      </c>
      <c r="I793" s="161">
        <v>24</v>
      </c>
      <c r="J793" s="161">
        <f t="shared" si="169"/>
        <v>24000</v>
      </c>
      <c r="K793" s="85"/>
      <c r="L793" s="85"/>
      <c r="M793" s="85"/>
      <c r="N793" s="85"/>
      <c r="O793" s="85"/>
      <c r="P793" s="85"/>
      <c r="Q793" s="85">
        <f t="shared" si="173"/>
        <v>0</v>
      </c>
      <c r="R793" s="104">
        <v>0</v>
      </c>
      <c r="S793" s="85">
        <f t="shared" si="174"/>
        <v>0</v>
      </c>
      <c r="T793" s="85">
        <f t="shared" si="175"/>
        <v>0</v>
      </c>
      <c r="U793" s="85"/>
      <c r="V793" s="94"/>
      <c r="W793" s="142"/>
    </row>
    <row r="794" spans="1:23" x14ac:dyDescent="0.3">
      <c r="A794" s="1"/>
      <c r="B794" s="2"/>
      <c r="C794" s="2"/>
      <c r="D794" s="2"/>
      <c r="E794" s="2"/>
      <c r="F794" s="2"/>
      <c r="G794" s="2"/>
      <c r="H794" s="2"/>
      <c r="I794" s="2"/>
      <c r="J794" s="1"/>
      <c r="K794" s="158" t="s">
        <v>1398</v>
      </c>
      <c r="L794" s="159"/>
      <c r="M794" s="159" t="s">
        <v>91</v>
      </c>
      <c r="N794" s="159" t="s">
        <v>1399</v>
      </c>
      <c r="O794" s="2"/>
      <c r="P794" s="2"/>
      <c r="Q794" s="2"/>
      <c r="R794" s="2"/>
      <c r="S794" s="2"/>
      <c r="T794" s="1"/>
      <c r="U794" s="2"/>
      <c r="V794" s="2"/>
      <c r="W794" s="142"/>
    </row>
    <row r="795" spans="1:23" x14ac:dyDescent="0.3">
      <c r="A795" s="124"/>
      <c r="B795" s="88" t="s">
        <v>39</v>
      </c>
      <c r="C795" s="88"/>
      <c r="D795" s="88"/>
      <c r="E795" s="88"/>
      <c r="F795" s="88"/>
      <c r="G795" s="2"/>
      <c r="H795" s="2"/>
      <c r="I795" s="2"/>
      <c r="J795" s="124">
        <f>SUM(J789:J794)</f>
        <v>169200</v>
      </c>
      <c r="K795" s="2"/>
      <c r="L795" s="2"/>
      <c r="M795" s="2"/>
      <c r="N795" s="2"/>
      <c r="O795" s="2"/>
      <c r="P795" s="2"/>
      <c r="Q795" s="2"/>
      <c r="R795" s="2"/>
      <c r="S795" s="2"/>
      <c r="T795" s="1">
        <f>SUM(T789:T794)</f>
        <v>97200</v>
      </c>
      <c r="U795" s="2"/>
      <c r="V795" s="2"/>
      <c r="W795" s="142"/>
    </row>
    <row r="796" spans="1:23" x14ac:dyDescent="0.3">
      <c r="A796" s="124"/>
      <c r="B796" s="88" t="s">
        <v>599</v>
      </c>
      <c r="C796" s="88"/>
      <c r="D796" s="88"/>
      <c r="E796" s="88"/>
      <c r="F796" s="88"/>
      <c r="G796" s="2"/>
      <c r="H796" s="2"/>
      <c r="I796" s="2"/>
      <c r="J796" s="124">
        <f>J795*0/100</f>
        <v>0</v>
      </c>
      <c r="K796" s="2"/>
      <c r="L796" s="2"/>
      <c r="M796" s="2"/>
      <c r="N796" s="2"/>
      <c r="O796" s="2"/>
      <c r="P796" s="2"/>
      <c r="Q796" s="2"/>
      <c r="R796" s="2"/>
      <c r="S796" s="2"/>
      <c r="T796" s="2"/>
      <c r="U796" s="2"/>
      <c r="V796" s="2"/>
      <c r="W796" s="142"/>
    </row>
    <row r="797" spans="1:23" x14ac:dyDescent="0.3">
      <c r="A797" s="124"/>
      <c r="B797" s="88" t="s">
        <v>41</v>
      </c>
      <c r="C797" s="88"/>
      <c r="D797" s="88"/>
      <c r="E797" s="88"/>
      <c r="F797" s="88"/>
      <c r="G797" s="2"/>
      <c r="H797" s="2"/>
      <c r="I797" s="2"/>
      <c r="J797" s="124">
        <f>SUM(J795:J796)</f>
        <v>169200</v>
      </c>
      <c r="K797" s="2"/>
      <c r="L797" s="2"/>
      <c r="M797" s="2"/>
      <c r="N797" s="2"/>
      <c r="O797" s="2"/>
      <c r="P797" s="2"/>
      <c r="Q797" s="2"/>
      <c r="R797" s="2"/>
      <c r="S797" s="2"/>
      <c r="T797" s="2"/>
      <c r="U797" s="2"/>
      <c r="V797" s="2"/>
      <c r="W797" s="142"/>
    </row>
    <row r="798" spans="1:23" x14ac:dyDescent="0.3">
      <c r="A798" s="124"/>
      <c r="B798" s="88"/>
      <c r="C798" s="88"/>
      <c r="D798" s="88"/>
      <c r="E798" s="88"/>
      <c r="F798" s="88"/>
      <c r="G798" s="2"/>
      <c r="H798" s="2"/>
      <c r="I798" s="2"/>
      <c r="J798" s="124"/>
      <c r="K798" s="2"/>
      <c r="L798" s="2"/>
      <c r="M798" s="2"/>
      <c r="N798" s="2"/>
      <c r="O798" s="2"/>
      <c r="P798" s="2"/>
      <c r="Q798" s="2"/>
      <c r="R798" s="2"/>
      <c r="S798" s="2"/>
      <c r="T798" s="2"/>
      <c r="U798" s="2"/>
      <c r="V798" s="2"/>
      <c r="W798" s="142"/>
    </row>
    <row r="799" spans="1:23" x14ac:dyDescent="0.3">
      <c r="A799" s="16">
        <v>73</v>
      </c>
      <c r="B799" s="16">
        <v>8600053522</v>
      </c>
      <c r="C799" s="16" t="s">
        <v>767</v>
      </c>
      <c r="D799" s="16" t="s">
        <v>43</v>
      </c>
      <c r="E799" s="16" t="s">
        <v>127</v>
      </c>
      <c r="F799" s="16" t="s">
        <v>768</v>
      </c>
      <c r="G799" s="16">
        <v>200</v>
      </c>
      <c r="H799" s="16" t="s">
        <v>60</v>
      </c>
      <c r="I799" s="16">
        <v>95</v>
      </c>
      <c r="J799" s="16">
        <f t="shared" si="169"/>
        <v>19000</v>
      </c>
      <c r="K799" s="16"/>
      <c r="L799" s="16"/>
      <c r="M799" s="16"/>
      <c r="N799" s="16"/>
      <c r="O799" s="16">
        <v>200</v>
      </c>
      <c r="P799" s="16">
        <v>95</v>
      </c>
      <c r="Q799" s="16">
        <f>O799*P799</f>
        <v>19000</v>
      </c>
      <c r="R799" s="18">
        <v>0</v>
      </c>
      <c r="S799" s="16">
        <f>Q799*R799</f>
        <v>0</v>
      </c>
      <c r="T799" s="16">
        <f>Q799+S799</f>
        <v>19000</v>
      </c>
      <c r="U799" s="16" t="s">
        <v>769</v>
      </c>
      <c r="V799" s="19" t="s">
        <v>770</v>
      </c>
      <c r="W799" s="148">
        <v>45994</v>
      </c>
    </row>
    <row r="800" spans="1:23" x14ac:dyDescent="0.3">
      <c r="A800" s="1"/>
      <c r="B800" s="1"/>
      <c r="C800" s="1"/>
      <c r="D800" s="1"/>
      <c r="E800" s="16" t="s">
        <v>127</v>
      </c>
      <c r="F800" s="16" t="s">
        <v>771</v>
      </c>
      <c r="G800" s="16">
        <v>200</v>
      </c>
      <c r="H800" s="16" t="s">
        <v>60</v>
      </c>
      <c r="I800" s="16">
        <v>60</v>
      </c>
      <c r="J800" s="16">
        <f t="shared" si="169"/>
        <v>12000</v>
      </c>
      <c r="K800" s="16"/>
      <c r="L800" s="16"/>
      <c r="M800" s="16"/>
      <c r="N800" s="16"/>
      <c r="O800" s="16">
        <v>200</v>
      </c>
      <c r="P800" s="16">
        <v>60</v>
      </c>
      <c r="Q800" s="16">
        <f t="shared" ref="Q800:Q815" si="176">O800*P800</f>
        <v>12000</v>
      </c>
      <c r="R800" s="18">
        <v>0</v>
      </c>
      <c r="S800" s="16">
        <f t="shared" ref="S800:S815" si="177">Q800*R800</f>
        <v>0</v>
      </c>
      <c r="T800" s="16">
        <f t="shared" ref="T800:T815" si="178">Q800+S800</f>
        <v>12000</v>
      </c>
      <c r="U800" s="16" t="s">
        <v>769</v>
      </c>
      <c r="V800" s="19" t="s">
        <v>770</v>
      </c>
      <c r="W800" s="148">
        <v>45994</v>
      </c>
    </row>
    <row r="801" spans="1:23" x14ac:dyDescent="0.3">
      <c r="A801" s="1"/>
      <c r="B801" s="1"/>
      <c r="C801" s="1"/>
      <c r="D801" s="1"/>
      <c r="E801" s="16" t="s">
        <v>127</v>
      </c>
      <c r="F801" s="16" t="s">
        <v>772</v>
      </c>
      <c r="G801" s="16">
        <v>200</v>
      </c>
      <c r="H801" s="16" t="s">
        <v>60</v>
      </c>
      <c r="I801" s="16">
        <v>280</v>
      </c>
      <c r="J801" s="16">
        <f t="shared" si="169"/>
        <v>56000</v>
      </c>
      <c r="K801" s="16"/>
      <c r="L801" s="16"/>
      <c r="M801" s="16"/>
      <c r="N801" s="16"/>
      <c r="O801" s="16">
        <v>200</v>
      </c>
      <c r="P801" s="16">
        <v>280</v>
      </c>
      <c r="Q801" s="16">
        <f t="shared" si="176"/>
        <v>56000</v>
      </c>
      <c r="R801" s="18">
        <v>0</v>
      </c>
      <c r="S801" s="16">
        <f t="shared" si="177"/>
        <v>0</v>
      </c>
      <c r="T801" s="16">
        <f t="shared" si="178"/>
        <v>56000</v>
      </c>
      <c r="U801" s="16" t="s">
        <v>769</v>
      </c>
      <c r="V801" s="19" t="s">
        <v>770</v>
      </c>
      <c r="W801" s="148">
        <v>45994</v>
      </c>
    </row>
    <row r="802" spans="1:23" x14ac:dyDescent="0.3">
      <c r="A802" s="1"/>
      <c r="B802" s="1"/>
      <c r="C802" s="1"/>
      <c r="D802" s="1"/>
      <c r="E802" s="16" t="s">
        <v>127</v>
      </c>
      <c r="F802" s="16" t="s">
        <v>773</v>
      </c>
      <c r="G802" s="16">
        <v>100</v>
      </c>
      <c r="H802" s="16" t="s">
        <v>53</v>
      </c>
      <c r="I802" s="16">
        <v>16</v>
      </c>
      <c r="J802" s="16">
        <f t="shared" si="169"/>
        <v>1600</v>
      </c>
      <c r="K802" s="16"/>
      <c r="L802" s="16"/>
      <c r="M802" s="16"/>
      <c r="N802" s="16"/>
      <c r="O802" s="16">
        <v>100</v>
      </c>
      <c r="P802" s="16">
        <v>16</v>
      </c>
      <c r="Q802" s="16">
        <f t="shared" si="176"/>
        <v>1600</v>
      </c>
      <c r="R802" s="18">
        <v>0</v>
      </c>
      <c r="S802" s="16">
        <f t="shared" si="177"/>
        <v>0</v>
      </c>
      <c r="T802" s="16">
        <f t="shared" si="178"/>
        <v>1600</v>
      </c>
      <c r="U802" s="16" t="s">
        <v>769</v>
      </c>
      <c r="V802" s="19" t="s">
        <v>770</v>
      </c>
      <c r="W802" s="148">
        <v>45994</v>
      </c>
    </row>
    <row r="803" spans="1:23" x14ac:dyDescent="0.3">
      <c r="A803" s="1"/>
      <c r="B803" s="1"/>
      <c r="C803" s="1"/>
      <c r="D803" s="1"/>
      <c r="E803" s="16" t="s">
        <v>127</v>
      </c>
      <c r="F803" s="16" t="s">
        <v>774</v>
      </c>
      <c r="G803" s="16">
        <v>150</v>
      </c>
      <c r="H803" s="16" t="s">
        <v>28</v>
      </c>
      <c r="I803" s="16">
        <v>10</v>
      </c>
      <c r="J803" s="16">
        <f t="shared" si="169"/>
        <v>1500</v>
      </c>
      <c r="K803" s="16"/>
      <c r="L803" s="16"/>
      <c r="M803" s="16"/>
      <c r="N803" s="16"/>
      <c r="O803" s="16">
        <v>150</v>
      </c>
      <c r="P803" s="16">
        <v>10</v>
      </c>
      <c r="Q803" s="16">
        <f t="shared" si="176"/>
        <v>1500</v>
      </c>
      <c r="R803" s="18">
        <v>0</v>
      </c>
      <c r="S803" s="16">
        <f t="shared" si="177"/>
        <v>0</v>
      </c>
      <c r="T803" s="16">
        <f t="shared" si="178"/>
        <v>1500</v>
      </c>
      <c r="U803" s="16" t="s">
        <v>769</v>
      </c>
      <c r="V803" s="19" t="s">
        <v>770</v>
      </c>
      <c r="W803" s="148">
        <v>45994</v>
      </c>
    </row>
    <row r="804" spans="1:23" ht="25.2" x14ac:dyDescent="0.3">
      <c r="A804" s="1"/>
      <c r="B804" s="1"/>
      <c r="C804" s="1"/>
      <c r="D804" s="1"/>
      <c r="E804" s="16" t="s">
        <v>127</v>
      </c>
      <c r="F804" s="39" t="s">
        <v>775</v>
      </c>
      <c r="G804" s="16">
        <v>20</v>
      </c>
      <c r="H804" s="16" t="s">
        <v>28</v>
      </c>
      <c r="I804" s="16">
        <v>690</v>
      </c>
      <c r="J804" s="16">
        <f t="shared" si="169"/>
        <v>13800</v>
      </c>
      <c r="K804" s="16"/>
      <c r="L804" s="16"/>
      <c r="M804" s="16"/>
      <c r="N804" s="16"/>
      <c r="O804" s="16">
        <v>20</v>
      </c>
      <c r="P804" s="16">
        <v>690</v>
      </c>
      <c r="Q804" s="16">
        <f t="shared" si="176"/>
        <v>13800</v>
      </c>
      <c r="R804" s="18">
        <v>0</v>
      </c>
      <c r="S804" s="16">
        <f t="shared" si="177"/>
        <v>0</v>
      </c>
      <c r="T804" s="16">
        <f t="shared" si="178"/>
        <v>13800</v>
      </c>
      <c r="U804" s="97" t="s">
        <v>776</v>
      </c>
      <c r="V804" s="110" t="s">
        <v>126</v>
      </c>
      <c r="W804" s="148">
        <v>45994</v>
      </c>
    </row>
    <row r="805" spans="1:23" x14ac:dyDescent="0.3">
      <c r="A805" s="1"/>
      <c r="B805" s="1"/>
      <c r="C805" s="1"/>
      <c r="D805" s="1"/>
      <c r="E805" s="16" t="s">
        <v>127</v>
      </c>
      <c r="F805" s="16" t="s">
        <v>777</v>
      </c>
      <c r="G805" s="16">
        <v>50</v>
      </c>
      <c r="H805" s="16" t="s">
        <v>28</v>
      </c>
      <c r="I805" s="16">
        <v>50</v>
      </c>
      <c r="J805" s="16">
        <f t="shared" si="169"/>
        <v>2500</v>
      </c>
      <c r="K805" s="16"/>
      <c r="L805" s="16"/>
      <c r="M805" s="16"/>
      <c r="N805" s="16"/>
      <c r="O805" s="16">
        <v>50</v>
      </c>
      <c r="P805" s="16">
        <v>50</v>
      </c>
      <c r="Q805" s="16">
        <f t="shared" si="176"/>
        <v>2500</v>
      </c>
      <c r="R805" s="18">
        <v>0</v>
      </c>
      <c r="S805" s="16">
        <f t="shared" si="177"/>
        <v>0</v>
      </c>
      <c r="T805" s="16">
        <f t="shared" si="178"/>
        <v>2500</v>
      </c>
      <c r="U805" s="16" t="s">
        <v>769</v>
      </c>
      <c r="V805" s="19" t="s">
        <v>770</v>
      </c>
      <c r="W805" s="148">
        <v>45994</v>
      </c>
    </row>
    <row r="806" spans="1:23" x14ac:dyDescent="0.25">
      <c r="A806" s="1"/>
      <c r="B806" s="1"/>
      <c r="C806" s="1"/>
      <c r="D806" s="1"/>
      <c r="E806" s="16" t="s">
        <v>127</v>
      </c>
      <c r="F806" s="93" t="s">
        <v>778</v>
      </c>
      <c r="G806" s="16">
        <v>50</v>
      </c>
      <c r="H806" s="16" t="s">
        <v>28</v>
      </c>
      <c r="I806" s="16">
        <v>59</v>
      </c>
      <c r="J806" s="16">
        <f t="shared" si="169"/>
        <v>2950</v>
      </c>
      <c r="K806" s="16"/>
      <c r="L806" s="16"/>
      <c r="M806" s="16"/>
      <c r="N806" s="16"/>
      <c r="O806" s="16">
        <v>50</v>
      </c>
      <c r="P806" s="16">
        <v>59</v>
      </c>
      <c r="Q806" s="16">
        <f t="shared" si="176"/>
        <v>2950</v>
      </c>
      <c r="R806" s="18">
        <v>0</v>
      </c>
      <c r="S806" s="16">
        <f t="shared" si="177"/>
        <v>0</v>
      </c>
      <c r="T806" s="16">
        <f t="shared" si="178"/>
        <v>2950</v>
      </c>
      <c r="U806" s="16" t="s">
        <v>769</v>
      </c>
      <c r="V806" s="19" t="s">
        <v>770</v>
      </c>
      <c r="W806" s="148">
        <v>45994</v>
      </c>
    </row>
    <row r="807" spans="1:23" x14ac:dyDescent="0.3">
      <c r="A807" s="1"/>
      <c r="B807" s="1"/>
      <c r="C807" s="1"/>
      <c r="D807" s="1"/>
      <c r="E807" s="16" t="s">
        <v>127</v>
      </c>
      <c r="F807" s="16" t="s">
        <v>779</v>
      </c>
      <c r="G807" s="16">
        <v>80</v>
      </c>
      <c r="H807" s="16" t="s">
        <v>28</v>
      </c>
      <c r="I807" s="16">
        <v>125</v>
      </c>
      <c r="J807" s="16">
        <f t="shared" si="169"/>
        <v>10000</v>
      </c>
      <c r="K807" s="16"/>
      <c r="L807" s="16"/>
      <c r="M807" s="16"/>
      <c r="N807" s="16"/>
      <c r="O807" s="16">
        <v>80</v>
      </c>
      <c r="P807" s="16">
        <v>125</v>
      </c>
      <c r="Q807" s="16">
        <f t="shared" si="176"/>
        <v>10000</v>
      </c>
      <c r="R807" s="18">
        <v>0</v>
      </c>
      <c r="S807" s="16">
        <f t="shared" si="177"/>
        <v>0</v>
      </c>
      <c r="T807" s="16">
        <f t="shared" si="178"/>
        <v>10000</v>
      </c>
      <c r="U807" s="16" t="s">
        <v>769</v>
      </c>
      <c r="V807" s="19" t="s">
        <v>770</v>
      </c>
      <c r="W807" s="148">
        <v>45994</v>
      </c>
    </row>
    <row r="808" spans="1:23" ht="25.2" x14ac:dyDescent="0.3">
      <c r="A808" s="1"/>
      <c r="B808" s="1"/>
      <c r="C808" s="1"/>
      <c r="D808" s="1"/>
      <c r="E808" s="16" t="s">
        <v>127</v>
      </c>
      <c r="F808" s="39" t="s">
        <v>780</v>
      </c>
      <c r="G808" s="16">
        <v>60</v>
      </c>
      <c r="H808" s="16" t="s">
        <v>28</v>
      </c>
      <c r="I808" s="16">
        <v>650</v>
      </c>
      <c r="J808" s="16">
        <f t="shared" si="169"/>
        <v>39000</v>
      </c>
      <c r="K808" s="16"/>
      <c r="L808" s="16"/>
      <c r="M808" s="16"/>
      <c r="N808" s="16"/>
      <c r="O808" s="16">
        <v>60</v>
      </c>
      <c r="P808" s="16">
        <v>650</v>
      </c>
      <c r="Q808" s="16">
        <f t="shared" si="176"/>
        <v>39000</v>
      </c>
      <c r="R808" s="18">
        <v>0</v>
      </c>
      <c r="S808" s="16">
        <f t="shared" si="177"/>
        <v>0</v>
      </c>
      <c r="T808" s="16">
        <f t="shared" si="178"/>
        <v>39000</v>
      </c>
      <c r="U808" s="97" t="s">
        <v>776</v>
      </c>
      <c r="V808" s="110" t="s">
        <v>126</v>
      </c>
      <c r="W808" s="148">
        <v>45994</v>
      </c>
    </row>
    <row r="809" spans="1:23" x14ac:dyDescent="0.3">
      <c r="A809" s="1"/>
      <c r="B809" s="1"/>
      <c r="C809" s="1"/>
      <c r="D809" s="1"/>
      <c r="E809" s="16" t="s">
        <v>127</v>
      </c>
      <c r="F809" s="16" t="s">
        <v>781</v>
      </c>
      <c r="G809" s="16">
        <v>20</v>
      </c>
      <c r="H809" s="16" t="s">
        <v>28</v>
      </c>
      <c r="I809" s="16">
        <v>95</v>
      </c>
      <c r="J809" s="16">
        <f t="shared" si="169"/>
        <v>1900</v>
      </c>
      <c r="K809" s="16"/>
      <c r="L809" s="16"/>
      <c r="M809" s="16"/>
      <c r="N809" s="16"/>
      <c r="O809" s="16">
        <v>20</v>
      </c>
      <c r="P809" s="16">
        <v>95</v>
      </c>
      <c r="Q809" s="16">
        <f t="shared" si="176"/>
        <v>1900</v>
      </c>
      <c r="R809" s="18">
        <v>0</v>
      </c>
      <c r="S809" s="16">
        <f t="shared" si="177"/>
        <v>0</v>
      </c>
      <c r="T809" s="16">
        <f t="shared" si="178"/>
        <v>1900</v>
      </c>
      <c r="U809" s="16" t="s">
        <v>769</v>
      </c>
      <c r="V809" s="19" t="s">
        <v>770</v>
      </c>
      <c r="W809" s="148">
        <v>45994</v>
      </c>
    </row>
    <row r="810" spans="1:23" x14ac:dyDescent="0.3">
      <c r="A810" s="1"/>
      <c r="B810" s="1"/>
      <c r="C810" s="1"/>
      <c r="D810" s="1"/>
      <c r="E810" s="16" t="s">
        <v>127</v>
      </c>
      <c r="F810" s="16" t="s">
        <v>782</v>
      </c>
      <c r="G810" s="16">
        <v>20</v>
      </c>
      <c r="H810" s="16" t="s">
        <v>28</v>
      </c>
      <c r="I810" s="16">
        <v>155</v>
      </c>
      <c r="J810" s="16">
        <f t="shared" si="169"/>
        <v>3100</v>
      </c>
      <c r="K810" s="16"/>
      <c r="L810" s="16"/>
      <c r="M810" s="16"/>
      <c r="N810" s="16"/>
      <c r="O810" s="16">
        <v>20</v>
      </c>
      <c r="P810" s="16">
        <v>155</v>
      </c>
      <c r="Q810" s="16">
        <f t="shared" si="176"/>
        <v>3100</v>
      </c>
      <c r="R810" s="18">
        <v>0</v>
      </c>
      <c r="S810" s="16">
        <f t="shared" si="177"/>
        <v>0</v>
      </c>
      <c r="T810" s="16">
        <f t="shared" si="178"/>
        <v>3100</v>
      </c>
      <c r="U810" s="16" t="s">
        <v>769</v>
      </c>
      <c r="V810" s="19" t="s">
        <v>770</v>
      </c>
      <c r="W810" s="148">
        <v>45994</v>
      </c>
    </row>
    <row r="811" spans="1:23" x14ac:dyDescent="0.3">
      <c r="A811" s="1"/>
      <c r="B811" s="1"/>
      <c r="C811" s="1"/>
      <c r="D811" s="1"/>
      <c r="E811" s="16" t="s">
        <v>127</v>
      </c>
      <c r="F811" s="16" t="s">
        <v>783</v>
      </c>
      <c r="G811" s="16">
        <v>50</v>
      </c>
      <c r="H811" s="16" t="s">
        <v>28</v>
      </c>
      <c r="I811" s="16">
        <v>205</v>
      </c>
      <c r="J811" s="16">
        <f t="shared" si="169"/>
        <v>10250</v>
      </c>
      <c r="K811" s="16"/>
      <c r="L811" s="16"/>
      <c r="M811" s="16"/>
      <c r="N811" s="16"/>
      <c r="O811" s="16">
        <v>50</v>
      </c>
      <c r="P811" s="16">
        <v>205</v>
      </c>
      <c r="Q811" s="16">
        <f t="shared" si="176"/>
        <v>10250</v>
      </c>
      <c r="R811" s="18">
        <v>0</v>
      </c>
      <c r="S811" s="16">
        <f t="shared" si="177"/>
        <v>0</v>
      </c>
      <c r="T811" s="16">
        <f t="shared" si="178"/>
        <v>10250</v>
      </c>
      <c r="U811" s="97" t="s">
        <v>776</v>
      </c>
      <c r="V811" s="110" t="s">
        <v>126</v>
      </c>
      <c r="W811" s="148">
        <v>45994</v>
      </c>
    </row>
    <row r="812" spans="1:23" ht="25.2" x14ac:dyDescent="0.3">
      <c r="A812" s="1"/>
      <c r="B812" s="1"/>
      <c r="C812" s="1"/>
      <c r="D812" s="1"/>
      <c r="E812" s="16" t="s">
        <v>127</v>
      </c>
      <c r="F812" s="39" t="s">
        <v>784</v>
      </c>
      <c r="G812" s="16">
        <v>5</v>
      </c>
      <c r="H812" s="16" t="s">
        <v>28</v>
      </c>
      <c r="I812" s="16">
        <v>1450</v>
      </c>
      <c r="J812" s="16">
        <f t="shared" si="169"/>
        <v>7250</v>
      </c>
      <c r="K812" s="16"/>
      <c r="L812" s="16"/>
      <c r="M812" s="16"/>
      <c r="N812" s="16"/>
      <c r="O812" s="16">
        <v>5</v>
      </c>
      <c r="P812" s="16">
        <v>1450</v>
      </c>
      <c r="Q812" s="16">
        <f t="shared" si="176"/>
        <v>7250</v>
      </c>
      <c r="R812" s="18">
        <v>0</v>
      </c>
      <c r="S812" s="16">
        <f t="shared" si="177"/>
        <v>0</v>
      </c>
      <c r="T812" s="16">
        <f t="shared" si="178"/>
        <v>7250</v>
      </c>
      <c r="U812" s="16" t="s">
        <v>769</v>
      </c>
      <c r="V812" s="19" t="s">
        <v>770</v>
      </c>
      <c r="W812" s="148">
        <v>45994</v>
      </c>
    </row>
    <row r="813" spans="1:23" x14ac:dyDescent="0.3">
      <c r="A813" s="1"/>
      <c r="B813" s="1"/>
      <c r="C813" s="1"/>
      <c r="D813" s="1"/>
      <c r="E813" s="16" t="s">
        <v>127</v>
      </c>
      <c r="F813" s="16" t="s">
        <v>785</v>
      </c>
      <c r="G813" s="16">
        <v>25</v>
      </c>
      <c r="H813" s="16" t="s">
        <v>28</v>
      </c>
      <c r="I813" s="16">
        <v>450</v>
      </c>
      <c r="J813" s="16">
        <f t="shared" si="169"/>
        <v>11250</v>
      </c>
      <c r="K813" s="16"/>
      <c r="L813" s="16"/>
      <c r="M813" s="16"/>
      <c r="N813" s="16"/>
      <c r="O813" s="16">
        <v>25</v>
      </c>
      <c r="P813" s="16">
        <v>450</v>
      </c>
      <c r="Q813" s="16">
        <f t="shared" si="176"/>
        <v>11250</v>
      </c>
      <c r="R813" s="18">
        <v>0</v>
      </c>
      <c r="S813" s="16">
        <f t="shared" si="177"/>
        <v>0</v>
      </c>
      <c r="T813" s="16">
        <f t="shared" si="178"/>
        <v>11250</v>
      </c>
      <c r="U813" s="97" t="s">
        <v>776</v>
      </c>
      <c r="V813" s="110" t="s">
        <v>126</v>
      </c>
      <c r="W813" s="148">
        <v>45994</v>
      </c>
    </row>
    <row r="814" spans="1:23" x14ac:dyDescent="0.3">
      <c r="A814" s="1"/>
      <c r="B814" s="1"/>
      <c r="C814" s="1"/>
      <c r="D814" s="1"/>
      <c r="E814" s="16" t="s">
        <v>127</v>
      </c>
      <c r="F814" s="16" t="s">
        <v>786</v>
      </c>
      <c r="G814" s="16">
        <v>30</v>
      </c>
      <c r="H814" s="16" t="s">
        <v>28</v>
      </c>
      <c r="I814" s="16">
        <v>65</v>
      </c>
      <c r="J814" s="16">
        <f t="shared" si="169"/>
        <v>1950</v>
      </c>
      <c r="K814" s="16"/>
      <c r="L814" s="16"/>
      <c r="M814" s="16"/>
      <c r="N814" s="16"/>
      <c r="O814" s="16">
        <v>30</v>
      </c>
      <c r="P814" s="16">
        <v>65</v>
      </c>
      <c r="Q814" s="16">
        <f t="shared" si="176"/>
        <v>1950</v>
      </c>
      <c r="R814" s="18">
        <v>0</v>
      </c>
      <c r="S814" s="16">
        <f t="shared" si="177"/>
        <v>0</v>
      </c>
      <c r="T814" s="16">
        <f t="shared" si="178"/>
        <v>1950</v>
      </c>
      <c r="U814" s="16" t="s">
        <v>769</v>
      </c>
      <c r="V814" s="19" t="s">
        <v>770</v>
      </c>
      <c r="W814" s="148">
        <v>45994</v>
      </c>
    </row>
    <row r="815" spans="1:23" x14ac:dyDescent="0.3">
      <c r="A815" s="1"/>
      <c r="B815" s="1"/>
      <c r="C815" s="1"/>
      <c r="D815" s="1"/>
      <c r="E815" s="16" t="s">
        <v>127</v>
      </c>
      <c r="F815" s="16" t="s">
        <v>787</v>
      </c>
      <c r="G815" s="16">
        <v>50</v>
      </c>
      <c r="H815" s="16" t="s">
        <v>28</v>
      </c>
      <c r="I815" s="16">
        <v>200</v>
      </c>
      <c r="J815" s="16">
        <f t="shared" si="169"/>
        <v>10000</v>
      </c>
      <c r="K815" s="16"/>
      <c r="L815" s="16"/>
      <c r="M815" s="16"/>
      <c r="N815" s="16"/>
      <c r="O815" s="16">
        <v>50</v>
      </c>
      <c r="P815" s="16">
        <v>200</v>
      </c>
      <c r="Q815" s="16">
        <f t="shared" si="176"/>
        <v>10000</v>
      </c>
      <c r="R815" s="18">
        <v>0</v>
      </c>
      <c r="S815" s="16">
        <f t="shared" si="177"/>
        <v>0</v>
      </c>
      <c r="T815" s="16">
        <f t="shared" si="178"/>
        <v>10000</v>
      </c>
      <c r="U815" s="16" t="s">
        <v>769</v>
      </c>
      <c r="V815" s="19" t="s">
        <v>770</v>
      </c>
      <c r="W815" s="148">
        <v>45994</v>
      </c>
    </row>
    <row r="816" spans="1:23" x14ac:dyDescent="0.3">
      <c r="A816" s="124"/>
      <c r="B816" s="124"/>
      <c r="C816" s="124"/>
      <c r="D816" s="124"/>
      <c r="E816" s="124"/>
      <c r="F816" s="124" t="s">
        <v>39</v>
      </c>
      <c r="G816" s="1"/>
      <c r="H816" s="1"/>
      <c r="I816" s="1"/>
      <c r="J816" s="1">
        <f>SUM(J799:J815)</f>
        <v>204050</v>
      </c>
      <c r="K816" s="1"/>
      <c r="L816" s="1"/>
      <c r="M816" s="1"/>
      <c r="N816" s="1"/>
      <c r="O816" s="1"/>
      <c r="P816" s="1"/>
      <c r="Q816" s="1"/>
      <c r="R816" s="1"/>
      <c r="S816" s="1"/>
      <c r="T816" s="1">
        <f>SUM(T799:T815)</f>
        <v>204050</v>
      </c>
      <c r="U816" s="1"/>
      <c r="V816" s="1"/>
      <c r="W816" s="143"/>
    </row>
    <row r="817" spans="1:23" x14ac:dyDescent="0.3">
      <c r="A817" s="124"/>
      <c r="B817" s="124"/>
      <c r="C817" s="124"/>
      <c r="D817" s="124"/>
      <c r="E817" s="124"/>
      <c r="F817" s="124" t="s">
        <v>599</v>
      </c>
      <c r="G817" s="1"/>
      <c r="H817" s="1"/>
      <c r="I817" s="1"/>
      <c r="J817" s="1">
        <f>J816*0/100</f>
        <v>0</v>
      </c>
      <c r="K817" s="1"/>
      <c r="L817" s="1"/>
      <c r="M817" s="1"/>
      <c r="N817" s="1"/>
      <c r="O817" s="1"/>
      <c r="P817" s="1"/>
      <c r="Q817" s="1"/>
      <c r="R817" s="1"/>
      <c r="S817" s="1"/>
      <c r="T817" s="1"/>
      <c r="U817" s="1"/>
      <c r="V817" s="1"/>
      <c r="W817" s="143"/>
    </row>
    <row r="818" spans="1:23" x14ac:dyDescent="0.3">
      <c r="A818" s="124"/>
      <c r="B818" s="124"/>
      <c r="C818" s="124"/>
      <c r="D818" s="124"/>
      <c r="E818" s="124"/>
      <c r="F818" s="124" t="s">
        <v>41</v>
      </c>
      <c r="G818" s="1"/>
      <c r="H818" s="1"/>
      <c r="I818" s="1"/>
      <c r="J818" s="1">
        <f>SUM(J816:J817)</f>
        <v>204050</v>
      </c>
      <c r="K818" s="1"/>
      <c r="L818" s="1"/>
      <c r="M818" s="1"/>
      <c r="N818" s="1"/>
      <c r="O818" s="1"/>
      <c r="P818" s="1"/>
      <c r="Q818" s="1"/>
      <c r="R818" s="1"/>
      <c r="S818" s="1"/>
      <c r="T818" s="1"/>
      <c r="U818" s="1"/>
      <c r="V818" s="1"/>
      <c r="W818" s="143"/>
    </row>
    <row r="819" spans="1:23" x14ac:dyDescent="0.3">
      <c r="A819" s="1"/>
      <c r="B819" s="2"/>
      <c r="C819" s="2"/>
      <c r="D819" s="2"/>
      <c r="E819" s="2"/>
      <c r="F819" s="2"/>
      <c r="G819" s="2"/>
      <c r="H819" s="2"/>
      <c r="I819" s="2"/>
      <c r="J819" s="2"/>
      <c r="K819" s="2"/>
      <c r="L819" s="2"/>
      <c r="M819" s="2"/>
      <c r="N819" s="2"/>
      <c r="O819" s="2"/>
      <c r="P819" s="2"/>
      <c r="Q819" s="2"/>
      <c r="R819" s="2"/>
      <c r="S819" s="2"/>
      <c r="T819" s="2"/>
      <c r="U819" s="2"/>
      <c r="V819" s="2"/>
      <c r="W819" s="142"/>
    </row>
    <row r="820" spans="1:23" x14ac:dyDescent="0.3">
      <c r="A820" s="1">
        <v>74</v>
      </c>
      <c r="B820" s="1">
        <v>8600053532</v>
      </c>
      <c r="C820" s="1" t="s">
        <v>767</v>
      </c>
      <c r="D820" s="1" t="s">
        <v>43</v>
      </c>
      <c r="E820" s="1" t="s">
        <v>127</v>
      </c>
      <c r="F820" s="16" t="s">
        <v>788</v>
      </c>
      <c r="G820" s="16">
        <v>60</v>
      </c>
      <c r="H820" s="16" t="s">
        <v>28</v>
      </c>
      <c r="I820" s="16">
        <v>1191</v>
      </c>
      <c r="J820" s="16">
        <f>G820*I820</f>
        <v>71460</v>
      </c>
      <c r="K820" s="16"/>
      <c r="L820" s="16"/>
      <c r="M820" s="16"/>
      <c r="N820" s="16"/>
      <c r="O820" s="16">
        <v>60</v>
      </c>
      <c r="P820" s="16">
        <v>1191</v>
      </c>
      <c r="Q820" s="16">
        <f>O820*P820</f>
        <v>71460</v>
      </c>
      <c r="R820" s="18">
        <v>0</v>
      </c>
      <c r="S820" s="16">
        <f>Q820*R820</f>
        <v>0</v>
      </c>
      <c r="T820" s="16">
        <f>Q820+S820</f>
        <v>71460</v>
      </c>
      <c r="U820" s="16" t="s">
        <v>789</v>
      </c>
      <c r="V820" s="19" t="s">
        <v>770</v>
      </c>
      <c r="W820" s="142" t="s">
        <v>1048</v>
      </c>
    </row>
    <row r="821" spans="1:23" x14ac:dyDescent="0.3">
      <c r="A821" s="1"/>
      <c r="B821" s="1"/>
      <c r="C821" s="1"/>
      <c r="D821" s="1"/>
      <c r="E821" s="1" t="s">
        <v>127</v>
      </c>
      <c r="F821" s="16" t="s">
        <v>790</v>
      </c>
      <c r="G821" s="16">
        <v>20</v>
      </c>
      <c r="H821" s="16" t="s">
        <v>28</v>
      </c>
      <c r="I821" s="16">
        <v>4600</v>
      </c>
      <c r="J821" s="16">
        <f t="shared" ref="J821:J849" si="179">G821*I821</f>
        <v>92000</v>
      </c>
      <c r="K821" s="16"/>
      <c r="L821" s="16"/>
      <c r="M821" s="16"/>
      <c r="N821" s="16"/>
      <c r="O821" s="16">
        <v>20</v>
      </c>
      <c r="P821" s="16">
        <v>4600</v>
      </c>
      <c r="Q821" s="16">
        <f t="shared" ref="Q821:Q828" si="180">O821*P821</f>
        <v>92000</v>
      </c>
      <c r="R821" s="18">
        <v>0</v>
      </c>
      <c r="S821" s="16">
        <f t="shared" ref="S821:S828" si="181">Q821*R821</f>
        <v>0</v>
      </c>
      <c r="T821" s="16">
        <f t="shared" ref="T821:T828" si="182">Q821+S821</f>
        <v>92000</v>
      </c>
      <c r="U821" s="16" t="s">
        <v>789</v>
      </c>
      <c r="V821" s="19" t="s">
        <v>770</v>
      </c>
      <c r="W821" s="142" t="s">
        <v>1048</v>
      </c>
    </row>
    <row r="822" spans="1:23" x14ac:dyDescent="0.3">
      <c r="A822" s="1"/>
      <c r="B822" s="1"/>
      <c r="C822" s="1"/>
      <c r="D822" s="1"/>
      <c r="E822" s="1" t="s">
        <v>127</v>
      </c>
      <c r="F822" s="16" t="s">
        <v>791</v>
      </c>
      <c r="G822" s="16">
        <v>10</v>
      </c>
      <c r="H822" s="16" t="s">
        <v>28</v>
      </c>
      <c r="I822" s="16">
        <v>8400</v>
      </c>
      <c r="J822" s="16">
        <f t="shared" si="179"/>
        <v>84000</v>
      </c>
      <c r="K822" s="16"/>
      <c r="L822" s="16"/>
      <c r="M822" s="16"/>
      <c r="N822" s="16"/>
      <c r="O822" s="16">
        <v>10</v>
      </c>
      <c r="P822" s="16">
        <v>8400</v>
      </c>
      <c r="Q822" s="16">
        <f t="shared" si="180"/>
        <v>84000</v>
      </c>
      <c r="R822" s="18">
        <v>0</v>
      </c>
      <c r="S822" s="16">
        <f t="shared" si="181"/>
        <v>0</v>
      </c>
      <c r="T822" s="16">
        <f t="shared" si="182"/>
        <v>84000</v>
      </c>
      <c r="U822" s="16" t="s">
        <v>789</v>
      </c>
      <c r="V822" s="19" t="s">
        <v>770</v>
      </c>
      <c r="W822" s="142" t="s">
        <v>1048</v>
      </c>
    </row>
    <row r="823" spans="1:23" x14ac:dyDescent="0.3">
      <c r="A823" s="1"/>
      <c r="B823" s="1"/>
      <c r="C823" s="1"/>
      <c r="D823" s="1"/>
      <c r="E823" s="1" t="s">
        <v>127</v>
      </c>
      <c r="F823" s="16" t="s">
        <v>792</v>
      </c>
      <c r="G823" s="16">
        <v>25</v>
      </c>
      <c r="H823" s="16" t="s">
        <v>28</v>
      </c>
      <c r="I823" s="16">
        <v>4600</v>
      </c>
      <c r="J823" s="16">
        <f t="shared" si="179"/>
        <v>115000</v>
      </c>
      <c r="K823" s="16"/>
      <c r="L823" s="16"/>
      <c r="M823" s="16"/>
      <c r="N823" s="16"/>
      <c r="O823" s="16">
        <v>25</v>
      </c>
      <c r="P823" s="16">
        <v>4600</v>
      </c>
      <c r="Q823" s="16">
        <f t="shared" si="180"/>
        <v>115000</v>
      </c>
      <c r="R823" s="18">
        <v>0</v>
      </c>
      <c r="S823" s="16">
        <f t="shared" si="181"/>
        <v>0</v>
      </c>
      <c r="T823" s="16">
        <f t="shared" si="182"/>
        <v>115000</v>
      </c>
      <c r="U823" s="16" t="s">
        <v>789</v>
      </c>
      <c r="V823" s="19" t="s">
        <v>770</v>
      </c>
      <c r="W823" s="142" t="s">
        <v>1048</v>
      </c>
    </row>
    <row r="824" spans="1:23" x14ac:dyDescent="0.3">
      <c r="A824" s="1"/>
      <c r="B824" s="1"/>
      <c r="C824" s="1"/>
      <c r="D824" s="1"/>
      <c r="E824" s="1" t="s">
        <v>127</v>
      </c>
      <c r="F824" s="16" t="s">
        <v>793</v>
      </c>
      <c r="G824" s="16">
        <v>20</v>
      </c>
      <c r="H824" s="16" t="s">
        <v>28</v>
      </c>
      <c r="I824" s="16">
        <v>50</v>
      </c>
      <c r="J824" s="16">
        <f t="shared" si="179"/>
        <v>1000</v>
      </c>
      <c r="K824" s="16"/>
      <c r="L824" s="16"/>
      <c r="M824" s="16"/>
      <c r="N824" s="16"/>
      <c r="O824" s="16">
        <v>20</v>
      </c>
      <c r="P824" s="16">
        <v>50</v>
      </c>
      <c r="Q824" s="16">
        <f t="shared" si="180"/>
        <v>1000</v>
      </c>
      <c r="R824" s="18">
        <v>0</v>
      </c>
      <c r="S824" s="16">
        <f t="shared" si="181"/>
        <v>0</v>
      </c>
      <c r="T824" s="16">
        <f t="shared" si="182"/>
        <v>1000</v>
      </c>
      <c r="U824" s="16" t="s">
        <v>789</v>
      </c>
      <c r="V824" s="19" t="s">
        <v>770</v>
      </c>
      <c r="W824" s="142" t="s">
        <v>1048</v>
      </c>
    </row>
    <row r="825" spans="1:23" x14ac:dyDescent="0.3">
      <c r="A825" s="1"/>
      <c r="B825" s="1"/>
      <c r="C825" s="1"/>
      <c r="D825" s="1"/>
      <c r="E825" s="1" t="s">
        <v>127</v>
      </c>
      <c r="F825" s="16" t="s">
        <v>794</v>
      </c>
      <c r="G825" s="16">
        <v>10</v>
      </c>
      <c r="H825" s="16" t="s">
        <v>28</v>
      </c>
      <c r="I825" s="16">
        <v>189</v>
      </c>
      <c r="J825" s="16">
        <f t="shared" si="179"/>
        <v>1890</v>
      </c>
      <c r="K825" s="16"/>
      <c r="L825" s="16"/>
      <c r="M825" s="16"/>
      <c r="N825" s="16"/>
      <c r="O825" s="16">
        <v>10</v>
      </c>
      <c r="P825" s="16">
        <v>189</v>
      </c>
      <c r="Q825" s="16">
        <f t="shared" si="180"/>
        <v>1890</v>
      </c>
      <c r="R825" s="18">
        <v>0</v>
      </c>
      <c r="S825" s="16">
        <f t="shared" si="181"/>
        <v>0</v>
      </c>
      <c r="T825" s="16">
        <f t="shared" si="182"/>
        <v>1890</v>
      </c>
      <c r="U825" s="16" t="s">
        <v>789</v>
      </c>
      <c r="V825" s="19" t="s">
        <v>770</v>
      </c>
      <c r="W825" s="142" t="s">
        <v>1048</v>
      </c>
    </row>
    <row r="826" spans="1:23" x14ac:dyDescent="0.3">
      <c r="A826" s="1"/>
      <c r="B826" s="1"/>
      <c r="C826" s="1"/>
      <c r="D826" s="1"/>
      <c r="E826" s="1" t="s">
        <v>127</v>
      </c>
      <c r="F826" s="16" t="s">
        <v>795</v>
      </c>
      <c r="G826" s="16">
        <v>10</v>
      </c>
      <c r="H826" s="16" t="s">
        <v>28</v>
      </c>
      <c r="I826" s="16">
        <v>55</v>
      </c>
      <c r="J826" s="16">
        <f t="shared" si="179"/>
        <v>550</v>
      </c>
      <c r="K826" s="16"/>
      <c r="L826" s="16"/>
      <c r="M826" s="16"/>
      <c r="N826" s="16"/>
      <c r="O826" s="16">
        <v>10</v>
      </c>
      <c r="P826" s="16">
        <v>55</v>
      </c>
      <c r="Q826" s="16">
        <f t="shared" si="180"/>
        <v>550</v>
      </c>
      <c r="R826" s="18">
        <v>0</v>
      </c>
      <c r="S826" s="16">
        <f t="shared" si="181"/>
        <v>0</v>
      </c>
      <c r="T826" s="16">
        <f t="shared" si="182"/>
        <v>550</v>
      </c>
      <c r="U826" s="16" t="s">
        <v>789</v>
      </c>
      <c r="V826" s="19" t="s">
        <v>770</v>
      </c>
      <c r="W826" s="142" t="s">
        <v>1048</v>
      </c>
    </row>
    <row r="827" spans="1:23" x14ac:dyDescent="0.3">
      <c r="A827" s="1"/>
      <c r="B827" s="1"/>
      <c r="C827" s="1"/>
      <c r="D827" s="1"/>
      <c r="E827" s="1" t="s">
        <v>127</v>
      </c>
      <c r="F827" s="16" t="s">
        <v>796</v>
      </c>
      <c r="G827" s="16">
        <v>25</v>
      </c>
      <c r="H827" s="16" t="s">
        <v>28</v>
      </c>
      <c r="I827" s="16">
        <v>290</v>
      </c>
      <c r="J827" s="16">
        <f t="shared" si="179"/>
        <v>7250</v>
      </c>
      <c r="K827" s="16"/>
      <c r="L827" s="16"/>
      <c r="M827" s="16"/>
      <c r="N827" s="16"/>
      <c r="O827" s="16">
        <v>25</v>
      </c>
      <c r="P827" s="16">
        <v>290</v>
      </c>
      <c r="Q827" s="16">
        <f t="shared" si="180"/>
        <v>7250</v>
      </c>
      <c r="R827" s="18">
        <v>0</v>
      </c>
      <c r="S827" s="16">
        <f t="shared" si="181"/>
        <v>0</v>
      </c>
      <c r="T827" s="16">
        <f t="shared" si="182"/>
        <v>7250</v>
      </c>
      <c r="U827" s="16" t="s">
        <v>789</v>
      </c>
      <c r="V827" s="19" t="s">
        <v>770</v>
      </c>
      <c r="W827" s="142" t="s">
        <v>1048</v>
      </c>
    </row>
    <row r="828" spans="1:23" x14ac:dyDescent="0.3">
      <c r="A828" s="1"/>
      <c r="B828" s="1"/>
      <c r="C828" s="1"/>
      <c r="D828" s="1"/>
      <c r="E828" s="1" t="s">
        <v>127</v>
      </c>
      <c r="F828" s="16" t="s">
        <v>797</v>
      </c>
      <c r="G828" s="16">
        <v>20</v>
      </c>
      <c r="H828" s="16" t="s">
        <v>28</v>
      </c>
      <c r="I828" s="16">
        <v>20</v>
      </c>
      <c r="J828" s="16">
        <f t="shared" si="179"/>
        <v>400</v>
      </c>
      <c r="K828" s="16"/>
      <c r="L828" s="16"/>
      <c r="M828" s="16"/>
      <c r="N828" s="16"/>
      <c r="O828" s="16">
        <v>20</v>
      </c>
      <c r="P828" s="16">
        <v>20</v>
      </c>
      <c r="Q828" s="16">
        <f t="shared" si="180"/>
        <v>400</v>
      </c>
      <c r="R828" s="18">
        <v>0</v>
      </c>
      <c r="S828" s="16">
        <f t="shared" si="181"/>
        <v>0</v>
      </c>
      <c r="T828" s="16">
        <f t="shared" si="182"/>
        <v>400</v>
      </c>
      <c r="U828" s="16" t="s">
        <v>789</v>
      </c>
      <c r="V828" s="19" t="s">
        <v>770</v>
      </c>
      <c r="W828" s="142" t="s">
        <v>1048</v>
      </c>
    </row>
    <row r="829" spans="1:23" x14ac:dyDescent="0.3">
      <c r="A829" s="1"/>
      <c r="B829" s="1"/>
      <c r="C829" s="1"/>
      <c r="D829" s="1"/>
      <c r="E829" s="1" t="s">
        <v>127</v>
      </c>
      <c r="F829" s="81" t="s">
        <v>798</v>
      </c>
      <c r="G829" s="1">
        <v>20</v>
      </c>
      <c r="H829" s="1" t="s">
        <v>28</v>
      </c>
      <c r="I829" s="1">
        <v>2450</v>
      </c>
      <c r="J829" s="1">
        <f t="shared" si="179"/>
        <v>49000</v>
      </c>
      <c r="K829" s="1"/>
      <c r="L829" s="1"/>
      <c r="M829" s="1"/>
      <c r="N829" s="1"/>
      <c r="O829" s="1"/>
      <c r="P829" s="1">
        <v>2450</v>
      </c>
      <c r="Q829" s="1"/>
      <c r="R829" s="1"/>
      <c r="S829" s="1"/>
      <c r="T829" s="1"/>
      <c r="U829" s="1"/>
      <c r="V829" s="1"/>
      <c r="W829" s="142"/>
    </row>
    <row r="830" spans="1:23" x14ac:dyDescent="0.3">
      <c r="A830" s="124"/>
      <c r="B830" s="124"/>
      <c r="C830" s="124"/>
      <c r="D830" s="124"/>
      <c r="E830" s="124"/>
      <c r="F830" s="124" t="s">
        <v>39</v>
      </c>
      <c r="G830" s="1"/>
      <c r="H830" s="1"/>
      <c r="I830" s="1"/>
      <c r="J830" s="124">
        <f>SUM(J820:J829)</f>
        <v>422550</v>
      </c>
      <c r="K830" s="1"/>
      <c r="L830" s="1"/>
      <c r="M830" s="1"/>
      <c r="N830" s="1"/>
      <c r="O830" s="1"/>
      <c r="P830" s="1"/>
      <c r="Q830" s="1"/>
      <c r="R830" s="1"/>
      <c r="S830" s="1"/>
      <c r="T830" s="1">
        <f>SUM(T820:T829)</f>
        <v>373550</v>
      </c>
      <c r="U830" s="1"/>
      <c r="V830" s="1"/>
      <c r="W830" s="142"/>
    </row>
    <row r="831" spans="1:23" x14ac:dyDescent="0.3">
      <c r="A831" s="124"/>
      <c r="B831" s="124"/>
      <c r="C831" s="124"/>
      <c r="D831" s="124"/>
      <c r="E831" s="124"/>
      <c r="F831" s="124" t="s">
        <v>599</v>
      </c>
      <c r="G831" s="1"/>
      <c r="H831" s="1"/>
      <c r="I831" s="1"/>
      <c r="J831" s="124">
        <f>J830*0/100</f>
        <v>0</v>
      </c>
      <c r="K831" s="1"/>
      <c r="L831" s="1"/>
      <c r="M831" s="1"/>
      <c r="N831" s="1"/>
      <c r="O831" s="1"/>
      <c r="P831" s="1"/>
      <c r="Q831" s="1"/>
      <c r="R831" s="1"/>
      <c r="S831" s="1"/>
      <c r="T831" s="1"/>
      <c r="U831" s="1"/>
      <c r="V831" s="1"/>
      <c r="W831" s="142"/>
    </row>
    <row r="832" spans="1:23" x14ac:dyDescent="0.3">
      <c r="A832" s="124"/>
      <c r="B832" s="124"/>
      <c r="C832" s="124"/>
      <c r="D832" s="124"/>
      <c r="E832" s="124"/>
      <c r="F832" s="124" t="s">
        <v>41</v>
      </c>
      <c r="G832" s="1"/>
      <c r="H832" s="1"/>
      <c r="I832" s="1"/>
      <c r="J832" s="124">
        <f>SUM(J830:J831)</f>
        <v>422550</v>
      </c>
      <c r="K832" s="1"/>
      <c r="L832" s="1"/>
      <c r="M832" s="1"/>
      <c r="N832" s="1"/>
      <c r="O832" s="1"/>
      <c r="P832" s="1"/>
      <c r="Q832" s="1"/>
      <c r="R832" s="1"/>
      <c r="S832" s="1"/>
      <c r="T832" s="1"/>
      <c r="U832" s="1"/>
      <c r="V832" s="1"/>
      <c r="W832" s="142"/>
    </row>
    <row r="833" spans="1:23" x14ac:dyDescent="0.3">
      <c r="A833" s="1"/>
      <c r="B833" s="1"/>
      <c r="C833" s="1"/>
      <c r="D833" s="1"/>
      <c r="E833" s="1"/>
      <c r="F833" s="1"/>
      <c r="G833" s="1"/>
      <c r="H833" s="1"/>
      <c r="I833" s="1"/>
      <c r="J833" s="1">
        <f t="shared" si="179"/>
        <v>0</v>
      </c>
      <c r="K833" s="1"/>
      <c r="L833" s="1"/>
      <c r="M833" s="1"/>
      <c r="N833" s="1"/>
      <c r="O833" s="1"/>
      <c r="P833" s="1"/>
      <c r="Q833" s="1"/>
      <c r="R833" s="1"/>
      <c r="S833" s="1"/>
      <c r="T833" s="1"/>
      <c r="U833" s="1"/>
      <c r="V833" s="1"/>
      <c r="W833" s="142"/>
    </row>
    <row r="834" spans="1:23" x14ac:dyDescent="0.3">
      <c r="A834" s="16">
        <v>75</v>
      </c>
      <c r="B834" s="16">
        <v>8100016787</v>
      </c>
      <c r="C834" s="19">
        <v>45779</v>
      </c>
      <c r="D834" s="16" t="s">
        <v>799</v>
      </c>
      <c r="E834" s="16" t="s">
        <v>123</v>
      </c>
      <c r="F834" s="16" t="s">
        <v>800</v>
      </c>
      <c r="G834" s="16">
        <v>1</v>
      </c>
      <c r="H834" s="16" t="s">
        <v>87</v>
      </c>
      <c r="I834" s="16">
        <v>2000</v>
      </c>
      <c r="J834" s="16">
        <f t="shared" si="179"/>
        <v>2000</v>
      </c>
      <c r="K834" s="16"/>
      <c r="L834" s="16"/>
      <c r="M834" s="16"/>
      <c r="N834" s="16"/>
      <c r="O834" s="16">
        <v>1</v>
      </c>
      <c r="P834" s="16" t="s">
        <v>87</v>
      </c>
      <c r="Q834" s="16">
        <v>2000</v>
      </c>
      <c r="R834" s="18">
        <v>0.18</v>
      </c>
      <c r="S834" s="16">
        <f>Q834*R834</f>
        <v>360</v>
      </c>
      <c r="T834" s="16">
        <f>Q834+S834</f>
        <v>2360</v>
      </c>
      <c r="U834" s="97" t="s">
        <v>1095</v>
      </c>
      <c r="V834" s="110">
        <v>45904</v>
      </c>
      <c r="W834" s="142" t="s">
        <v>1155</v>
      </c>
    </row>
    <row r="835" spans="1:23" x14ac:dyDescent="0.3">
      <c r="A835" s="1"/>
      <c r="B835" s="1"/>
      <c r="C835" s="1"/>
      <c r="D835" s="1"/>
      <c r="E835" s="16" t="s">
        <v>127</v>
      </c>
      <c r="F835" s="16" t="s">
        <v>750</v>
      </c>
      <c r="G835" s="16">
        <v>2</v>
      </c>
      <c r="H835" s="16" t="s">
        <v>28</v>
      </c>
      <c r="I835" s="16">
        <v>13000</v>
      </c>
      <c r="J835" s="16">
        <f t="shared" si="179"/>
        <v>26000</v>
      </c>
      <c r="K835" s="16"/>
      <c r="L835" s="16"/>
      <c r="M835" s="16"/>
      <c r="N835" s="16"/>
      <c r="O835" s="16">
        <v>2</v>
      </c>
      <c r="P835" s="16">
        <v>13000</v>
      </c>
      <c r="Q835" s="16">
        <f>O835*P835</f>
        <v>26000</v>
      </c>
      <c r="R835" s="18">
        <v>0.18</v>
      </c>
      <c r="S835" s="16">
        <f>Q835*R835</f>
        <v>4680</v>
      </c>
      <c r="T835" s="16">
        <f>Q835+S835</f>
        <v>30680</v>
      </c>
      <c r="U835" s="16" t="s">
        <v>801</v>
      </c>
      <c r="V835" s="19">
        <v>45750</v>
      </c>
      <c r="W835" s="142" t="s">
        <v>1259</v>
      </c>
    </row>
    <row r="836" spans="1:23" x14ac:dyDescent="0.3">
      <c r="A836" s="124"/>
      <c r="B836" s="124"/>
      <c r="C836" s="124"/>
      <c r="D836" s="124"/>
      <c r="E836" s="124"/>
      <c r="F836" s="124" t="s">
        <v>39</v>
      </c>
      <c r="G836" s="1"/>
      <c r="H836" s="1"/>
      <c r="I836" s="1"/>
      <c r="J836" s="124">
        <f>SUM(J834:J835)</f>
        <v>28000</v>
      </c>
      <c r="K836" s="1"/>
      <c r="L836" s="1"/>
      <c r="M836" s="1"/>
      <c r="N836" s="1"/>
      <c r="O836" s="1"/>
      <c r="P836" s="1"/>
      <c r="Q836" s="1"/>
      <c r="R836" s="1"/>
      <c r="S836" s="1"/>
      <c r="T836" s="1"/>
      <c r="U836" s="1"/>
      <c r="V836" s="1"/>
      <c r="W836" s="142"/>
    </row>
    <row r="837" spans="1:23" x14ac:dyDescent="0.3">
      <c r="A837" s="124"/>
      <c r="B837" s="124"/>
      <c r="C837" s="124"/>
      <c r="D837" s="124"/>
      <c r="E837" s="124"/>
      <c r="F837" s="124" t="s">
        <v>187</v>
      </c>
      <c r="G837" s="1"/>
      <c r="H837" s="1"/>
      <c r="I837" s="1"/>
      <c r="J837" s="124">
        <f>J836*18/100</f>
        <v>5040</v>
      </c>
      <c r="K837" s="1"/>
      <c r="L837" s="1"/>
      <c r="M837" s="1"/>
      <c r="N837" s="1"/>
      <c r="O837" s="1"/>
      <c r="P837" s="1"/>
      <c r="Q837" s="1"/>
      <c r="R837" s="1"/>
      <c r="S837" s="1"/>
      <c r="T837" s="1"/>
      <c r="U837" s="1"/>
      <c r="V837" s="1"/>
      <c r="W837" s="142"/>
    </row>
    <row r="838" spans="1:23" x14ac:dyDescent="0.3">
      <c r="A838" s="124"/>
      <c r="B838" s="124"/>
      <c r="C838" s="124"/>
      <c r="D838" s="124"/>
      <c r="E838" s="124"/>
      <c r="F838" s="124" t="s">
        <v>41</v>
      </c>
      <c r="G838" s="1"/>
      <c r="H838" s="1"/>
      <c r="I838" s="1"/>
      <c r="J838" s="124">
        <f>SUM(J836:J837)</f>
        <v>33040</v>
      </c>
      <c r="K838" s="1"/>
      <c r="L838" s="1"/>
      <c r="M838" s="1"/>
      <c r="N838" s="1"/>
      <c r="O838" s="1"/>
      <c r="P838" s="1"/>
      <c r="Q838" s="1"/>
      <c r="R838" s="1"/>
      <c r="S838" s="1"/>
      <c r="T838" s="1">
        <f>SUM(T834:T837)</f>
        <v>33040</v>
      </c>
      <c r="U838" s="1"/>
      <c r="V838" s="1"/>
      <c r="W838" s="142"/>
    </row>
    <row r="839" spans="1:23" x14ac:dyDescent="0.3">
      <c r="A839" s="124"/>
      <c r="B839" s="124"/>
      <c r="C839" s="124"/>
      <c r="D839" s="124"/>
      <c r="E839" s="124"/>
      <c r="F839" s="124"/>
      <c r="G839" s="1"/>
      <c r="H839" s="1"/>
      <c r="I839" s="1"/>
      <c r="J839" s="124"/>
      <c r="K839" s="1"/>
      <c r="L839" s="1"/>
      <c r="M839" s="1"/>
      <c r="N839" s="1"/>
      <c r="O839" s="1"/>
      <c r="P839" s="1"/>
      <c r="Q839" s="1"/>
      <c r="R839" s="1"/>
      <c r="S839" s="1"/>
      <c r="T839" s="1"/>
      <c r="U839" s="1"/>
      <c r="V839" s="1"/>
      <c r="W839" s="142"/>
    </row>
    <row r="840" spans="1:23" ht="63" x14ac:dyDescent="0.3">
      <c r="A840" s="16">
        <v>76</v>
      </c>
      <c r="B840" s="16">
        <v>9200131247</v>
      </c>
      <c r="C840" s="19">
        <v>45779</v>
      </c>
      <c r="D840" s="16" t="s">
        <v>43</v>
      </c>
      <c r="E840" s="16" t="s">
        <v>123</v>
      </c>
      <c r="F840" s="39" t="s">
        <v>802</v>
      </c>
      <c r="G840" s="16">
        <v>60</v>
      </c>
      <c r="H840" s="16" t="s">
        <v>803</v>
      </c>
      <c r="I840" s="16">
        <v>1400</v>
      </c>
      <c r="J840" s="16">
        <f t="shared" si="179"/>
        <v>84000</v>
      </c>
      <c r="K840" s="16"/>
      <c r="L840" s="16"/>
      <c r="M840" s="16"/>
      <c r="N840" s="16"/>
      <c r="O840" s="16">
        <v>60</v>
      </c>
      <c r="P840" s="16">
        <v>1400</v>
      </c>
      <c r="Q840" s="16">
        <f>O840*P840</f>
        <v>84000</v>
      </c>
      <c r="R840" s="18">
        <v>0</v>
      </c>
      <c r="S840" s="16">
        <f>Q840*R840</f>
        <v>0</v>
      </c>
      <c r="T840" s="16">
        <f>Q840+S840</f>
        <v>84000</v>
      </c>
      <c r="U840" s="16" t="s">
        <v>1097</v>
      </c>
      <c r="V840" s="19">
        <v>45904</v>
      </c>
      <c r="W840" s="142" t="s">
        <v>1156</v>
      </c>
    </row>
    <row r="841" spans="1:23" x14ac:dyDescent="0.3">
      <c r="A841" s="85"/>
      <c r="B841" s="85"/>
      <c r="C841" s="85"/>
      <c r="D841" s="85"/>
      <c r="E841" s="16" t="s">
        <v>123</v>
      </c>
      <c r="F841" s="16" t="s">
        <v>804</v>
      </c>
      <c r="G841" s="16">
        <v>60</v>
      </c>
      <c r="H841" s="16" t="s">
        <v>111</v>
      </c>
      <c r="I841" s="16">
        <v>230</v>
      </c>
      <c r="J841" s="16">
        <f t="shared" si="179"/>
        <v>13800</v>
      </c>
      <c r="K841" s="16"/>
      <c r="L841" s="16"/>
      <c r="M841" s="16"/>
      <c r="N841" s="16"/>
      <c r="O841" s="16">
        <v>60</v>
      </c>
      <c r="P841" s="16">
        <v>230</v>
      </c>
      <c r="Q841" s="16">
        <f t="shared" ref="Q841:Q849" si="183">O841*P841</f>
        <v>13800</v>
      </c>
      <c r="R841" s="18">
        <v>0</v>
      </c>
      <c r="S841" s="16">
        <f t="shared" ref="S841:S849" si="184">Q841*R841</f>
        <v>0</v>
      </c>
      <c r="T841" s="16">
        <f t="shared" ref="T841:T849" si="185">Q841+S841</f>
        <v>13800</v>
      </c>
      <c r="U841" s="16" t="s">
        <v>1097</v>
      </c>
      <c r="V841" s="19">
        <v>45904</v>
      </c>
      <c r="W841" s="142" t="s">
        <v>1156</v>
      </c>
    </row>
    <row r="842" spans="1:23" x14ac:dyDescent="0.3">
      <c r="A842" s="85"/>
      <c r="B842" s="85"/>
      <c r="C842" s="85"/>
      <c r="D842" s="85"/>
      <c r="E842" s="16" t="s">
        <v>123</v>
      </c>
      <c r="F842" s="16" t="s">
        <v>805</v>
      </c>
      <c r="G842" s="16">
        <v>60</v>
      </c>
      <c r="H842" s="16" t="s">
        <v>111</v>
      </c>
      <c r="I842" s="16">
        <v>260</v>
      </c>
      <c r="J842" s="16">
        <f t="shared" si="179"/>
        <v>15600</v>
      </c>
      <c r="K842" s="16"/>
      <c r="L842" s="16"/>
      <c r="M842" s="16"/>
      <c r="N842" s="16"/>
      <c r="O842" s="16">
        <v>60</v>
      </c>
      <c r="P842" s="16">
        <v>260</v>
      </c>
      <c r="Q842" s="16">
        <f t="shared" si="183"/>
        <v>15600</v>
      </c>
      <c r="R842" s="18">
        <v>0</v>
      </c>
      <c r="S842" s="16">
        <f t="shared" si="184"/>
        <v>0</v>
      </c>
      <c r="T842" s="16">
        <f t="shared" si="185"/>
        <v>15600</v>
      </c>
      <c r="U842" s="16" t="s">
        <v>1097</v>
      </c>
      <c r="V842" s="19">
        <v>45904</v>
      </c>
      <c r="W842" s="142" t="s">
        <v>1156</v>
      </c>
    </row>
    <row r="843" spans="1:23" ht="25.2" x14ac:dyDescent="0.3">
      <c r="A843" s="85"/>
      <c r="B843" s="85"/>
      <c r="C843" s="85"/>
      <c r="D843" s="85"/>
      <c r="E843" s="16" t="s">
        <v>123</v>
      </c>
      <c r="F843" s="39" t="s">
        <v>806</v>
      </c>
      <c r="G843" s="16">
        <v>70</v>
      </c>
      <c r="H843" s="16" t="s">
        <v>141</v>
      </c>
      <c r="I843" s="16">
        <v>180</v>
      </c>
      <c r="J843" s="16">
        <f t="shared" si="179"/>
        <v>12600</v>
      </c>
      <c r="K843" s="16">
        <v>70</v>
      </c>
      <c r="L843" s="16" t="s">
        <v>141</v>
      </c>
      <c r="M843" s="16" t="s">
        <v>91</v>
      </c>
      <c r="N843" s="16" t="s">
        <v>1099</v>
      </c>
      <c r="O843" s="16">
        <v>70</v>
      </c>
      <c r="P843" s="16">
        <v>180</v>
      </c>
      <c r="Q843" s="16">
        <f t="shared" si="183"/>
        <v>12600</v>
      </c>
      <c r="R843" s="18">
        <v>0</v>
      </c>
      <c r="S843" s="16">
        <f t="shared" si="184"/>
        <v>0</v>
      </c>
      <c r="T843" s="16">
        <f t="shared" si="185"/>
        <v>12600</v>
      </c>
      <c r="U843" s="16" t="s">
        <v>1097</v>
      </c>
      <c r="V843" s="19">
        <v>45904</v>
      </c>
      <c r="W843" s="142" t="s">
        <v>1156</v>
      </c>
    </row>
    <row r="844" spans="1:23" ht="63" x14ac:dyDescent="0.3">
      <c r="A844" s="85"/>
      <c r="B844" s="85"/>
      <c r="C844" s="85"/>
      <c r="D844" s="85"/>
      <c r="E844" s="16" t="s">
        <v>123</v>
      </c>
      <c r="F844" s="39" t="s">
        <v>807</v>
      </c>
      <c r="G844" s="16">
        <v>2</v>
      </c>
      <c r="H844" s="16" t="s">
        <v>28</v>
      </c>
      <c r="I844" s="16">
        <v>15000</v>
      </c>
      <c r="J844" s="16">
        <f t="shared" si="179"/>
        <v>30000</v>
      </c>
      <c r="K844" s="16"/>
      <c r="L844" s="16"/>
      <c r="M844" s="16"/>
      <c r="N844" s="16"/>
      <c r="O844" s="16">
        <v>2</v>
      </c>
      <c r="P844" s="16">
        <v>15000</v>
      </c>
      <c r="Q844" s="16">
        <f t="shared" si="183"/>
        <v>30000</v>
      </c>
      <c r="R844" s="18">
        <v>0</v>
      </c>
      <c r="S844" s="16">
        <f t="shared" si="184"/>
        <v>0</v>
      </c>
      <c r="T844" s="16">
        <f t="shared" si="185"/>
        <v>30000</v>
      </c>
      <c r="U844" s="16" t="s">
        <v>1097</v>
      </c>
      <c r="V844" s="19">
        <v>45904</v>
      </c>
      <c r="W844" s="142" t="s">
        <v>1156</v>
      </c>
    </row>
    <row r="845" spans="1:23" x14ac:dyDescent="0.3">
      <c r="A845" s="85"/>
      <c r="B845" s="85"/>
      <c r="C845" s="85"/>
      <c r="D845" s="85"/>
      <c r="E845" s="16" t="s">
        <v>123</v>
      </c>
      <c r="F845" s="16" t="s">
        <v>808</v>
      </c>
      <c r="G845" s="16">
        <v>2</v>
      </c>
      <c r="H845" s="16" t="s">
        <v>28</v>
      </c>
      <c r="I845" s="16">
        <v>4500</v>
      </c>
      <c r="J845" s="16">
        <f t="shared" si="179"/>
        <v>9000</v>
      </c>
      <c r="K845" s="16">
        <v>2</v>
      </c>
      <c r="L845" s="16" t="s">
        <v>28</v>
      </c>
      <c r="M845" s="16" t="s">
        <v>91</v>
      </c>
      <c r="N845" s="16" t="s">
        <v>1041</v>
      </c>
      <c r="O845" s="16">
        <v>2</v>
      </c>
      <c r="P845" s="16">
        <v>4500</v>
      </c>
      <c r="Q845" s="16">
        <f t="shared" si="183"/>
        <v>9000</v>
      </c>
      <c r="R845" s="18">
        <v>0</v>
      </c>
      <c r="S845" s="16">
        <f t="shared" si="184"/>
        <v>0</v>
      </c>
      <c r="T845" s="16">
        <f t="shared" si="185"/>
        <v>9000</v>
      </c>
      <c r="U845" s="16" t="s">
        <v>1097</v>
      </c>
      <c r="V845" s="19">
        <v>45904</v>
      </c>
      <c r="W845" s="142" t="s">
        <v>1156</v>
      </c>
    </row>
    <row r="846" spans="1:23" ht="25.2" x14ac:dyDescent="0.3">
      <c r="A846" s="85"/>
      <c r="B846" s="85"/>
      <c r="C846" s="85"/>
      <c r="D846" s="85"/>
      <c r="E846" s="16" t="s">
        <v>123</v>
      </c>
      <c r="F846" s="39" t="s">
        <v>809</v>
      </c>
      <c r="G846" s="16">
        <v>40</v>
      </c>
      <c r="H846" s="16" t="s">
        <v>252</v>
      </c>
      <c r="I846" s="16">
        <v>800</v>
      </c>
      <c r="J846" s="16">
        <f t="shared" si="179"/>
        <v>32000</v>
      </c>
      <c r="K846" s="16">
        <v>40</v>
      </c>
      <c r="L846" s="16" t="s">
        <v>810</v>
      </c>
      <c r="M846" s="16" t="s">
        <v>91</v>
      </c>
      <c r="N846" s="16" t="s">
        <v>811</v>
      </c>
      <c r="O846" s="16">
        <v>40</v>
      </c>
      <c r="P846" s="16">
        <v>800</v>
      </c>
      <c r="Q846" s="16">
        <f t="shared" si="183"/>
        <v>32000</v>
      </c>
      <c r="R846" s="18">
        <v>0</v>
      </c>
      <c r="S846" s="16">
        <f t="shared" si="184"/>
        <v>0</v>
      </c>
      <c r="T846" s="16">
        <f t="shared" si="185"/>
        <v>32000</v>
      </c>
      <c r="U846" s="16" t="s">
        <v>1097</v>
      </c>
      <c r="V846" s="19">
        <v>45904</v>
      </c>
      <c r="W846" s="142" t="s">
        <v>1156</v>
      </c>
    </row>
    <row r="847" spans="1:23" x14ac:dyDescent="0.3">
      <c r="A847" s="85"/>
      <c r="B847" s="85"/>
      <c r="C847" s="85"/>
      <c r="D847" s="85"/>
      <c r="E847" s="16" t="s">
        <v>123</v>
      </c>
      <c r="F847" s="16" t="s">
        <v>812</v>
      </c>
      <c r="G847" s="16">
        <v>40</v>
      </c>
      <c r="H847" s="16" t="s">
        <v>252</v>
      </c>
      <c r="I847" s="16">
        <v>350</v>
      </c>
      <c r="J847" s="16">
        <f t="shared" si="179"/>
        <v>14000</v>
      </c>
      <c r="K847" s="16"/>
      <c r="L847" s="16"/>
      <c r="M847" s="16"/>
      <c r="N847" s="16"/>
      <c r="O847" s="16">
        <v>40</v>
      </c>
      <c r="P847" s="16">
        <v>350</v>
      </c>
      <c r="Q847" s="16">
        <f t="shared" si="183"/>
        <v>14000</v>
      </c>
      <c r="R847" s="18">
        <v>0</v>
      </c>
      <c r="S847" s="16">
        <f t="shared" si="184"/>
        <v>0</v>
      </c>
      <c r="T847" s="16">
        <f t="shared" si="185"/>
        <v>14000</v>
      </c>
      <c r="U847" s="16" t="s">
        <v>1097</v>
      </c>
      <c r="V847" s="19">
        <v>45904</v>
      </c>
      <c r="W847" s="142" t="s">
        <v>1156</v>
      </c>
    </row>
    <row r="848" spans="1:23" ht="25.2" x14ac:dyDescent="0.3">
      <c r="A848" s="85"/>
      <c r="B848" s="85"/>
      <c r="C848" s="85"/>
      <c r="D848" s="85"/>
      <c r="E848" s="16" t="s">
        <v>123</v>
      </c>
      <c r="F848" s="39" t="s">
        <v>813</v>
      </c>
      <c r="G848" s="16">
        <v>50</v>
      </c>
      <c r="H848" s="16" t="s">
        <v>803</v>
      </c>
      <c r="I848" s="16">
        <v>1240</v>
      </c>
      <c r="J848" s="16">
        <f t="shared" si="179"/>
        <v>62000</v>
      </c>
      <c r="K848" s="16"/>
      <c r="L848" s="16"/>
      <c r="M848" s="16"/>
      <c r="N848" s="16"/>
      <c r="O848" s="16">
        <v>50</v>
      </c>
      <c r="P848" s="16">
        <v>1240</v>
      </c>
      <c r="Q848" s="16">
        <f t="shared" si="183"/>
        <v>62000</v>
      </c>
      <c r="R848" s="18">
        <v>0</v>
      </c>
      <c r="S848" s="16">
        <f t="shared" si="184"/>
        <v>0</v>
      </c>
      <c r="T848" s="16">
        <f t="shared" si="185"/>
        <v>62000</v>
      </c>
      <c r="U848" s="16" t="s">
        <v>1097</v>
      </c>
      <c r="V848" s="19">
        <v>45904</v>
      </c>
      <c r="W848" s="142" t="s">
        <v>1156</v>
      </c>
    </row>
    <row r="849" spans="1:23" x14ac:dyDescent="0.3">
      <c r="A849" s="85"/>
      <c r="B849" s="85"/>
      <c r="C849" s="85"/>
      <c r="D849" s="85"/>
      <c r="E849" s="16" t="s">
        <v>123</v>
      </c>
      <c r="F849" s="16" t="s">
        <v>814</v>
      </c>
      <c r="G849" s="16">
        <v>6</v>
      </c>
      <c r="H849" s="16" t="s">
        <v>815</v>
      </c>
      <c r="I849" s="16">
        <v>2000</v>
      </c>
      <c r="J849" s="16">
        <f t="shared" si="179"/>
        <v>12000</v>
      </c>
      <c r="K849" s="16"/>
      <c r="L849" s="16"/>
      <c r="M849" s="16"/>
      <c r="N849" s="16"/>
      <c r="O849" s="16">
        <v>6</v>
      </c>
      <c r="P849" s="16">
        <v>2000</v>
      </c>
      <c r="Q849" s="16">
        <f t="shared" si="183"/>
        <v>12000</v>
      </c>
      <c r="R849" s="18">
        <v>0</v>
      </c>
      <c r="S849" s="16">
        <f t="shared" si="184"/>
        <v>0</v>
      </c>
      <c r="T849" s="16">
        <f t="shared" si="185"/>
        <v>12000</v>
      </c>
      <c r="U849" s="16" t="s">
        <v>1097</v>
      </c>
      <c r="V849" s="19">
        <v>45904</v>
      </c>
      <c r="W849" s="142" t="s">
        <v>1156</v>
      </c>
    </row>
    <row r="850" spans="1:23" x14ac:dyDescent="0.3">
      <c r="A850" s="124"/>
      <c r="B850" s="124"/>
      <c r="C850" s="124"/>
      <c r="D850" s="124"/>
      <c r="E850" s="124"/>
      <c r="F850" s="124" t="s">
        <v>39</v>
      </c>
      <c r="G850" s="1"/>
      <c r="H850" s="1"/>
      <c r="I850" s="1"/>
      <c r="J850" s="124">
        <f>SUM(J840:J849)</f>
        <v>285000</v>
      </c>
      <c r="K850" s="1"/>
      <c r="L850" s="1"/>
      <c r="M850" s="1"/>
      <c r="N850" s="1"/>
      <c r="O850" s="1"/>
      <c r="P850" s="1"/>
      <c r="Q850" s="1"/>
      <c r="R850" s="1"/>
      <c r="S850" s="1"/>
      <c r="T850" s="1"/>
      <c r="U850" s="1"/>
      <c r="V850" s="1"/>
      <c r="W850" s="142"/>
    </row>
    <row r="851" spans="1:23" x14ac:dyDescent="0.3">
      <c r="A851" s="124"/>
      <c r="B851" s="124"/>
      <c r="C851" s="124"/>
      <c r="D851" s="124"/>
      <c r="E851" s="124"/>
      <c r="F851" s="124" t="s">
        <v>599</v>
      </c>
      <c r="G851" s="1"/>
      <c r="H851" s="1"/>
      <c r="I851" s="1"/>
      <c r="J851" s="124">
        <f>J850*0/100</f>
        <v>0</v>
      </c>
      <c r="K851" s="1"/>
      <c r="L851" s="1"/>
      <c r="M851" s="1"/>
      <c r="N851" s="1"/>
      <c r="O851" s="1"/>
      <c r="P851" s="1"/>
      <c r="Q851" s="1"/>
      <c r="R851" s="1"/>
      <c r="S851" s="1"/>
      <c r="T851" s="1"/>
      <c r="U851" s="1"/>
      <c r="V851" s="1"/>
      <c r="W851" s="142"/>
    </row>
    <row r="852" spans="1:23" x14ac:dyDescent="0.3">
      <c r="A852" s="124"/>
      <c r="B852" s="124"/>
      <c r="C852" s="124"/>
      <c r="D852" s="124"/>
      <c r="E852" s="124"/>
      <c r="F852" s="124" t="s">
        <v>41</v>
      </c>
      <c r="G852" s="1"/>
      <c r="H852" s="1"/>
      <c r="I852" s="1"/>
      <c r="J852" s="124">
        <f>SUM(J850:J851)</f>
        <v>285000</v>
      </c>
      <c r="K852" s="1"/>
      <c r="L852" s="1"/>
      <c r="M852" s="1"/>
      <c r="N852" s="1"/>
      <c r="O852" s="1"/>
      <c r="P852" s="1"/>
      <c r="Q852" s="1"/>
      <c r="R852" s="1"/>
      <c r="S852" s="1"/>
      <c r="T852" s="1">
        <f>SUM(T840:T851)</f>
        <v>285000</v>
      </c>
      <c r="U852" s="1"/>
      <c r="V852" s="1"/>
      <c r="W852" s="142"/>
    </row>
    <row r="853" spans="1:23" x14ac:dyDescent="0.3">
      <c r="A853" s="124"/>
      <c r="B853" s="124"/>
      <c r="C853" s="124"/>
      <c r="D853" s="124"/>
      <c r="E853" s="124"/>
      <c r="F853" s="124"/>
      <c r="G853" s="1"/>
      <c r="H853" s="1"/>
      <c r="I853" s="1"/>
      <c r="J853" s="124"/>
      <c r="K853" s="1"/>
      <c r="L853" s="1"/>
      <c r="M853" s="1"/>
      <c r="N853" s="1"/>
      <c r="O853" s="1"/>
      <c r="P853" s="1"/>
      <c r="Q853" s="1"/>
      <c r="R853" s="1"/>
      <c r="S853" s="1"/>
      <c r="T853" s="1"/>
      <c r="U853" s="1"/>
      <c r="V853" s="1"/>
      <c r="W853" s="142"/>
    </row>
    <row r="854" spans="1:23" ht="50.4" x14ac:dyDescent="0.3">
      <c r="A854" s="16">
        <v>77</v>
      </c>
      <c r="B854" s="38" t="s">
        <v>816</v>
      </c>
      <c r="C854" s="19">
        <v>45779</v>
      </c>
      <c r="D854" s="16" t="s">
        <v>817</v>
      </c>
      <c r="E854" s="16" t="s">
        <v>123</v>
      </c>
      <c r="F854" s="39" t="s">
        <v>1094</v>
      </c>
      <c r="G854" s="16">
        <v>15</v>
      </c>
      <c r="H854" s="16" t="s">
        <v>28</v>
      </c>
      <c r="I854" s="16">
        <v>2215.2399999999998</v>
      </c>
      <c r="J854" s="16">
        <f>G854*I854</f>
        <v>33228.6</v>
      </c>
      <c r="K854" s="16">
        <v>10</v>
      </c>
      <c r="L854" s="16" t="s">
        <v>28</v>
      </c>
      <c r="M854" s="16" t="s">
        <v>91</v>
      </c>
      <c r="N854" s="16" t="s">
        <v>1040</v>
      </c>
      <c r="O854" s="16">
        <v>10</v>
      </c>
      <c r="P854" s="16">
        <v>2215.2399999999998</v>
      </c>
      <c r="Q854" s="16">
        <f>O854*P854</f>
        <v>22152.399999999998</v>
      </c>
      <c r="R854" s="18">
        <v>0.18</v>
      </c>
      <c r="S854" s="16">
        <f>Q854*R854</f>
        <v>3987.4319999999993</v>
      </c>
      <c r="T854" s="16">
        <f>Q854+S854</f>
        <v>26139.831999999999</v>
      </c>
      <c r="U854" s="16" t="s">
        <v>1103</v>
      </c>
      <c r="V854" s="19">
        <v>45904</v>
      </c>
      <c r="W854" s="142"/>
    </row>
    <row r="855" spans="1:23" ht="25.2" x14ac:dyDescent="0.3">
      <c r="A855" s="1"/>
      <c r="B855" s="1"/>
      <c r="C855" s="1"/>
      <c r="D855" s="1"/>
      <c r="E855" s="16" t="s">
        <v>123</v>
      </c>
      <c r="F855" s="39" t="s">
        <v>818</v>
      </c>
      <c r="G855" s="16">
        <v>1</v>
      </c>
      <c r="H855" s="16" t="s">
        <v>28</v>
      </c>
      <c r="I855" s="16">
        <v>13465.52</v>
      </c>
      <c r="J855" s="16">
        <f t="shared" ref="J855" si="186">G855*I855</f>
        <v>13465.52</v>
      </c>
      <c r="K855" s="16"/>
      <c r="L855" s="16"/>
      <c r="M855" s="16" t="s">
        <v>91</v>
      </c>
      <c r="N855" s="16" t="s">
        <v>1039</v>
      </c>
      <c r="O855" s="16">
        <v>1</v>
      </c>
      <c r="P855" s="16">
        <v>13465.52</v>
      </c>
      <c r="Q855" s="16">
        <f>O855*P855</f>
        <v>13465.52</v>
      </c>
      <c r="R855" s="18">
        <v>0.18</v>
      </c>
      <c r="S855" s="16">
        <f>Q855*R855</f>
        <v>2423.7936</v>
      </c>
      <c r="T855" s="16">
        <f>Q855+S855</f>
        <v>15889.313600000001</v>
      </c>
      <c r="U855" s="16" t="s">
        <v>1103</v>
      </c>
      <c r="V855" s="19">
        <v>45904</v>
      </c>
      <c r="W855" s="142"/>
    </row>
    <row r="856" spans="1:23" x14ac:dyDescent="0.3">
      <c r="A856" s="124"/>
      <c r="B856" s="124"/>
      <c r="C856" s="124"/>
      <c r="D856" s="124"/>
      <c r="E856" s="124"/>
      <c r="F856" s="124" t="s">
        <v>39</v>
      </c>
      <c r="G856" s="1"/>
      <c r="H856" s="1"/>
      <c r="I856" s="1"/>
      <c r="J856" s="124">
        <f>SUM(J854:J855)</f>
        <v>46694.119999999995</v>
      </c>
      <c r="K856" s="1" t="s">
        <v>1065</v>
      </c>
      <c r="L856" s="85"/>
      <c r="M856" s="85" t="s">
        <v>91</v>
      </c>
      <c r="N856" s="85" t="s">
        <v>1064</v>
      </c>
      <c r="O856" s="85"/>
      <c r="P856" s="1"/>
      <c r="Q856" s="1"/>
      <c r="R856" s="1"/>
      <c r="S856" s="1"/>
      <c r="T856" s="1"/>
      <c r="U856" s="1"/>
      <c r="V856" s="1"/>
      <c r="W856" s="142"/>
    </row>
    <row r="857" spans="1:23" x14ac:dyDescent="0.3">
      <c r="A857" s="124"/>
      <c r="B857" s="124"/>
      <c r="C857" s="124"/>
      <c r="D857" s="124"/>
      <c r="E857" s="124"/>
      <c r="F857" s="124" t="s">
        <v>187</v>
      </c>
      <c r="G857" s="1"/>
      <c r="H857" s="1"/>
      <c r="I857" s="1"/>
      <c r="J857" s="124">
        <f>J856*18/100</f>
        <v>8404.9415999999983</v>
      </c>
      <c r="K857" s="1"/>
      <c r="L857" s="1"/>
      <c r="M857" s="1"/>
      <c r="N857" s="1"/>
      <c r="O857" s="1"/>
      <c r="P857" s="1"/>
      <c r="Q857" s="1"/>
      <c r="R857" s="1"/>
      <c r="S857" s="1"/>
      <c r="T857" s="1"/>
      <c r="U857" s="1"/>
      <c r="V857" s="1"/>
      <c r="W857" s="142"/>
    </row>
    <row r="858" spans="1:23" x14ac:dyDescent="0.3">
      <c r="A858" s="124"/>
      <c r="B858" s="124"/>
      <c r="C858" s="124"/>
      <c r="D858" s="124"/>
      <c r="E858" s="124"/>
      <c r="F858" s="124" t="s">
        <v>41</v>
      </c>
      <c r="G858" s="1"/>
      <c r="H858" s="1"/>
      <c r="I858" s="1"/>
      <c r="J858" s="124">
        <f>SUM(J856:J857)</f>
        <v>55099.061599999994</v>
      </c>
      <c r="K858" s="1"/>
      <c r="L858" s="1"/>
      <c r="M858" s="1"/>
      <c r="N858" s="1"/>
      <c r="O858" s="1"/>
      <c r="P858" s="1"/>
      <c r="Q858" s="1"/>
      <c r="R858" s="1"/>
      <c r="S858" s="1"/>
      <c r="T858" s="1">
        <f>SUM(T854:T857)</f>
        <v>42029.145600000003</v>
      </c>
      <c r="U858" s="1"/>
      <c r="V858" s="1"/>
      <c r="W858" s="142"/>
    </row>
    <row r="859" spans="1:23" x14ac:dyDescent="0.3">
      <c r="A859" s="124"/>
      <c r="B859" s="124"/>
      <c r="C859" s="124"/>
      <c r="D859" s="124"/>
      <c r="E859" s="124"/>
      <c r="F859" s="124"/>
      <c r="G859" s="1"/>
      <c r="H859" s="1"/>
      <c r="I859" s="1"/>
      <c r="J859" s="124"/>
      <c r="K859" s="1"/>
      <c r="L859" s="1"/>
      <c r="M859" s="1"/>
      <c r="N859" s="1"/>
      <c r="O859" s="1"/>
      <c r="P859" s="1"/>
      <c r="Q859" s="1"/>
      <c r="R859" s="1"/>
      <c r="S859" s="1"/>
      <c r="T859" s="1"/>
      <c r="U859" s="1"/>
      <c r="V859" s="1"/>
      <c r="W859" s="142"/>
    </row>
    <row r="860" spans="1:23" x14ac:dyDescent="0.3">
      <c r="A860" s="16">
        <v>78</v>
      </c>
      <c r="B860" s="16">
        <v>8100016915</v>
      </c>
      <c r="C860" s="16" t="s">
        <v>819</v>
      </c>
      <c r="D860" s="16" t="s">
        <v>43</v>
      </c>
      <c r="E860" s="16" t="s">
        <v>127</v>
      </c>
      <c r="F860" s="16" t="s">
        <v>820</v>
      </c>
      <c r="G860" s="16">
        <v>24</v>
      </c>
      <c r="H860" s="16" t="s">
        <v>60</v>
      </c>
      <c r="I860" s="16">
        <v>1370</v>
      </c>
      <c r="J860" s="16">
        <f>G860*I860</f>
        <v>32880</v>
      </c>
      <c r="K860" s="16"/>
      <c r="L860" s="16"/>
      <c r="M860" s="16"/>
      <c r="N860" s="16"/>
      <c r="O860" s="16">
        <v>24</v>
      </c>
      <c r="P860" s="16">
        <v>1370</v>
      </c>
      <c r="Q860" s="16">
        <f>O860*P860</f>
        <v>32880</v>
      </c>
      <c r="R860" s="18">
        <v>0</v>
      </c>
      <c r="S860" s="16">
        <f>Q860*R860</f>
        <v>0</v>
      </c>
      <c r="T860" s="16">
        <f>Q860+S860</f>
        <v>32880</v>
      </c>
      <c r="U860" s="16" t="s">
        <v>821</v>
      </c>
      <c r="V860" s="19" t="s">
        <v>822</v>
      </c>
      <c r="W860" s="142" t="s">
        <v>1107</v>
      </c>
    </row>
    <row r="861" spans="1:23" x14ac:dyDescent="0.3">
      <c r="A861" s="1"/>
      <c r="B861" s="1"/>
      <c r="C861" s="1"/>
      <c r="D861" s="1"/>
      <c r="E861" s="16" t="s">
        <v>127</v>
      </c>
      <c r="F861" s="16" t="s">
        <v>823</v>
      </c>
      <c r="G861" s="16">
        <v>18</v>
      </c>
      <c r="H861" s="16" t="s">
        <v>60</v>
      </c>
      <c r="I861" s="16">
        <v>680</v>
      </c>
      <c r="J861" s="16">
        <f t="shared" ref="J861:J869" si="187">G861*I861</f>
        <v>12240</v>
      </c>
      <c r="K861" s="16"/>
      <c r="L861" s="16"/>
      <c r="M861" s="16"/>
      <c r="N861" s="16"/>
      <c r="O861" s="16">
        <v>18</v>
      </c>
      <c r="P861" s="16">
        <v>680</v>
      </c>
      <c r="Q861" s="16">
        <f t="shared" ref="Q861:Q869" si="188">O861*P861</f>
        <v>12240</v>
      </c>
      <c r="R861" s="18">
        <v>0</v>
      </c>
      <c r="S861" s="16">
        <f t="shared" ref="S861:S867" si="189">Q861*R861</f>
        <v>0</v>
      </c>
      <c r="T861" s="16">
        <f t="shared" ref="T861:T867" si="190">Q861+S861</f>
        <v>12240</v>
      </c>
      <c r="U861" s="16" t="s">
        <v>821</v>
      </c>
      <c r="V861" s="19" t="s">
        <v>822</v>
      </c>
      <c r="W861" s="142" t="s">
        <v>1107</v>
      </c>
    </row>
    <row r="862" spans="1:23" x14ac:dyDescent="0.3">
      <c r="A862" s="1"/>
      <c r="B862" s="1"/>
      <c r="C862" s="1"/>
      <c r="D862" s="1"/>
      <c r="E862" s="16" t="s">
        <v>127</v>
      </c>
      <c r="F862" s="16" t="s">
        <v>824</v>
      </c>
      <c r="G862" s="16">
        <v>8</v>
      </c>
      <c r="H862" s="16" t="s">
        <v>28</v>
      </c>
      <c r="I862" s="16">
        <v>700</v>
      </c>
      <c r="J862" s="16">
        <f t="shared" si="187"/>
        <v>5600</v>
      </c>
      <c r="K862" s="16"/>
      <c r="L862" s="16"/>
      <c r="M862" s="16"/>
      <c r="N862" s="16"/>
      <c r="O862" s="16">
        <v>8</v>
      </c>
      <c r="P862" s="16">
        <v>700</v>
      </c>
      <c r="Q862" s="16">
        <f t="shared" si="188"/>
        <v>5600</v>
      </c>
      <c r="R862" s="18">
        <v>0</v>
      </c>
      <c r="S862" s="16">
        <f t="shared" si="189"/>
        <v>0</v>
      </c>
      <c r="T862" s="16">
        <f t="shared" si="190"/>
        <v>5600</v>
      </c>
      <c r="U862" s="16" t="s">
        <v>821</v>
      </c>
      <c r="V862" s="19" t="s">
        <v>822</v>
      </c>
      <c r="W862" s="142" t="s">
        <v>1107</v>
      </c>
    </row>
    <row r="863" spans="1:23" x14ac:dyDescent="0.3">
      <c r="A863" s="1"/>
      <c r="B863" s="1"/>
      <c r="C863" s="1"/>
      <c r="D863" s="1"/>
      <c r="E863" s="16" t="s">
        <v>127</v>
      </c>
      <c r="F863" s="16" t="s">
        <v>825</v>
      </c>
      <c r="G863" s="16">
        <v>2</v>
      </c>
      <c r="H863" s="16" t="s">
        <v>60</v>
      </c>
      <c r="I863" s="16">
        <v>1044</v>
      </c>
      <c r="J863" s="16">
        <f t="shared" si="187"/>
        <v>2088</v>
      </c>
      <c r="K863" s="16"/>
      <c r="L863" s="16"/>
      <c r="M863" s="16"/>
      <c r="N863" s="16"/>
      <c r="O863" s="16">
        <v>2</v>
      </c>
      <c r="P863" s="16">
        <v>1044</v>
      </c>
      <c r="Q863" s="16">
        <f t="shared" si="188"/>
        <v>2088</v>
      </c>
      <c r="R863" s="18">
        <v>0</v>
      </c>
      <c r="S863" s="16">
        <f t="shared" si="189"/>
        <v>0</v>
      </c>
      <c r="T863" s="16">
        <f t="shared" si="190"/>
        <v>2088</v>
      </c>
      <c r="U863" s="16" t="s">
        <v>821</v>
      </c>
      <c r="V863" s="19" t="s">
        <v>822</v>
      </c>
      <c r="W863" s="142" t="s">
        <v>1107</v>
      </c>
    </row>
    <row r="864" spans="1:23" x14ac:dyDescent="0.3">
      <c r="A864" s="1"/>
      <c r="B864" s="1"/>
      <c r="C864" s="1"/>
      <c r="D864" s="1"/>
      <c r="E864" s="16" t="s">
        <v>127</v>
      </c>
      <c r="F864" s="16" t="s">
        <v>826</v>
      </c>
      <c r="G864" s="16">
        <v>7</v>
      </c>
      <c r="H864" s="16" t="s">
        <v>28</v>
      </c>
      <c r="I864" s="16">
        <v>600</v>
      </c>
      <c r="J864" s="16">
        <f t="shared" si="187"/>
        <v>4200</v>
      </c>
      <c r="K864" s="16"/>
      <c r="L864" s="16"/>
      <c r="M864" s="16"/>
      <c r="N864" s="16"/>
      <c r="O864" s="16">
        <v>7</v>
      </c>
      <c r="P864" s="16">
        <v>600</v>
      </c>
      <c r="Q864" s="16">
        <f t="shared" si="188"/>
        <v>4200</v>
      </c>
      <c r="R864" s="18">
        <v>0</v>
      </c>
      <c r="S864" s="16">
        <f t="shared" si="189"/>
        <v>0</v>
      </c>
      <c r="T864" s="16">
        <f t="shared" si="190"/>
        <v>4200</v>
      </c>
      <c r="U864" s="16" t="s">
        <v>821</v>
      </c>
      <c r="V864" s="19" t="s">
        <v>822</v>
      </c>
      <c r="W864" s="142" t="s">
        <v>1107</v>
      </c>
    </row>
    <row r="865" spans="1:23" x14ac:dyDescent="0.3">
      <c r="A865" s="1"/>
      <c r="B865" s="1"/>
      <c r="C865" s="1"/>
      <c r="D865" s="1"/>
      <c r="E865" s="16" t="s">
        <v>127</v>
      </c>
      <c r="F865" s="16" t="s">
        <v>827</v>
      </c>
      <c r="G865" s="16">
        <v>6</v>
      </c>
      <c r="H865" s="16" t="s">
        <v>28</v>
      </c>
      <c r="I865" s="16">
        <v>250</v>
      </c>
      <c r="J865" s="16">
        <f t="shared" si="187"/>
        <v>1500</v>
      </c>
      <c r="K865" s="16"/>
      <c r="L865" s="16"/>
      <c r="M865" s="16"/>
      <c r="N865" s="16"/>
      <c r="O865" s="16">
        <v>6</v>
      </c>
      <c r="P865" s="16">
        <v>250</v>
      </c>
      <c r="Q865" s="16">
        <f t="shared" si="188"/>
        <v>1500</v>
      </c>
      <c r="R865" s="18">
        <v>0</v>
      </c>
      <c r="S865" s="16">
        <f t="shared" si="189"/>
        <v>0</v>
      </c>
      <c r="T865" s="16">
        <f t="shared" si="190"/>
        <v>1500</v>
      </c>
      <c r="U865" s="16" t="s">
        <v>821</v>
      </c>
      <c r="V865" s="19" t="s">
        <v>822</v>
      </c>
      <c r="W865" s="142" t="s">
        <v>1107</v>
      </c>
    </row>
    <row r="866" spans="1:23" x14ac:dyDescent="0.3">
      <c r="A866" s="1"/>
      <c r="B866" s="1"/>
      <c r="C866" s="1"/>
      <c r="D866" s="1"/>
      <c r="E866" s="16" t="s">
        <v>127</v>
      </c>
      <c r="F866" s="16" t="s">
        <v>828</v>
      </c>
      <c r="G866" s="16">
        <v>1</v>
      </c>
      <c r="H866" s="16" t="s">
        <v>28</v>
      </c>
      <c r="I866" s="16">
        <v>15530</v>
      </c>
      <c r="J866" s="16">
        <f t="shared" si="187"/>
        <v>15530</v>
      </c>
      <c r="K866" s="16"/>
      <c r="L866" s="16"/>
      <c r="M866" s="16"/>
      <c r="N866" s="16"/>
      <c r="O866" s="16">
        <v>1</v>
      </c>
      <c r="P866" s="16">
        <v>15530</v>
      </c>
      <c r="Q866" s="16">
        <f t="shared" si="188"/>
        <v>15530</v>
      </c>
      <c r="R866" s="18">
        <v>0</v>
      </c>
      <c r="S866" s="16">
        <f t="shared" si="189"/>
        <v>0</v>
      </c>
      <c r="T866" s="16">
        <f t="shared" si="190"/>
        <v>15530</v>
      </c>
      <c r="U866" s="16" t="s">
        <v>821</v>
      </c>
      <c r="V866" s="19" t="s">
        <v>822</v>
      </c>
      <c r="W866" s="142" t="s">
        <v>1107</v>
      </c>
    </row>
    <row r="867" spans="1:23" x14ac:dyDescent="0.3">
      <c r="A867" s="1"/>
      <c r="B867" s="1"/>
      <c r="C867" s="1"/>
      <c r="D867" s="1"/>
      <c r="E867" s="16" t="s">
        <v>127</v>
      </c>
      <c r="F867" s="16" t="s">
        <v>829</v>
      </c>
      <c r="G867" s="16">
        <v>2</v>
      </c>
      <c r="H867" s="16" t="s">
        <v>28</v>
      </c>
      <c r="I867" s="16">
        <v>35</v>
      </c>
      <c r="J867" s="16">
        <f t="shared" si="187"/>
        <v>70</v>
      </c>
      <c r="K867" s="16"/>
      <c r="L867" s="16"/>
      <c r="M867" s="16"/>
      <c r="N867" s="16"/>
      <c r="O867" s="16">
        <v>2</v>
      </c>
      <c r="P867" s="16">
        <v>35</v>
      </c>
      <c r="Q867" s="16">
        <f t="shared" si="188"/>
        <v>70</v>
      </c>
      <c r="R867" s="18">
        <v>0</v>
      </c>
      <c r="S867" s="16">
        <f t="shared" si="189"/>
        <v>0</v>
      </c>
      <c r="T867" s="16">
        <f t="shared" si="190"/>
        <v>70</v>
      </c>
      <c r="U867" s="16" t="s">
        <v>821</v>
      </c>
      <c r="V867" s="19" t="s">
        <v>822</v>
      </c>
      <c r="W867" s="142" t="s">
        <v>1107</v>
      </c>
    </row>
    <row r="868" spans="1:23" x14ac:dyDescent="0.3">
      <c r="A868" s="1"/>
      <c r="B868" s="1"/>
      <c r="C868" s="1"/>
      <c r="D868" s="1"/>
      <c r="E868" s="16" t="s">
        <v>123</v>
      </c>
      <c r="F868" s="16" t="s">
        <v>830</v>
      </c>
      <c r="G868" s="16">
        <v>1</v>
      </c>
      <c r="H868" s="16" t="s">
        <v>87</v>
      </c>
      <c r="I868" s="16">
        <v>55000</v>
      </c>
      <c r="J868" s="16">
        <f t="shared" si="187"/>
        <v>55000</v>
      </c>
      <c r="K868" s="16"/>
      <c r="L868" s="16"/>
      <c r="M868" s="16"/>
      <c r="N868" s="16"/>
      <c r="O868" s="16">
        <v>1</v>
      </c>
      <c r="P868" s="16">
        <v>55000</v>
      </c>
      <c r="Q868" s="16">
        <f t="shared" si="188"/>
        <v>55000</v>
      </c>
      <c r="R868" s="18">
        <v>0</v>
      </c>
      <c r="S868" s="16">
        <f t="shared" ref="S868:S869" si="191">Q868*R868</f>
        <v>0</v>
      </c>
      <c r="T868" s="16">
        <f t="shared" ref="T868:T869" si="192">Q868+S868</f>
        <v>55000</v>
      </c>
      <c r="U868" s="121" t="s">
        <v>1035</v>
      </c>
      <c r="V868" s="123" t="s">
        <v>1034</v>
      </c>
      <c r="W868" s="142" t="s">
        <v>1107</v>
      </c>
    </row>
    <row r="869" spans="1:23" x14ac:dyDescent="0.3">
      <c r="A869" s="1"/>
      <c r="B869" s="1"/>
      <c r="C869" s="1"/>
      <c r="D869" s="1"/>
      <c r="E869" s="16" t="s">
        <v>123</v>
      </c>
      <c r="F869" s="16" t="s">
        <v>831</v>
      </c>
      <c r="G869" s="16">
        <v>1</v>
      </c>
      <c r="H869" s="16" t="s">
        <v>87</v>
      </c>
      <c r="I869" s="16">
        <v>30000</v>
      </c>
      <c r="J869" s="16">
        <f t="shared" si="187"/>
        <v>30000</v>
      </c>
      <c r="K869" s="16"/>
      <c r="L869" s="16"/>
      <c r="M869" s="16"/>
      <c r="N869" s="16"/>
      <c r="O869" s="16">
        <v>1</v>
      </c>
      <c r="P869" s="16">
        <v>30000</v>
      </c>
      <c r="Q869" s="16">
        <f t="shared" si="188"/>
        <v>30000</v>
      </c>
      <c r="R869" s="18">
        <v>0</v>
      </c>
      <c r="S869" s="16">
        <f t="shared" si="191"/>
        <v>0</v>
      </c>
      <c r="T869" s="16">
        <f t="shared" si="192"/>
        <v>30000</v>
      </c>
      <c r="U869" s="121" t="s">
        <v>1035</v>
      </c>
      <c r="V869" s="123" t="s">
        <v>1034</v>
      </c>
      <c r="W869" s="142" t="s">
        <v>1107</v>
      </c>
    </row>
    <row r="870" spans="1:23" x14ac:dyDescent="0.3">
      <c r="A870" s="124"/>
      <c r="B870" s="124"/>
      <c r="C870" s="124"/>
      <c r="D870" s="124"/>
      <c r="E870" s="124"/>
      <c r="F870" s="124" t="s">
        <v>39</v>
      </c>
      <c r="G870" s="1"/>
      <c r="H870" s="1"/>
      <c r="I870" s="1"/>
      <c r="J870" s="124">
        <f>SUM(J860:J869)</f>
        <v>159108</v>
      </c>
      <c r="K870" s="1"/>
      <c r="L870" s="1"/>
      <c r="M870" s="1"/>
      <c r="N870" s="1"/>
      <c r="O870" s="1"/>
      <c r="P870" s="1"/>
      <c r="Q870" s="1"/>
      <c r="R870" s="1"/>
      <c r="S870" s="1"/>
      <c r="T870" s="1"/>
      <c r="U870" s="1"/>
      <c r="V870" s="1"/>
      <c r="W870" s="142"/>
    </row>
    <row r="871" spans="1:23" x14ac:dyDescent="0.3">
      <c r="A871" s="124"/>
      <c r="B871" s="124"/>
      <c r="C871" s="124"/>
      <c r="D871" s="124"/>
      <c r="E871" s="124"/>
      <c r="F871" s="124" t="s">
        <v>599</v>
      </c>
      <c r="G871" s="1"/>
      <c r="H871" s="1"/>
      <c r="I871" s="1"/>
      <c r="J871" s="124">
        <v>0</v>
      </c>
      <c r="K871" s="1"/>
      <c r="L871" s="1"/>
      <c r="M871" s="1"/>
      <c r="N871" s="1"/>
      <c r="O871" s="1"/>
      <c r="P871" s="1"/>
      <c r="Q871" s="1"/>
      <c r="R871" s="1"/>
      <c r="S871" s="1"/>
      <c r="T871" s="1"/>
      <c r="U871" s="1"/>
      <c r="V871" s="1"/>
      <c r="W871" s="142"/>
    </row>
    <row r="872" spans="1:23" x14ac:dyDescent="0.3">
      <c r="A872" s="124"/>
      <c r="B872" s="124"/>
      <c r="C872" s="124"/>
      <c r="D872" s="124"/>
      <c r="E872" s="124"/>
      <c r="F872" s="124" t="s">
        <v>41</v>
      </c>
      <c r="G872" s="1"/>
      <c r="H872" s="1"/>
      <c r="I872" s="1"/>
      <c r="J872" s="124">
        <f>SUM(J870:J871)</f>
        <v>159108</v>
      </c>
      <c r="K872" s="1"/>
      <c r="L872" s="1"/>
      <c r="M872" s="1"/>
      <c r="N872" s="1"/>
      <c r="O872" s="1"/>
      <c r="P872" s="1"/>
      <c r="Q872" s="1"/>
      <c r="R872" s="1"/>
      <c r="S872" s="1"/>
      <c r="T872" s="1">
        <f>SUM(T860:T871)</f>
        <v>159108</v>
      </c>
      <c r="U872" s="1"/>
      <c r="V872" s="1"/>
      <c r="W872" s="142"/>
    </row>
    <row r="873" spans="1:23" x14ac:dyDescent="0.3">
      <c r="A873" s="124"/>
      <c r="B873" s="124"/>
      <c r="C873" s="124"/>
      <c r="D873" s="124"/>
      <c r="E873" s="124"/>
      <c r="F873" s="124"/>
      <c r="G873" s="1"/>
      <c r="H873" s="1"/>
      <c r="I873" s="1"/>
      <c r="J873" s="124"/>
      <c r="K873" s="1"/>
      <c r="L873" s="1"/>
      <c r="M873" s="1"/>
      <c r="N873" s="1"/>
      <c r="O873" s="1"/>
      <c r="P873" s="1"/>
      <c r="Q873" s="1"/>
      <c r="R873" s="1"/>
      <c r="S873" s="1"/>
      <c r="T873" s="1"/>
      <c r="U873" s="1"/>
      <c r="V873" s="1"/>
      <c r="W873" s="142"/>
    </row>
    <row r="874" spans="1:23" ht="37.799999999999997" x14ac:dyDescent="0.3">
      <c r="A874" s="16">
        <v>78</v>
      </c>
      <c r="B874" s="16">
        <v>9200131830</v>
      </c>
      <c r="C874" s="16" t="s">
        <v>832</v>
      </c>
      <c r="D874" s="16" t="s">
        <v>43</v>
      </c>
      <c r="E874" s="16" t="s">
        <v>123</v>
      </c>
      <c r="F874" s="39" t="s">
        <v>401</v>
      </c>
      <c r="G874" s="16">
        <v>10</v>
      </c>
      <c r="H874" s="16" t="s">
        <v>28</v>
      </c>
      <c r="I874" s="16">
        <v>3200</v>
      </c>
      <c r="J874" s="16">
        <f>G874*I874</f>
        <v>32000</v>
      </c>
      <c r="K874" s="16"/>
      <c r="L874" s="16"/>
      <c r="M874" s="16"/>
      <c r="N874" s="16"/>
      <c r="O874" s="16">
        <v>10</v>
      </c>
      <c r="P874" s="16">
        <v>3200</v>
      </c>
      <c r="Q874" s="16">
        <f>O874*P874</f>
        <v>32000</v>
      </c>
      <c r="R874" s="18">
        <v>0</v>
      </c>
      <c r="S874" s="16">
        <f>Q874*R874</f>
        <v>0</v>
      </c>
      <c r="T874" s="16">
        <f>Q874+S874</f>
        <v>32000</v>
      </c>
      <c r="U874" s="16" t="s">
        <v>833</v>
      </c>
      <c r="V874" s="19" t="s">
        <v>592</v>
      </c>
      <c r="W874" s="142" t="s">
        <v>834</v>
      </c>
    </row>
    <row r="875" spans="1:23" x14ac:dyDescent="0.3">
      <c r="A875" s="124"/>
      <c r="B875" s="124"/>
      <c r="C875" s="124"/>
      <c r="D875" s="124"/>
      <c r="E875" s="124"/>
      <c r="F875" s="124" t="s">
        <v>39</v>
      </c>
      <c r="G875" s="1"/>
      <c r="H875" s="1"/>
      <c r="I875" s="1"/>
      <c r="J875" s="124">
        <f>SUM(J874)</f>
        <v>32000</v>
      </c>
      <c r="K875" s="1"/>
      <c r="L875" s="1"/>
      <c r="M875" s="1"/>
      <c r="N875" s="1"/>
      <c r="O875" s="1"/>
      <c r="P875" s="1"/>
      <c r="Q875" s="1"/>
      <c r="R875" s="1"/>
      <c r="S875" s="1"/>
      <c r="T875" s="1"/>
      <c r="U875" s="1"/>
      <c r="V875" s="1"/>
      <c r="W875" s="142"/>
    </row>
    <row r="876" spans="1:23" x14ac:dyDescent="0.3">
      <c r="A876" s="124"/>
      <c r="B876" s="124"/>
      <c r="C876" s="124"/>
      <c r="D876" s="124"/>
      <c r="E876" s="124"/>
      <c r="F876" s="124" t="s">
        <v>599</v>
      </c>
      <c r="G876" s="1"/>
      <c r="H876" s="1"/>
      <c r="I876" s="1"/>
      <c r="J876" s="124">
        <v>0</v>
      </c>
      <c r="K876" s="1"/>
      <c r="L876" s="1"/>
      <c r="M876" s="1"/>
      <c r="N876" s="1"/>
      <c r="O876" s="1"/>
      <c r="P876" s="1"/>
      <c r="Q876" s="1"/>
      <c r="R876" s="1"/>
      <c r="S876" s="1"/>
      <c r="T876" s="1"/>
      <c r="U876" s="1"/>
      <c r="V876" s="1"/>
      <c r="W876" s="142"/>
    </row>
    <row r="877" spans="1:23" x14ac:dyDescent="0.3">
      <c r="A877" s="124"/>
      <c r="B877" s="124"/>
      <c r="C877" s="124"/>
      <c r="D877" s="124"/>
      <c r="E877" s="124"/>
      <c r="F877" s="124" t="s">
        <v>41</v>
      </c>
      <c r="G877" s="1"/>
      <c r="H877" s="1"/>
      <c r="I877" s="1"/>
      <c r="J877" s="124">
        <f>SUM(J875:J876)</f>
        <v>32000</v>
      </c>
      <c r="K877" s="1"/>
      <c r="L877" s="1"/>
      <c r="M877" s="1"/>
      <c r="N877" s="1"/>
      <c r="O877" s="1"/>
      <c r="P877" s="1"/>
      <c r="Q877" s="1"/>
      <c r="R877" s="1"/>
      <c r="S877" s="1"/>
      <c r="T877" s="1"/>
      <c r="U877" s="1"/>
      <c r="V877" s="1"/>
      <c r="W877" s="142"/>
    </row>
    <row r="878" spans="1:23" x14ac:dyDescent="0.3">
      <c r="A878" s="124"/>
      <c r="B878" s="124"/>
      <c r="C878" s="124"/>
      <c r="D878" s="124"/>
      <c r="E878" s="124"/>
      <c r="F878" s="124"/>
      <c r="G878" s="1"/>
      <c r="H878" s="1"/>
      <c r="I878" s="1"/>
      <c r="J878" s="124"/>
      <c r="K878" s="1"/>
      <c r="L878" s="1"/>
      <c r="M878" s="1"/>
      <c r="N878" s="1"/>
      <c r="O878" s="1"/>
      <c r="P878" s="1"/>
      <c r="Q878" s="1"/>
      <c r="R878" s="1"/>
      <c r="S878" s="1"/>
      <c r="T878" s="1"/>
      <c r="U878" s="1"/>
      <c r="V878" s="1"/>
      <c r="W878" s="142"/>
    </row>
    <row r="879" spans="1:23" x14ac:dyDescent="0.3">
      <c r="A879" s="16">
        <v>79</v>
      </c>
      <c r="B879" s="16">
        <v>8100016994</v>
      </c>
      <c r="C879" s="16" t="s">
        <v>835</v>
      </c>
      <c r="D879" s="16" t="s">
        <v>43</v>
      </c>
      <c r="E879" s="16" t="s">
        <v>127</v>
      </c>
      <c r="F879" s="16" t="s">
        <v>836</v>
      </c>
      <c r="G879" s="16">
        <v>25</v>
      </c>
      <c r="H879" s="16" t="s">
        <v>28</v>
      </c>
      <c r="I879" s="16">
        <v>900</v>
      </c>
      <c r="J879" s="16">
        <f>G879*I879</f>
        <v>22500</v>
      </c>
      <c r="K879" s="16"/>
      <c r="L879" s="16"/>
      <c r="M879" s="16"/>
      <c r="N879" s="16"/>
      <c r="O879" s="16">
        <v>25</v>
      </c>
      <c r="P879" s="16">
        <v>900</v>
      </c>
      <c r="Q879" s="16">
        <f>O879*P879</f>
        <v>22500</v>
      </c>
      <c r="R879" s="18">
        <v>0</v>
      </c>
      <c r="S879" s="16">
        <f>Q879*R879</f>
        <v>0</v>
      </c>
      <c r="T879" s="16">
        <f>Q879+S879</f>
        <v>22500</v>
      </c>
      <c r="U879" s="16" t="s">
        <v>837</v>
      </c>
      <c r="V879" s="19" t="s">
        <v>822</v>
      </c>
      <c r="W879" s="142" t="s">
        <v>1107</v>
      </c>
    </row>
    <row r="880" spans="1:23" x14ac:dyDescent="0.3">
      <c r="A880" s="1"/>
      <c r="B880" s="1"/>
      <c r="C880" s="1"/>
      <c r="D880" s="1"/>
      <c r="E880" s="16" t="s">
        <v>127</v>
      </c>
      <c r="F880" s="16" t="s">
        <v>838</v>
      </c>
      <c r="G880" s="16">
        <v>50</v>
      </c>
      <c r="H880" s="16" t="s">
        <v>28</v>
      </c>
      <c r="I880" s="16">
        <v>58</v>
      </c>
      <c r="J880" s="16">
        <f t="shared" ref="J880:J888" si="193">G880*I880</f>
        <v>2900</v>
      </c>
      <c r="K880" s="16"/>
      <c r="L880" s="16"/>
      <c r="M880" s="16"/>
      <c r="N880" s="16"/>
      <c r="O880" s="16">
        <v>50</v>
      </c>
      <c r="P880" s="16">
        <v>58</v>
      </c>
      <c r="Q880" s="16">
        <f t="shared" ref="Q880:Q888" si="194">O880*P880</f>
        <v>2900</v>
      </c>
      <c r="R880" s="18">
        <v>0</v>
      </c>
      <c r="S880" s="16">
        <f t="shared" ref="S880:S888" si="195">Q880*R880</f>
        <v>0</v>
      </c>
      <c r="T880" s="16">
        <f t="shared" ref="T880:T888" si="196">Q880+S880</f>
        <v>2900</v>
      </c>
      <c r="U880" s="16" t="s">
        <v>837</v>
      </c>
      <c r="V880" s="19" t="s">
        <v>822</v>
      </c>
      <c r="W880" s="142" t="s">
        <v>1107</v>
      </c>
    </row>
    <row r="881" spans="1:23" x14ac:dyDescent="0.3">
      <c r="A881" s="1"/>
      <c r="B881" s="1"/>
      <c r="C881" s="1"/>
      <c r="D881" s="1"/>
      <c r="E881" s="16" t="s">
        <v>127</v>
      </c>
      <c r="F881" s="16" t="s">
        <v>839</v>
      </c>
      <c r="G881" s="16">
        <v>50</v>
      </c>
      <c r="H881" s="16" t="s">
        <v>28</v>
      </c>
      <c r="I881" s="16">
        <v>72</v>
      </c>
      <c r="J881" s="16">
        <f t="shared" si="193"/>
        <v>3600</v>
      </c>
      <c r="K881" s="16"/>
      <c r="L881" s="16"/>
      <c r="M881" s="16"/>
      <c r="N881" s="16"/>
      <c r="O881" s="16">
        <v>50</v>
      </c>
      <c r="P881" s="16">
        <v>72</v>
      </c>
      <c r="Q881" s="16">
        <f t="shared" si="194"/>
        <v>3600</v>
      </c>
      <c r="R881" s="18">
        <v>0</v>
      </c>
      <c r="S881" s="16">
        <f t="shared" si="195"/>
        <v>0</v>
      </c>
      <c r="T881" s="16">
        <f t="shared" si="196"/>
        <v>3600</v>
      </c>
      <c r="U881" s="16" t="s">
        <v>837</v>
      </c>
      <c r="V881" s="19" t="s">
        <v>822</v>
      </c>
      <c r="W881" s="142" t="s">
        <v>1107</v>
      </c>
    </row>
    <row r="882" spans="1:23" x14ac:dyDescent="0.3">
      <c r="A882" s="1"/>
      <c r="B882" s="1"/>
      <c r="C882" s="1"/>
      <c r="D882" s="1"/>
      <c r="E882" s="16" t="s">
        <v>127</v>
      </c>
      <c r="F882" s="16" t="s">
        <v>840</v>
      </c>
      <c r="G882" s="16">
        <v>50</v>
      </c>
      <c r="H882" s="16" t="s">
        <v>28</v>
      </c>
      <c r="I882" s="16">
        <v>60</v>
      </c>
      <c r="J882" s="16">
        <f t="shared" si="193"/>
        <v>3000</v>
      </c>
      <c r="K882" s="16"/>
      <c r="L882" s="16"/>
      <c r="M882" s="16"/>
      <c r="N882" s="16"/>
      <c r="O882" s="16">
        <v>50</v>
      </c>
      <c r="P882" s="16">
        <v>60</v>
      </c>
      <c r="Q882" s="16">
        <f t="shared" si="194"/>
        <v>3000</v>
      </c>
      <c r="R882" s="18">
        <v>0</v>
      </c>
      <c r="S882" s="16">
        <f t="shared" si="195"/>
        <v>0</v>
      </c>
      <c r="T882" s="16">
        <f t="shared" si="196"/>
        <v>3000</v>
      </c>
      <c r="U882" s="16" t="s">
        <v>837</v>
      </c>
      <c r="V882" s="19" t="s">
        <v>822</v>
      </c>
      <c r="W882" s="142" t="s">
        <v>1107</v>
      </c>
    </row>
    <row r="883" spans="1:23" x14ac:dyDescent="0.3">
      <c r="A883" s="1"/>
      <c r="B883" s="1"/>
      <c r="C883" s="1"/>
      <c r="D883" s="1"/>
      <c r="E883" s="16" t="s">
        <v>127</v>
      </c>
      <c r="F883" s="16" t="s">
        <v>841</v>
      </c>
      <c r="G883" s="16">
        <v>50</v>
      </c>
      <c r="H883" s="16" t="s">
        <v>28</v>
      </c>
      <c r="I883" s="16">
        <v>42</v>
      </c>
      <c r="J883" s="16">
        <f t="shared" si="193"/>
        <v>2100</v>
      </c>
      <c r="K883" s="16"/>
      <c r="L883" s="16"/>
      <c r="M883" s="16"/>
      <c r="N883" s="16"/>
      <c r="O883" s="16">
        <v>50</v>
      </c>
      <c r="P883" s="16">
        <v>42</v>
      </c>
      <c r="Q883" s="16">
        <f t="shared" si="194"/>
        <v>2100</v>
      </c>
      <c r="R883" s="18">
        <v>0</v>
      </c>
      <c r="S883" s="16">
        <f t="shared" si="195"/>
        <v>0</v>
      </c>
      <c r="T883" s="16">
        <f t="shared" si="196"/>
        <v>2100</v>
      </c>
      <c r="U883" s="16" t="s">
        <v>837</v>
      </c>
      <c r="V883" s="19" t="s">
        <v>822</v>
      </c>
      <c r="W883" s="142" t="s">
        <v>1107</v>
      </c>
    </row>
    <row r="884" spans="1:23" x14ac:dyDescent="0.3">
      <c r="A884" s="1"/>
      <c r="B884" s="1"/>
      <c r="C884" s="1"/>
      <c r="D884" s="1"/>
      <c r="E884" s="16" t="s">
        <v>127</v>
      </c>
      <c r="F884" s="16" t="s">
        <v>842</v>
      </c>
      <c r="G884" s="16">
        <v>10</v>
      </c>
      <c r="H884" s="16" t="s">
        <v>141</v>
      </c>
      <c r="I884" s="16">
        <v>180</v>
      </c>
      <c r="J884" s="16">
        <f t="shared" si="193"/>
        <v>1800</v>
      </c>
      <c r="K884" s="16"/>
      <c r="L884" s="16"/>
      <c r="M884" s="16"/>
      <c r="N884" s="16"/>
      <c r="O884" s="16">
        <v>10</v>
      </c>
      <c r="P884" s="16">
        <v>180</v>
      </c>
      <c r="Q884" s="16">
        <f t="shared" si="194"/>
        <v>1800</v>
      </c>
      <c r="R884" s="18">
        <v>0</v>
      </c>
      <c r="S884" s="16">
        <f t="shared" si="195"/>
        <v>0</v>
      </c>
      <c r="T884" s="16">
        <f t="shared" si="196"/>
        <v>1800</v>
      </c>
      <c r="U884" s="16" t="s">
        <v>837</v>
      </c>
      <c r="V884" s="19" t="s">
        <v>822</v>
      </c>
      <c r="W884" s="142" t="s">
        <v>1107</v>
      </c>
    </row>
    <row r="885" spans="1:23" x14ac:dyDescent="0.3">
      <c r="A885" s="1"/>
      <c r="B885" s="1"/>
      <c r="C885" s="1"/>
      <c r="D885" s="1"/>
      <c r="E885" s="16" t="s">
        <v>127</v>
      </c>
      <c r="F885" s="16" t="s">
        <v>843</v>
      </c>
      <c r="G885" s="16">
        <v>5</v>
      </c>
      <c r="H885" s="16" t="s">
        <v>844</v>
      </c>
      <c r="I885" s="16">
        <v>360</v>
      </c>
      <c r="J885" s="16">
        <f t="shared" si="193"/>
        <v>1800</v>
      </c>
      <c r="K885" s="16"/>
      <c r="L885" s="16"/>
      <c r="M885" s="16"/>
      <c r="N885" s="16"/>
      <c r="O885" s="16">
        <v>5</v>
      </c>
      <c r="P885" s="16">
        <v>360</v>
      </c>
      <c r="Q885" s="16">
        <f t="shared" si="194"/>
        <v>1800</v>
      </c>
      <c r="R885" s="18">
        <v>0</v>
      </c>
      <c r="S885" s="16">
        <f t="shared" si="195"/>
        <v>0</v>
      </c>
      <c r="T885" s="16">
        <f t="shared" si="196"/>
        <v>1800</v>
      </c>
      <c r="U885" s="16" t="s">
        <v>837</v>
      </c>
      <c r="V885" s="19" t="s">
        <v>822</v>
      </c>
      <c r="W885" s="142" t="s">
        <v>1107</v>
      </c>
    </row>
    <row r="886" spans="1:23" x14ac:dyDescent="0.3">
      <c r="A886" s="1"/>
      <c r="B886" s="1"/>
      <c r="C886" s="1"/>
      <c r="D886" s="1"/>
      <c r="E886" s="16" t="s">
        <v>127</v>
      </c>
      <c r="F886" s="16" t="s">
        <v>845</v>
      </c>
      <c r="G886" s="16">
        <v>1</v>
      </c>
      <c r="H886" s="16" t="s">
        <v>141</v>
      </c>
      <c r="I886" s="16">
        <v>330</v>
      </c>
      <c r="J886" s="16">
        <f t="shared" si="193"/>
        <v>330</v>
      </c>
      <c r="K886" s="16"/>
      <c r="L886" s="16"/>
      <c r="M886" s="16"/>
      <c r="N886" s="16"/>
      <c r="O886" s="16">
        <v>1</v>
      </c>
      <c r="P886" s="16">
        <v>330</v>
      </c>
      <c r="Q886" s="16">
        <f t="shared" si="194"/>
        <v>330</v>
      </c>
      <c r="R886" s="18">
        <v>0</v>
      </c>
      <c r="S886" s="16">
        <f t="shared" si="195"/>
        <v>0</v>
      </c>
      <c r="T886" s="16">
        <f t="shared" si="196"/>
        <v>330</v>
      </c>
      <c r="U886" s="16" t="s">
        <v>837</v>
      </c>
      <c r="V886" s="19" t="s">
        <v>822</v>
      </c>
      <c r="W886" s="142" t="s">
        <v>1107</v>
      </c>
    </row>
    <row r="887" spans="1:23" x14ac:dyDescent="0.3">
      <c r="A887" s="1"/>
      <c r="B887" s="1"/>
      <c r="C887" s="1"/>
      <c r="D887" s="1"/>
      <c r="E887" s="16" t="s">
        <v>127</v>
      </c>
      <c r="F887" s="16" t="s">
        <v>846</v>
      </c>
      <c r="G887" s="16">
        <v>5</v>
      </c>
      <c r="H887" s="16" t="s">
        <v>60</v>
      </c>
      <c r="I887" s="16">
        <v>1536</v>
      </c>
      <c r="J887" s="16">
        <f t="shared" si="193"/>
        <v>7680</v>
      </c>
      <c r="K887" s="16"/>
      <c r="L887" s="16"/>
      <c r="M887" s="16"/>
      <c r="N887" s="16"/>
      <c r="O887" s="16">
        <v>5</v>
      </c>
      <c r="P887" s="16">
        <v>1536</v>
      </c>
      <c r="Q887" s="16">
        <f t="shared" si="194"/>
        <v>7680</v>
      </c>
      <c r="R887" s="18">
        <v>0</v>
      </c>
      <c r="S887" s="16">
        <f t="shared" si="195"/>
        <v>0</v>
      </c>
      <c r="T887" s="16">
        <f t="shared" si="196"/>
        <v>7680</v>
      </c>
      <c r="U887" s="16" t="s">
        <v>837</v>
      </c>
      <c r="V887" s="19" t="s">
        <v>822</v>
      </c>
      <c r="W887" s="142" t="s">
        <v>1107</v>
      </c>
    </row>
    <row r="888" spans="1:23" x14ac:dyDescent="0.3">
      <c r="A888" s="1"/>
      <c r="B888" s="1"/>
      <c r="C888" s="1"/>
      <c r="D888" s="1"/>
      <c r="E888" s="16" t="s">
        <v>123</v>
      </c>
      <c r="F888" s="16" t="s">
        <v>356</v>
      </c>
      <c r="G888" s="16">
        <v>1</v>
      </c>
      <c r="H888" s="16" t="s">
        <v>225</v>
      </c>
      <c r="I888" s="16">
        <v>2200</v>
      </c>
      <c r="J888" s="16">
        <f t="shared" si="193"/>
        <v>2200</v>
      </c>
      <c r="K888" s="16"/>
      <c r="L888" s="16"/>
      <c r="M888" s="16"/>
      <c r="N888" s="16"/>
      <c r="O888" s="16">
        <v>1</v>
      </c>
      <c r="P888" s="16">
        <v>2200</v>
      </c>
      <c r="Q888" s="16">
        <f t="shared" si="194"/>
        <v>2200</v>
      </c>
      <c r="R888" s="18">
        <v>0</v>
      </c>
      <c r="S888" s="16">
        <f t="shared" si="195"/>
        <v>0</v>
      </c>
      <c r="T888" s="16">
        <f t="shared" si="196"/>
        <v>2200</v>
      </c>
      <c r="U888" s="97" t="s">
        <v>1098</v>
      </c>
      <c r="V888" s="110">
        <v>45904</v>
      </c>
      <c r="W888" s="142" t="s">
        <v>1218</v>
      </c>
    </row>
    <row r="889" spans="1:23" x14ac:dyDescent="0.3">
      <c r="A889" s="124"/>
      <c r="B889" s="124"/>
      <c r="C889" s="124"/>
      <c r="D889" s="124"/>
      <c r="E889" s="124"/>
      <c r="F889" s="124" t="s">
        <v>39</v>
      </c>
      <c r="G889" s="1"/>
      <c r="H889" s="1"/>
      <c r="I889" s="1"/>
      <c r="J889" s="124">
        <f>SUM(J879:J888)</f>
        <v>47910</v>
      </c>
      <c r="K889" s="1"/>
      <c r="L889" s="1"/>
      <c r="M889" s="1"/>
      <c r="N889" s="1"/>
      <c r="O889" s="1"/>
      <c r="P889" s="1"/>
      <c r="Q889" s="1"/>
      <c r="R889" s="1"/>
      <c r="S889" s="1"/>
      <c r="T889" s="1"/>
      <c r="U889" s="1"/>
      <c r="V889" s="1"/>
      <c r="W889" s="142"/>
    </row>
    <row r="890" spans="1:23" x14ac:dyDescent="0.3">
      <c r="A890" s="124"/>
      <c r="B890" s="124"/>
      <c r="C890" s="124"/>
      <c r="D890" s="124"/>
      <c r="E890" s="124"/>
      <c r="F890" s="124" t="s">
        <v>599</v>
      </c>
      <c r="G890" s="1"/>
      <c r="H890" s="1"/>
      <c r="I890" s="1"/>
      <c r="J890" s="124">
        <v>0</v>
      </c>
      <c r="K890" s="1"/>
      <c r="L890" s="1"/>
      <c r="M890" s="1"/>
      <c r="N890" s="1"/>
      <c r="O890" s="1"/>
      <c r="P890" s="1"/>
      <c r="Q890" s="1"/>
      <c r="R890" s="1"/>
      <c r="S890" s="1"/>
      <c r="T890" s="1"/>
      <c r="U890" s="1"/>
      <c r="V890" s="1"/>
      <c r="W890" s="142"/>
    </row>
    <row r="891" spans="1:23" x14ac:dyDescent="0.3">
      <c r="A891" s="124"/>
      <c r="B891" s="124"/>
      <c r="C891" s="124"/>
      <c r="D891" s="124"/>
      <c r="E891" s="124"/>
      <c r="F891" s="124" t="s">
        <v>41</v>
      </c>
      <c r="G891" s="1"/>
      <c r="H891" s="1"/>
      <c r="I891" s="1"/>
      <c r="J891" s="124">
        <f>SUM(J889:J890)</f>
        <v>47910</v>
      </c>
      <c r="K891" s="1"/>
      <c r="L891" s="1"/>
      <c r="M891" s="1"/>
      <c r="N891" s="1"/>
      <c r="O891" s="1"/>
      <c r="P891" s="1"/>
      <c r="Q891" s="1"/>
      <c r="R891" s="1"/>
      <c r="S891" s="1"/>
      <c r="T891" s="1">
        <f>SUM(T879:T890)</f>
        <v>47910</v>
      </c>
      <c r="U891" s="1"/>
      <c r="V891" s="1"/>
      <c r="W891" s="142"/>
    </row>
    <row r="892" spans="1:23" x14ac:dyDescent="0.3">
      <c r="A892" s="1"/>
      <c r="B892" s="1"/>
      <c r="C892" s="1"/>
      <c r="D892" s="1"/>
      <c r="E892" s="1"/>
      <c r="F892" s="1"/>
      <c r="G892" s="1"/>
      <c r="H892" s="1"/>
      <c r="I892" s="1"/>
      <c r="J892" s="1"/>
      <c r="K892" s="1"/>
      <c r="L892" s="1"/>
      <c r="M892" s="1"/>
      <c r="N892" s="1"/>
      <c r="O892" s="1"/>
      <c r="P892" s="1"/>
      <c r="Q892" s="1"/>
      <c r="R892" s="1"/>
      <c r="S892" s="1"/>
      <c r="T892" s="1"/>
      <c r="U892" s="1"/>
      <c r="V892" s="1"/>
      <c r="W892" s="142"/>
    </row>
    <row r="893" spans="1:23" ht="37.799999999999997" x14ac:dyDescent="0.3">
      <c r="A893" s="16">
        <v>80</v>
      </c>
      <c r="B893" s="16">
        <v>9200132370</v>
      </c>
      <c r="C893" s="16" t="s">
        <v>847</v>
      </c>
      <c r="D893" s="16" t="s">
        <v>43</v>
      </c>
      <c r="E893" s="16" t="s">
        <v>123</v>
      </c>
      <c r="F893" s="39" t="s">
        <v>848</v>
      </c>
      <c r="G893" s="16">
        <v>200</v>
      </c>
      <c r="H893" s="16" t="s">
        <v>111</v>
      </c>
      <c r="I893" s="16">
        <v>41</v>
      </c>
      <c r="J893" s="16">
        <f>G893*I893</f>
        <v>8200</v>
      </c>
      <c r="K893" s="16"/>
      <c r="L893" s="16"/>
      <c r="M893" s="16"/>
      <c r="N893" s="16"/>
      <c r="O893" s="16">
        <v>200</v>
      </c>
      <c r="P893" s="16">
        <v>41</v>
      </c>
      <c r="Q893" s="16">
        <f>G893*I893</f>
        <v>8200</v>
      </c>
      <c r="R893" s="18">
        <v>0.18</v>
      </c>
      <c r="S893" s="16">
        <f>Q893*R893</f>
        <v>1476</v>
      </c>
      <c r="T893" s="16">
        <f>Q893+S893</f>
        <v>9676</v>
      </c>
      <c r="U893" s="16" t="s">
        <v>1097</v>
      </c>
      <c r="V893" s="19">
        <v>45873</v>
      </c>
      <c r="W893" s="142" t="s">
        <v>1218</v>
      </c>
    </row>
    <row r="894" spans="1:23" ht="37.799999999999997" x14ac:dyDescent="0.3">
      <c r="A894" s="1"/>
      <c r="B894" s="1"/>
      <c r="C894" s="1"/>
      <c r="D894" s="1"/>
      <c r="E894" s="16" t="s">
        <v>123</v>
      </c>
      <c r="F894" s="39" t="s">
        <v>849</v>
      </c>
      <c r="G894" s="16">
        <v>200</v>
      </c>
      <c r="H894" s="16" t="s">
        <v>111</v>
      </c>
      <c r="I894" s="16">
        <v>162</v>
      </c>
      <c r="J894" s="16">
        <f t="shared" ref="J894:J901" si="197">G894*I894</f>
        <v>32400</v>
      </c>
      <c r="K894" s="16">
        <v>200</v>
      </c>
      <c r="L894" s="16" t="s">
        <v>302</v>
      </c>
      <c r="M894" s="16" t="s">
        <v>91</v>
      </c>
      <c r="N894" s="16" t="s">
        <v>1067</v>
      </c>
      <c r="O894" s="16">
        <v>200</v>
      </c>
      <c r="P894" s="16">
        <v>162</v>
      </c>
      <c r="Q894" s="16">
        <f t="shared" ref="Q894:Q901" si="198">G894*I894</f>
        <v>32400</v>
      </c>
      <c r="R894" s="18">
        <v>0.18</v>
      </c>
      <c r="S894" s="16">
        <f t="shared" ref="S894:S901" si="199">Q894*R894</f>
        <v>5832</v>
      </c>
      <c r="T894" s="16">
        <f t="shared" ref="T894:T901" si="200">Q894+S894</f>
        <v>38232</v>
      </c>
      <c r="U894" s="16" t="s">
        <v>1097</v>
      </c>
      <c r="V894" s="19">
        <v>45873</v>
      </c>
      <c r="W894" s="142" t="s">
        <v>1218</v>
      </c>
    </row>
    <row r="895" spans="1:23" ht="37.799999999999997" x14ac:dyDescent="0.3">
      <c r="A895" s="1"/>
      <c r="B895" s="1"/>
      <c r="C895" s="1"/>
      <c r="D895" s="1"/>
      <c r="E895" s="16" t="s">
        <v>123</v>
      </c>
      <c r="F895" s="39" t="s">
        <v>850</v>
      </c>
      <c r="G895" s="16">
        <v>100</v>
      </c>
      <c r="H895" s="16" t="s">
        <v>252</v>
      </c>
      <c r="I895" s="16">
        <v>405</v>
      </c>
      <c r="J895" s="16">
        <f t="shared" si="197"/>
        <v>40500</v>
      </c>
      <c r="K895" s="16"/>
      <c r="L895" s="16"/>
      <c r="M895" s="16"/>
      <c r="N895" s="16"/>
      <c r="O895" s="16">
        <v>100</v>
      </c>
      <c r="P895" s="16">
        <v>405</v>
      </c>
      <c r="Q895" s="16">
        <f t="shared" si="198"/>
        <v>40500</v>
      </c>
      <c r="R895" s="18">
        <v>0.18</v>
      </c>
      <c r="S895" s="16">
        <f t="shared" si="199"/>
        <v>7290</v>
      </c>
      <c r="T895" s="16">
        <f t="shared" si="200"/>
        <v>47790</v>
      </c>
      <c r="U895" s="16" t="s">
        <v>1097</v>
      </c>
      <c r="V895" s="19">
        <v>45873</v>
      </c>
      <c r="W895" s="142" t="s">
        <v>1218</v>
      </c>
    </row>
    <row r="896" spans="1:23" ht="37.799999999999997" x14ac:dyDescent="0.25">
      <c r="A896" s="1"/>
      <c r="B896" s="1"/>
      <c r="C896" s="1"/>
      <c r="D896" s="1"/>
      <c r="E896" s="16" t="s">
        <v>123</v>
      </c>
      <c r="F896" s="152" t="s">
        <v>851</v>
      </c>
      <c r="G896" s="16">
        <v>100</v>
      </c>
      <c r="H896" s="16" t="s">
        <v>308</v>
      </c>
      <c r="I896" s="16">
        <v>207</v>
      </c>
      <c r="J896" s="16">
        <f t="shared" si="197"/>
        <v>20700</v>
      </c>
      <c r="K896" s="16">
        <v>100</v>
      </c>
      <c r="L896" s="16" t="s">
        <v>308</v>
      </c>
      <c r="M896" s="16" t="s">
        <v>91</v>
      </c>
      <c r="N896" s="16" t="s">
        <v>1058</v>
      </c>
      <c r="O896" s="16">
        <v>100</v>
      </c>
      <c r="P896" s="16">
        <v>207</v>
      </c>
      <c r="Q896" s="16">
        <f t="shared" si="198"/>
        <v>20700</v>
      </c>
      <c r="R896" s="18">
        <v>0.18</v>
      </c>
      <c r="S896" s="16">
        <f t="shared" si="199"/>
        <v>3726</v>
      </c>
      <c r="T896" s="16">
        <f t="shared" si="200"/>
        <v>24426</v>
      </c>
      <c r="U896" s="16" t="s">
        <v>1097</v>
      </c>
      <c r="V896" s="19">
        <v>45873</v>
      </c>
      <c r="W896" s="142" t="s">
        <v>1218</v>
      </c>
    </row>
    <row r="897" spans="1:23" ht="25.2" x14ac:dyDescent="0.3">
      <c r="A897" s="1"/>
      <c r="B897" s="1"/>
      <c r="C897" s="1"/>
      <c r="D897" s="1"/>
      <c r="E897" s="16" t="s">
        <v>123</v>
      </c>
      <c r="F897" s="39" t="s">
        <v>852</v>
      </c>
      <c r="G897" s="16">
        <v>5</v>
      </c>
      <c r="H897" s="16" t="s">
        <v>28</v>
      </c>
      <c r="I897" s="16">
        <v>765</v>
      </c>
      <c r="J897" s="16">
        <f t="shared" si="197"/>
        <v>3825</v>
      </c>
      <c r="K897" s="16">
        <v>5</v>
      </c>
      <c r="L897" s="16" t="s">
        <v>28</v>
      </c>
      <c r="M897" s="16" t="s">
        <v>91</v>
      </c>
      <c r="N897" s="16" t="s">
        <v>1058</v>
      </c>
      <c r="O897" s="16">
        <v>5</v>
      </c>
      <c r="P897" s="16">
        <v>765</v>
      </c>
      <c r="Q897" s="16">
        <f t="shared" si="198"/>
        <v>3825</v>
      </c>
      <c r="R897" s="18">
        <v>0.18</v>
      </c>
      <c r="S897" s="16">
        <f t="shared" si="199"/>
        <v>688.5</v>
      </c>
      <c r="T897" s="16">
        <f t="shared" si="200"/>
        <v>4513.5</v>
      </c>
      <c r="U897" s="16" t="s">
        <v>1097</v>
      </c>
      <c r="V897" s="19">
        <v>45873</v>
      </c>
      <c r="W897" s="142" t="s">
        <v>1218</v>
      </c>
    </row>
    <row r="898" spans="1:23" ht="37.799999999999997" x14ac:dyDescent="0.3">
      <c r="A898" s="1"/>
      <c r="B898" s="1"/>
      <c r="C898" s="1"/>
      <c r="D898" s="1"/>
      <c r="E898" s="16" t="s">
        <v>123</v>
      </c>
      <c r="F898" s="39" t="s">
        <v>853</v>
      </c>
      <c r="G898" s="16">
        <v>5</v>
      </c>
      <c r="H898" s="16" t="s">
        <v>28</v>
      </c>
      <c r="I898" s="16">
        <v>1395</v>
      </c>
      <c r="J898" s="16">
        <f t="shared" si="197"/>
        <v>6975</v>
      </c>
      <c r="K898" s="16">
        <v>5</v>
      </c>
      <c r="L898" s="16" t="s">
        <v>28</v>
      </c>
      <c r="M898" s="16" t="s">
        <v>91</v>
      </c>
      <c r="N898" s="16" t="s">
        <v>1058</v>
      </c>
      <c r="O898" s="16">
        <v>5</v>
      </c>
      <c r="P898" s="16">
        <v>1395</v>
      </c>
      <c r="Q898" s="16">
        <f t="shared" si="198"/>
        <v>6975</v>
      </c>
      <c r="R898" s="18">
        <v>0.18</v>
      </c>
      <c r="S898" s="16">
        <f t="shared" si="199"/>
        <v>1255.5</v>
      </c>
      <c r="T898" s="16">
        <f t="shared" si="200"/>
        <v>8230.5</v>
      </c>
      <c r="U898" s="16" t="s">
        <v>1097</v>
      </c>
      <c r="V898" s="19">
        <v>45873</v>
      </c>
      <c r="W898" s="142" t="s">
        <v>1218</v>
      </c>
    </row>
    <row r="899" spans="1:23" ht="25.2" x14ac:dyDescent="0.3">
      <c r="A899" s="1"/>
      <c r="B899" s="1"/>
      <c r="C899" s="1"/>
      <c r="D899" s="1"/>
      <c r="E899" s="16" t="s">
        <v>123</v>
      </c>
      <c r="F899" s="39" t="s">
        <v>854</v>
      </c>
      <c r="G899" s="16">
        <v>100</v>
      </c>
      <c r="H899" s="16" t="s">
        <v>252</v>
      </c>
      <c r="I899" s="16">
        <v>225</v>
      </c>
      <c r="J899" s="16">
        <f t="shared" si="197"/>
        <v>22500</v>
      </c>
      <c r="K899" s="16"/>
      <c r="L899" s="16"/>
      <c r="M899" s="16"/>
      <c r="N899" s="16"/>
      <c r="O899" s="16">
        <v>100</v>
      </c>
      <c r="P899" s="16">
        <v>225</v>
      </c>
      <c r="Q899" s="16">
        <f t="shared" si="198"/>
        <v>22500</v>
      </c>
      <c r="R899" s="18">
        <v>0.18</v>
      </c>
      <c r="S899" s="16">
        <f t="shared" si="199"/>
        <v>4050</v>
      </c>
      <c r="T899" s="16">
        <f t="shared" si="200"/>
        <v>26550</v>
      </c>
      <c r="U899" s="16" t="s">
        <v>1097</v>
      </c>
      <c r="V899" s="19">
        <v>45873</v>
      </c>
      <c r="W899" s="142" t="s">
        <v>1218</v>
      </c>
    </row>
    <row r="900" spans="1:23" ht="37.799999999999997" x14ac:dyDescent="0.3">
      <c r="A900" s="1"/>
      <c r="B900" s="1"/>
      <c r="C900" s="1"/>
      <c r="D900" s="1"/>
      <c r="E900" s="16" t="s">
        <v>123</v>
      </c>
      <c r="F900" s="39" t="s">
        <v>855</v>
      </c>
      <c r="G900" s="16">
        <v>4</v>
      </c>
      <c r="H900" s="16" t="s">
        <v>87</v>
      </c>
      <c r="I900" s="16">
        <v>3150</v>
      </c>
      <c r="J900" s="16">
        <f t="shared" si="197"/>
        <v>12600</v>
      </c>
      <c r="K900" s="16"/>
      <c r="L900" s="16"/>
      <c r="M900" s="16"/>
      <c r="N900" s="16"/>
      <c r="O900" s="16">
        <v>4</v>
      </c>
      <c r="P900" s="16">
        <v>3150</v>
      </c>
      <c r="Q900" s="16">
        <f t="shared" si="198"/>
        <v>12600</v>
      </c>
      <c r="R900" s="18">
        <v>0.18</v>
      </c>
      <c r="S900" s="16">
        <f t="shared" si="199"/>
        <v>2268</v>
      </c>
      <c r="T900" s="16">
        <f t="shared" si="200"/>
        <v>14868</v>
      </c>
      <c r="U900" s="16" t="s">
        <v>1097</v>
      </c>
      <c r="V900" s="19">
        <v>45873</v>
      </c>
      <c r="W900" s="142" t="s">
        <v>1218</v>
      </c>
    </row>
    <row r="901" spans="1:23" x14ac:dyDescent="0.3">
      <c r="A901" s="1"/>
      <c r="B901" s="1"/>
      <c r="C901" s="1"/>
      <c r="D901" s="1"/>
      <c r="E901" s="16" t="s">
        <v>123</v>
      </c>
      <c r="F901" s="16" t="s">
        <v>856</v>
      </c>
      <c r="G901" s="16">
        <v>4</v>
      </c>
      <c r="H901" s="16" t="s">
        <v>857</v>
      </c>
      <c r="I901" s="16">
        <v>1800</v>
      </c>
      <c r="J901" s="16">
        <f t="shared" si="197"/>
        <v>7200</v>
      </c>
      <c r="K901" s="16"/>
      <c r="L901" s="16"/>
      <c r="M901" s="16"/>
      <c r="N901" s="16"/>
      <c r="O901" s="16">
        <v>4</v>
      </c>
      <c r="P901" s="16">
        <v>1800</v>
      </c>
      <c r="Q901" s="16">
        <f t="shared" si="198"/>
        <v>7200</v>
      </c>
      <c r="R901" s="18">
        <v>0.18</v>
      </c>
      <c r="S901" s="16">
        <f t="shared" si="199"/>
        <v>1296</v>
      </c>
      <c r="T901" s="16">
        <f t="shared" si="200"/>
        <v>8496</v>
      </c>
      <c r="U901" s="16" t="s">
        <v>1097</v>
      </c>
      <c r="V901" s="19">
        <v>45873</v>
      </c>
      <c r="W901" s="142" t="s">
        <v>1218</v>
      </c>
    </row>
    <row r="902" spans="1:23" x14ac:dyDescent="0.3">
      <c r="A902" s="124"/>
      <c r="B902" s="124"/>
      <c r="C902" s="124"/>
      <c r="D902" s="124"/>
      <c r="E902" s="124"/>
      <c r="F902" s="124" t="s">
        <v>39</v>
      </c>
      <c r="G902" s="1"/>
      <c r="H902" s="1"/>
      <c r="I902" s="1"/>
      <c r="J902" s="124">
        <f>SUM(J893:J901)</f>
        <v>154900</v>
      </c>
      <c r="K902" s="1"/>
      <c r="L902" s="1"/>
      <c r="M902" s="1"/>
      <c r="N902" s="1"/>
      <c r="O902" s="1"/>
      <c r="P902" s="1"/>
      <c r="Q902" s="1"/>
      <c r="R902" s="1"/>
      <c r="S902" s="1"/>
      <c r="T902" s="1"/>
      <c r="U902" s="1"/>
      <c r="V902" s="1"/>
      <c r="W902" s="142"/>
    </row>
    <row r="903" spans="1:23" x14ac:dyDescent="0.3">
      <c r="A903" s="124"/>
      <c r="B903" s="124"/>
      <c r="C903" s="124"/>
      <c r="D903" s="124"/>
      <c r="E903" s="124"/>
      <c r="F903" s="124" t="s">
        <v>187</v>
      </c>
      <c r="G903" s="1"/>
      <c r="H903" s="1"/>
      <c r="I903" s="1"/>
      <c r="J903" s="124">
        <f>J902*18/100</f>
        <v>27882</v>
      </c>
      <c r="K903" s="1"/>
      <c r="L903" s="1"/>
      <c r="M903" s="1"/>
      <c r="N903" s="1"/>
      <c r="O903" s="1"/>
      <c r="P903" s="1"/>
      <c r="Q903" s="1"/>
      <c r="R903" s="1"/>
      <c r="S903" s="1"/>
      <c r="T903" s="1"/>
      <c r="U903" s="1"/>
      <c r="V903" s="1"/>
      <c r="W903" s="142"/>
    </row>
    <row r="904" spans="1:23" x14ac:dyDescent="0.3">
      <c r="A904" s="124"/>
      <c r="B904" s="124"/>
      <c r="C904" s="124"/>
      <c r="D904" s="124"/>
      <c r="E904" s="124"/>
      <c r="F904" s="124" t="s">
        <v>41</v>
      </c>
      <c r="G904" s="1"/>
      <c r="H904" s="1"/>
      <c r="I904" s="1"/>
      <c r="J904" s="124">
        <f>SUM(J902:J903)</f>
        <v>182782</v>
      </c>
      <c r="K904" s="1"/>
      <c r="L904" s="1"/>
      <c r="M904" s="1"/>
      <c r="N904" s="1"/>
      <c r="O904" s="1"/>
      <c r="P904" s="1"/>
      <c r="Q904" s="1"/>
      <c r="R904" s="1"/>
      <c r="S904" s="1"/>
      <c r="T904" s="1">
        <f>SUM(T893:T903)</f>
        <v>182782</v>
      </c>
      <c r="U904" s="1"/>
      <c r="V904" s="1"/>
      <c r="W904" s="142"/>
    </row>
    <row r="905" spans="1:23" x14ac:dyDescent="0.3">
      <c r="A905" s="124"/>
      <c r="B905" s="124"/>
      <c r="C905" s="124"/>
      <c r="D905" s="124"/>
      <c r="E905" s="124"/>
      <c r="F905" s="124"/>
      <c r="G905" s="1"/>
      <c r="H905" s="1"/>
      <c r="I905" s="1"/>
      <c r="J905" s="124"/>
      <c r="K905" s="1"/>
      <c r="L905" s="1"/>
      <c r="M905" s="1"/>
      <c r="N905" s="1"/>
      <c r="O905" s="1"/>
      <c r="P905" s="1"/>
      <c r="Q905" s="1"/>
      <c r="R905" s="1"/>
      <c r="S905" s="1"/>
      <c r="T905" s="1"/>
      <c r="U905" s="1"/>
      <c r="V905" s="1"/>
      <c r="W905" s="142"/>
    </row>
    <row r="906" spans="1:23" ht="25.2" x14ac:dyDescent="0.3">
      <c r="A906" s="16">
        <v>81</v>
      </c>
      <c r="B906" s="16">
        <v>8600054227</v>
      </c>
      <c r="C906" s="16" t="s">
        <v>834</v>
      </c>
      <c r="D906" s="38" t="s">
        <v>858</v>
      </c>
      <c r="E906" s="16" t="s">
        <v>127</v>
      </c>
      <c r="F906" s="39" t="s">
        <v>859</v>
      </c>
      <c r="G906" s="16">
        <v>4</v>
      </c>
      <c r="H906" s="16" t="s">
        <v>28</v>
      </c>
      <c r="I906" s="16">
        <v>1350</v>
      </c>
      <c r="J906" s="16">
        <f>G906*I906</f>
        <v>5400</v>
      </c>
      <c r="K906" s="16"/>
      <c r="L906" s="16"/>
      <c r="M906" s="16"/>
      <c r="N906" s="16"/>
      <c r="O906" s="16">
        <v>4</v>
      </c>
      <c r="P906" s="16">
        <v>1350</v>
      </c>
      <c r="Q906" s="16">
        <f>O906*P906</f>
        <v>5400</v>
      </c>
      <c r="R906" s="18">
        <v>0.18</v>
      </c>
      <c r="S906" s="16">
        <f>Q906*R906</f>
        <v>972</v>
      </c>
      <c r="T906" s="16">
        <f>Q906+S906</f>
        <v>6372</v>
      </c>
      <c r="U906" s="16" t="s">
        <v>1195</v>
      </c>
      <c r="V906" s="19" t="s">
        <v>1196</v>
      </c>
      <c r="W906" s="142" t="s">
        <v>1218</v>
      </c>
    </row>
    <row r="907" spans="1:23" x14ac:dyDescent="0.3">
      <c r="A907" s="124"/>
      <c r="B907" s="124"/>
      <c r="C907" s="124"/>
      <c r="D907" s="124"/>
      <c r="E907" s="124"/>
      <c r="F907" s="124" t="s">
        <v>39</v>
      </c>
      <c r="G907" s="1"/>
      <c r="H907" s="1"/>
      <c r="I907" s="1"/>
      <c r="J907" s="124">
        <f>SUM(J906)</f>
        <v>5400</v>
      </c>
      <c r="K907" s="1"/>
      <c r="L907" s="1"/>
      <c r="M907" s="1"/>
      <c r="N907" s="1"/>
      <c r="O907" s="1"/>
      <c r="P907" s="1"/>
      <c r="Q907" s="1"/>
      <c r="R907" s="1"/>
      <c r="S907" s="1"/>
      <c r="T907" s="1"/>
      <c r="U907" s="1"/>
      <c r="V907" s="1"/>
      <c r="W907" s="142"/>
    </row>
    <row r="908" spans="1:23" x14ac:dyDescent="0.3">
      <c r="A908" s="124"/>
      <c r="B908" s="124"/>
      <c r="C908" s="124"/>
      <c r="D908" s="124"/>
      <c r="E908" s="124"/>
      <c r="F908" s="124" t="s">
        <v>187</v>
      </c>
      <c r="G908" s="1"/>
      <c r="H908" s="1"/>
      <c r="I908" s="1"/>
      <c r="J908" s="124">
        <f>J907*18/100</f>
        <v>972</v>
      </c>
      <c r="K908" s="1"/>
      <c r="L908" s="1"/>
      <c r="M908" s="1"/>
      <c r="N908" s="1"/>
      <c r="O908" s="1"/>
      <c r="P908" s="1"/>
      <c r="Q908" s="1"/>
      <c r="R908" s="1"/>
      <c r="S908" s="1"/>
      <c r="T908" s="1"/>
      <c r="U908" s="1"/>
      <c r="V908" s="1"/>
      <c r="W908" s="142"/>
    </row>
    <row r="909" spans="1:23" x14ac:dyDescent="0.3">
      <c r="A909" s="124"/>
      <c r="B909" s="124"/>
      <c r="C909" s="124"/>
      <c r="D909" s="124"/>
      <c r="E909" s="124"/>
      <c r="F909" s="124" t="s">
        <v>41</v>
      </c>
      <c r="G909" s="1"/>
      <c r="H909" s="1"/>
      <c r="I909" s="1"/>
      <c r="J909" s="124">
        <f>SUM(J907:J908)</f>
        <v>6372</v>
      </c>
      <c r="K909" s="1"/>
      <c r="L909" s="1"/>
      <c r="M909" s="1"/>
      <c r="N909" s="1"/>
      <c r="O909" s="1"/>
      <c r="P909" s="1"/>
      <c r="Q909" s="1"/>
      <c r="R909" s="1"/>
      <c r="S909" s="1"/>
      <c r="T909" s="1"/>
      <c r="U909" s="1"/>
      <c r="V909" s="1"/>
      <c r="W909" s="142"/>
    </row>
    <row r="910" spans="1:23" x14ac:dyDescent="0.3">
      <c r="A910" s="124"/>
      <c r="B910" s="124"/>
      <c r="C910" s="124"/>
      <c r="D910" s="124"/>
      <c r="E910" s="124"/>
      <c r="F910" s="124"/>
      <c r="G910" s="1"/>
      <c r="H910" s="1"/>
      <c r="I910" s="1"/>
      <c r="J910" s="124"/>
      <c r="K910" s="1"/>
      <c r="L910" s="1"/>
      <c r="M910" s="1"/>
      <c r="N910" s="1"/>
      <c r="O910" s="1"/>
      <c r="P910" s="1"/>
      <c r="Q910" s="1"/>
      <c r="R910" s="1"/>
      <c r="S910" s="1"/>
      <c r="T910" s="1"/>
      <c r="U910" s="1"/>
      <c r="V910" s="1"/>
      <c r="W910" s="142"/>
    </row>
    <row r="911" spans="1:23" x14ac:dyDescent="0.3">
      <c r="A911" s="16">
        <v>82</v>
      </c>
      <c r="B911" s="16">
        <v>8100017166</v>
      </c>
      <c r="C911" s="16" t="s">
        <v>860</v>
      </c>
      <c r="D911" s="16" t="s">
        <v>26</v>
      </c>
      <c r="E911" s="16" t="s">
        <v>127</v>
      </c>
      <c r="F911" s="16" t="s">
        <v>861</v>
      </c>
      <c r="G911" s="16">
        <v>4</v>
      </c>
      <c r="H911" s="16" t="s">
        <v>28</v>
      </c>
      <c r="I911" s="16">
        <v>4074</v>
      </c>
      <c r="J911" s="16">
        <f>G911*I911</f>
        <v>16296</v>
      </c>
      <c r="K911" s="16"/>
      <c r="L911" s="16"/>
      <c r="M911" s="16"/>
      <c r="N911" s="16"/>
      <c r="O911" s="16">
        <v>4</v>
      </c>
      <c r="P911" s="16">
        <v>4074</v>
      </c>
      <c r="Q911" s="16">
        <f>O911*P911</f>
        <v>16296</v>
      </c>
      <c r="R911" s="18">
        <v>0.18</v>
      </c>
      <c r="S911" s="16">
        <f>Q911*R911</f>
        <v>2933.2799999999997</v>
      </c>
      <c r="T911" s="16">
        <f>Q911+S911</f>
        <v>19229.28</v>
      </c>
      <c r="U911" s="16" t="s">
        <v>1072</v>
      </c>
      <c r="V911" s="19">
        <v>45661</v>
      </c>
      <c r="W911" s="142" t="s">
        <v>1109</v>
      </c>
    </row>
    <row r="912" spans="1:23" x14ac:dyDescent="0.3">
      <c r="A912" s="1"/>
      <c r="B912" s="1"/>
      <c r="C912" s="1"/>
      <c r="D912" s="1"/>
      <c r="E912" s="16" t="s">
        <v>127</v>
      </c>
      <c r="F912" s="16" t="s">
        <v>862</v>
      </c>
      <c r="G912" s="16">
        <v>2</v>
      </c>
      <c r="H912" s="16" t="s">
        <v>28</v>
      </c>
      <c r="I912" s="16">
        <v>7275</v>
      </c>
      <c r="J912" s="16">
        <f t="shared" ref="J912:J929" si="201">G912*I912</f>
        <v>14550</v>
      </c>
      <c r="K912" s="16"/>
      <c r="L912" s="16"/>
      <c r="M912" s="16"/>
      <c r="N912" s="16"/>
      <c r="O912" s="16">
        <v>2</v>
      </c>
      <c r="P912" s="16">
        <v>7275</v>
      </c>
      <c r="Q912" s="16">
        <f t="shared" ref="Q912:Q916" si="202">O912*P912</f>
        <v>14550</v>
      </c>
      <c r="R912" s="18">
        <v>0.18</v>
      </c>
      <c r="S912" s="16">
        <f t="shared" ref="S912:S916" si="203">Q912*R912</f>
        <v>2619</v>
      </c>
      <c r="T912" s="16">
        <f t="shared" ref="T912:T916" si="204">Q912+S912</f>
        <v>17169</v>
      </c>
      <c r="U912" s="16" t="s">
        <v>1072</v>
      </c>
      <c r="V912" s="19">
        <v>45661</v>
      </c>
      <c r="W912" s="142" t="s">
        <v>1109</v>
      </c>
    </row>
    <row r="913" spans="1:23" x14ac:dyDescent="0.3">
      <c r="A913" s="1"/>
      <c r="B913" s="1"/>
      <c r="C913" s="1"/>
      <c r="D913" s="1"/>
      <c r="E913" s="16" t="s">
        <v>127</v>
      </c>
      <c r="F913" s="16" t="s">
        <v>863</v>
      </c>
      <c r="G913" s="16">
        <v>20</v>
      </c>
      <c r="H913" s="16" t="s">
        <v>308</v>
      </c>
      <c r="I913" s="16">
        <v>423</v>
      </c>
      <c r="J913" s="16">
        <f t="shared" si="201"/>
        <v>8460</v>
      </c>
      <c r="K913" s="16"/>
      <c r="L913" s="16"/>
      <c r="M913" s="16"/>
      <c r="N913" s="16"/>
      <c r="O913" s="16">
        <v>20</v>
      </c>
      <c r="P913" s="16">
        <v>423</v>
      </c>
      <c r="Q913" s="16">
        <f t="shared" si="202"/>
        <v>8460</v>
      </c>
      <c r="R913" s="18">
        <v>0.18</v>
      </c>
      <c r="S913" s="16">
        <f t="shared" si="203"/>
        <v>1522.8</v>
      </c>
      <c r="T913" s="16">
        <f t="shared" si="204"/>
        <v>9982.7999999999993</v>
      </c>
      <c r="U913" s="16" t="s">
        <v>1072</v>
      </c>
      <c r="V913" s="19">
        <v>45661</v>
      </c>
      <c r="W913" s="142" t="s">
        <v>1109</v>
      </c>
    </row>
    <row r="914" spans="1:23" x14ac:dyDescent="0.3">
      <c r="A914" s="1"/>
      <c r="B914" s="1"/>
      <c r="C914" s="1"/>
      <c r="D914" s="1"/>
      <c r="E914" s="16" t="s">
        <v>127</v>
      </c>
      <c r="F914" s="16" t="s">
        <v>864</v>
      </c>
      <c r="G914" s="16">
        <v>8</v>
      </c>
      <c r="H914" s="16" t="s">
        <v>28</v>
      </c>
      <c r="I914" s="16">
        <v>340</v>
      </c>
      <c r="J914" s="16">
        <f t="shared" si="201"/>
        <v>2720</v>
      </c>
      <c r="K914" s="16"/>
      <c r="L914" s="16"/>
      <c r="M914" s="16"/>
      <c r="N914" s="16"/>
      <c r="O914" s="16">
        <v>8</v>
      </c>
      <c r="P914" s="16">
        <v>340</v>
      </c>
      <c r="Q914" s="16">
        <f t="shared" si="202"/>
        <v>2720</v>
      </c>
      <c r="R914" s="18">
        <v>0.18</v>
      </c>
      <c r="S914" s="16">
        <f t="shared" si="203"/>
        <v>489.59999999999997</v>
      </c>
      <c r="T914" s="16">
        <f t="shared" si="204"/>
        <v>3209.6</v>
      </c>
      <c r="U914" s="16" t="s">
        <v>1072</v>
      </c>
      <c r="V914" s="19">
        <v>45661</v>
      </c>
      <c r="W914" s="142" t="s">
        <v>1109</v>
      </c>
    </row>
    <row r="915" spans="1:23" x14ac:dyDescent="0.3">
      <c r="A915" s="1"/>
      <c r="B915" s="1"/>
      <c r="C915" s="1"/>
      <c r="D915" s="1"/>
      <c r="E915" s="16" t="s">
        <v>127</v>
      </c>
      <c r="F915" s="16" t="s">
        <v>865</v>
      </c>
      <c r="G915" s="16">
        <v>16</v>
      </c>
      <c r="H915" s="16" t="s">
        <v>28</v>
      </c>
      <c r="I915" s="16">
        <v>437</v>
      </c>
      <c r="J915" s="16">
        <f t="shared" si="201"/>
        <v>6992</v>
      </c>
      <c r="K915" s="16"/>
      <c r="L915" s="16"/>
      <c r="M915" s="16"/>
      <c r="N915" s="16"/>
      <c r="O915" s="16">
        <v>16</v>
      </c>
      <c r="P915" s="16">
        <v>437</v>
      </c>
      <c r="Q915" s="16">
        <f t="shared" si="202"/>
        <v>6992</v>
      </c>
      <c r="R915" s="18">
        <v>0.18</v>
      </c>
      <c r="S915" s="16">
        <f t="shared" si="203"/>
        <v>1258.56</v>
      </c>
      <c r="T915" s="16">
        <f t="shared" si="204"/>
        <v>8250.56</v>
      </c>
      <c r="U915" s="16" t="s">
        <v>1072</v>
      </c>
      <c r="V915" s="19">
        <v>45661</v>
      </c>
      <c r="W915" s="142" t="s">
        <v>1109</v>
      </c>
    </row>
    <row r="916" spans="1:23" x14ac:dyDescent="0.3">
      <c r="A916" s="1"/>
      <c r="B916" s="1"/>
      <c r="C916" s="1"/>
      <c r="D916" s="1"/>
      <c r="E916" s="16" t="s">
        <v>127</v>
      </c>
      <c r="F916" s="16" t="s">
        <v>866</v>
      </c>
      <c r="G916" s="16">
        <v>15</v>
      </c>
      <c r="H916" s="16" t="s">
        <v>141</v>
      </c>
      <c r="I916" s="16">
        <v>243</v>
      </c>
      <c r="J916" s="16">
        <f t="shared" si="201"/>
        <v>3645</v>
      </c>
      <c r="K916" s="16"/>
      <c r="L916" s="16"/>
      <c r="M916" s="16"/>
      <c r="N916" s="16"/>
      <c r="O916" s="16">
        <v>15</v>
      </c>
      <c r="P916" s="16">
        <v>243</v>
      </c>
      <c r="Q916" s="16">
        <f t="shared" si="202"/>
        <v>3645</v>
      </c>
      <c r="R916" s="18">
        <v>0.18</v>
      </c>
      <c r="S916" s="16">
        <f t="shared" si="203"/>
        <v>656.1</v>
      </c>
      <c r="T916" s="16">
        <f t="shared" si="204"/>
        <v>4301.1000000000004</v>
      </c>
      <c r="U916" s="16" t="s">
        <v>1072</v>
      </c>
      <c r="V916" s="19">
        <v>45661</v>
      </c>
      <c r="W916" s="142" t="s">
        <v>1109</v>
      </c>
    </row>
    <row r="917" spans="1:23" x14ac:dyDescent="0.3">
      <c r="A917" s="1"/>
      <c r="B917" s="1"/>
      <c r="C917" s="1"/>
      <c r="D917" s="1"/>
      <c r="E917" s="16" t="s">
        <v>123</v>
      </c>
      <c r="F917" s="16" t="s">
        <v>867</v>
      </c>
      <c r="G917" s="16">
        <v>3</v>
      </c>
      <c r="H917" s="16" t="s">
        <v>87</v>
      </c>
      <c r="I917" s="16">
        <v>7760</v>
      </c>
      <c r="J917" s="16">
        <f t="shared" si="201"/>
        <v>23280</v>
      </c>
      <c r="K917" s="16"/>
      <c r="L917" s="16"/>
      <c r="M917" s="16"/>
      <c r="N917" s="16"/>
      <c r="O917" s="16">
        <v>3</v>
      </c>
      <c r="P917" s="16">
        <v>7760</v>
      </c>
      <c r="Q917" s="16">
        <f t="shared" ref="Q917:Q929" si="205">O917*P917</f>
        <v>23280</v>
      </c>
      <c r="R917" s="18">
        <v>0.18</v>
      </c>
      <c r="S917" s="16">
        <f t="shared" ref="S917:S929" si="206">Q917*R917</f>
        <v>4190.3999999999996</v>
      </c>
      <c r="T917" s="16">
        <f t="shared" ref="T917:T929" si="207">Q917+S917</f>
        <v>27470.400000000001</v>
      </c>
      <c r="U917" s="97" t="s">
        <v>1227</v>
      </c>
      <c r="V917" s="110" t="s">
        <v>1228</v>
      </c>
      <c r="W917" s="146">
        <v>45814</v>
      </c>
    </row>
    <row r="918" spans="1:23" x14ac:dyDescent="0.3">
      <c r="A918" s="1"/>
      <c r="B918" s="1"/>
      <c r="C918" s="1"/>
      <c r="D918" s="1"/>
      <c r="E918" s="16" t="s">
        <v>123</v>
      </c>
      <c r="F918" s="16" t="s">
        <v>868</v>
      </c>
      <c r="G918" s="16">
        <v>2</v>
      </c>
      <c r="H918" s="16" t="s">
        <v>28</v>
      </c>
      <c r="I918" s="16">
        <v>3395</v>
      </c>
      <c r="J918" s="16">
        <f t="shared" si="201"/>
        <v>6790</v>
      </c>
      <c r="K918" s="16"/>
      <c r="L918" s="16"/>
      <c r="M918" s="16"/>
      <c r="N918" s="16"/>
      <c r="O918" s="16">
        <v>2</v>
      </c>
      <c r="P918" s="16">
        <v>3395</v>
      </c>
      <c r="Q918" s="16">
        <f t="shared" si="205"/>
        <v>6790</v>
      </c>
      <c r="R918" s="18">
        <v>0.18</v>
      </c>
      <c r="S918" s="16">
        <f t="shared" si="206"/>
        <v>1222.2</v>
      </c>
      <c r="T918" s="16">
        <f t="shared" si="207"/>
        <v>8012.2</v>
      </c>
      <c r="U918" s="97" t="s">
        <v>1227</v>
      </c>
      <c r="V918" s="110" t="s">
        <v>1228</v>
      </c>
      <c r="W918" s="146">
        <v>45814</v>
      </c>
    </row>
    <row r="919" spans="1:23" x14ac:dyDescent="0.3">
      <c r="A919" s="1"/>
      <c r="B919" s="1"/>
      <c r="C919" s="1"/>
      <c r="D919" s="1"/>
      <c r="E919" s="16" t="s">
        <v>123</v>
      </c>
      <c r="F919" s="16" t="s">
        <v>869</v>
      </c>
      <c r="G919" s="16">
        <v>2</v>
      </c>
      <c r="H919" s="16" t="s">
        <v>28</v>
      </c>
      <c r="I919" s="16">
        <v>6305</v>
      </c>
      <c r="J919" s="16">
        <f t="shared" si="201"/>
        <v>12610</v>
      </c>
      <c r="K919" s="16"/>
      <c r="L919" s="16"/>
      <c r="M919" s="16"/>
      <c r="N919" s="16"/>
      <c r="O919" s="16">
        <v>2</v>
      </c>
      <c r="P919" s="16">
        <v>6305</v>
      </c>
      <c r="Q919" s="16">
        <f t="shared" si="205"/>
        <v>12610</v>
      </c>
      <c r="R919" s="18">
        <v>0.18</v>
      </c>
      <c r="S919" s="16">
        <f t="shared" si="206"/>
        <v>2269.7999999999997</v>
      </c>
      <c r="T919" s="16">
        <f t="shared" si="207"/>
        <v>14879.8</v>
      </c>
      <c r="U919" s="97" t="s">
        <v>1227</v>
      </c>
      <c r="V919" s="110" t="s">
        <v>1228</v>
      </c>
      <c r="W919" s="146">
        <v>45814</v>
      </c>
    </row>
    <row r="920" spans="1:23" x14ac:dyDescent="0.3">
      <c r="A920" s="1"/>
      <c r="B920" s="1"/>
      <c r="C920" s="1"/>
      <c r="D920" s="1"/>
      <c r="E920" s="16" t="s">
        <v>123</v>
      </c>
      <c r="F920" s="16" t="s">
        <v>870</v>
      </c>
      <c r="G920" s="16">
        <v>1</v>
      </c>
      <c r="H920" s="16" t="s">
        <v>87</v>
      </c>
      <c r="I920" s="16">
        <v>6790</v>
      </c>
      <c r="J920" s="16">
        <f t="shared" si="201"/>
        <v>6790</v>
      </c>
      <c r="K920" s="16"/>
      <c r="L920" s="16"/>
      <c r="M920" s="16"/>
      <c r="N920" s="16"/>
      <c r="O920" s="16">
        <v>1</v>
      </c>
      <c r="P920" s="16">
        <v>6790</v>
      </c>
      <c r="Q920" s="16">
        <f t="shared" si="205"/>
        <v>6790</v>
      </c>
      <c r="R920" s="18">
        <v>0.18</v>
      </c>
      <c r="S920" s="16">
        <f t="shared" si="206"/>
        <v>1222.2</v>
      </c>
      <c r="T920" s="16">
        <f t="shared" si="207"/>
        <v>8012.2</v>
      </c>
      <c r="U920" s="97" t="s">
        <v>1227</v>
      </c>
      <c r="V920" s="110" t="s">
        <v>1228</v>
      </c>
      <c r="W920" s="146">
        <v>45814</v>
      </c>
    </row>
    <row r="921" spans="1:23" ht="25.2" x14ac:dyDescent="0.3">
      <c r="A921" s="1"/>
      <c r="B921" s="1"/>
      <c r="C921" s="1"/>
      <c r="D921" s="1"/>
      <c r="E921" s="16" t="s">
        <v>123</v>
      </c>
      <c r="F921" s="39" t="s">
        <v>871</v>
      </c>
      <c r="G921" s="16">
        <v>55</v>
      </c>
      <c r="H921" s="16" t="s">
        <v>252</v>
      </c>
      <c r="I921" s="16">
        <v>534</v>
      </c>
      <c r="J921" s="16">
        <f t="shared" si="201"/>
        <v>29370</v>
      </c>
      <c r="K921" s="16"/>
      <c r="L921" s="16"/>
      <c r="M921" s="16"/>
      <c r="N921" s="16"/>
      <c r="O921" s="16">
        <v>55</v>
      </c>
      <c r="P921" s="16">
        <v>534</v>
      </c>
      <c r="Q921" s="16">
        <f t="shared" si="205"/>
        <v>29370</v>
      </c>
      <c r="R921" s="18">
        <v>0.18</v>
      </c>
      <c r="S921" s="16">
        <f t="shared" si="206"/>
        <v>5286.5999999999995</v>
      </c>
      <c r="T921" s="16">
        <f t="shared" si="207"/>
        <v>34656.6</v>
      </c>
      <c r="U921" s="97" t="s">
        <v>1227</v>
      </c>
      <c r="V921" s="110" t="s">
        <v>1228</v>
      </c>
      <c r="W921" s="146">
        <v>45814</v>
      </c>
    </row>
    <row r="922" spans="1:23" ht="25.2" x14ac:dyDescent="0.3">
      <c r="A922" s="1"/>
      <c r="B922" s="1"/>
      <c r="C922" s="1"/>
      <c r="D922" s="1"/>
      <c r="E922" s="16" t="s">
        <v>123</v>
      </c>
      <c r="F922" s="39" t="s">
        <v>872</v>
      </c>
      <c r="G922" s="16">
        <v>1</v>
      </c>
      <c r="H922" s="16" t="s">
        <v>28</v>
      </c>
      <c r="I922" s="16">
        <v>14550</v>
      </c>
      <c r="J922" s="16">
        <f t="shared" si="201"/>
        <v>14550</v>
      </c>
      <c r="K922" s="38" t="s">
        <v>1115</v>
      </c>
      <c r="L922" s="16" t="s">
        <v>28</v>
      </c>
      <c r="M922" s="16" t="s">
        <v>91</v>
      </c>
      <c r="N922" s="16" t="s">
        <v>1113</v>
      </c>
      <c r="O922" s="16">
        <v>1</v>
      </c>
      <c r="P922" s="16">
        <v>14550</v>
      </c>
      <c r="Q922" s="16">
        <f t="shared" si="205"/>
        <v>14550</v>
      </c>
      <c r="R922" s="18">
        <v>0.18</v>
      </c>
      <c r="S922" s="16">
        <f t="shared" si="206"/>
        <v>2619</v>
      </c>
      <c r="T922" s="16">
        <f t="shared" si="207"/>
        <v>17169</v>
      </c>
      <c r="U922" s="97" t="s">
        <v>1227</v>
      </c>
      <c r="V922" s="110" t="s">
        <v>1228</v>
      </c>
      <c r="W922" s="146">
        <v>45814</v>
      </c>
    </row>
    <row r="923" spans="1:23" ht="25.2" x14ac:dyDescent="0.3">
      <c r="A923" s="1"/>
      <c r="B923" s="1"/>
      <c r="C923" s="1"/>
      <c r="D923" s="1"/>
      <c r="E923" s="16" t="s">
        <v>123</v>
      </c>
      <c r="F923" s="39" t="s">
        <v>873</v>
      </c>
      <c r="G923" s="16">
        <v>2</v>
      </c>
      <c r="H923" s="16" t="s">
        <v>28</v>
      </c>
      <c r="I923" s="16">
        <v>5432</v>
      </c>
      <c r="J923" s="16">
        <f t="shared" si="201"/>
        <v>10864</v>
      </c>
      <c r="K923" s="16">
        <v>3</v>
      </c>
      <c r="L923" s="16" t="s">
        <v>28</v>
      </c>
      <c r="M923" s="16" t="s">
        <v>91</v>
      </c>
      <c r="N923" s="16" t="s">
        <v>1114</v>
      </c>
      <c r="O923" s="16">
        <v>2</v>
      </c>
      <c r="P923" s="16">
        <v>5432</v>
      </c>
      <c r="Q923" s="16">
        <f t="shared" si="205"/>
        <v>10864</v>
      </c>
      <c r="R923" s="18">
        <v>0.18</v>
      </c>
      <c r="S923" s="16">
        <f t="shared" si="206"/>
        <v>1955.52</v>
      </c>
      <c r="T923" s="16">
        <f t="shared" si="207"/>
        <v>12819.52</v>
      </c>
      <c r="U923" s="97" t="s">
        <v>1227</v>
      </c>
      <c r="V923" s="110" t="s">
        <v>1228</v>
      </c>
      <c r="W923" s="146">
        <v>45814</v>
      </c>
    </row>
    <row r="924" spans="1:23" ht="25.2" x14ac:dyDescent="0.3">
      <c r="A924" s="1"/>
      <c r="B924" s="1"/>
      <c r="C924" s="1"/>
      <c r="D924" s="1"/>
      <c r="E924" s="16" t="s">
        <v>123</v>
      </c>
      <c r="F924" s="39" t="s">
        <v>874</v>
      </c>
      <c r="G924" s="16">
        <v>1</v>
      </c>
      <c r="H924" s="16" t="s">
        <v>28</v>
      </c>
      <c r="I924" s="16">
        <v>7300</v>
      </c>
      <c r="J924" s="16">
        <f t="shared" si="201"/>
        <v>7300</v>
      </c>
      <c r="K924" s="16"/>
      <c r="L924" s="16"/>
      <c r="M924" s="16"/>
      <c r="N924" s="16"/>
      <c r="O924" s="16">
        <v>1</v>
      </c>
      <c r="P924" s="16">
        <v>7300</v>
      </c>
      <c r="Q924" s="16">
        <f t="shared" si="205"/>
        <v>7300</v>
      </c>
      <c r="R924" s="18">
        <v>0.18</v>
      </c>
      <c r="S924" s="16">
        <f t="shared" si="206"/>
        <v>1314</v>
      </c>
      <c r="T924" s="16">
        <f t="shared" si="207"/>
        <v>8614</v>
      </c>
      <c r="U924" s="97" t="s">
        <v>1227</v>
      </c>
      <c r="V924" s="110" t="s">
        <v>1228</v>
      </c>
      <c r="W924" s="146">
        <v>45814</v>
      </c>
    </row>
    <row r="925" spans="1:23" x14ac:dyDescent="0.3">
      <c r="A925" s="1"/>
      <c r="B925" s="1"/>
      <c r="C925" s="1"/>
      <c r="D925" s="1"/>
      <c r="E925" s="16" t="s">
        <v>123</v>
      </c>
      <c r="F925" s="16" t="s">
        <v>875</v>
      </c>
      <c r="G925" s="16">
        <v>2</v>
      </c>
      <c r="H925" s="16" t="s">
        <v>28</v>
      </c>
      <c r="I925" s="16">
        <v>5432</v>
      </c>
      <c r="J925" s="16">
        <f t="shared" si="201"/>
        <v>10864</v>
      </c>
      <c r="K925" s="16">
        <v>2</v>
      </c>
      <c r="L925" s="16" t="s">
        <v>28</v>
      </c>
      <c r="M925" s="16" t="s">
        <v>91</v>
      </c>
      <c r="N925" s="16" t="s">
        <v>1069</v>
      </c>
      <c r="O925" s="16">
        <v>2</v>
      </c>
      <c r="P925" s="16">
        <v>5432</v>
      </c>
      <c r="Q925" s="16">
        <f t="shared" si="205"/>
        <v>10864</v>
      </c>
      <c r="R925" s="18">
        <v>0.18</v>
      </c>
      <c r="S925" s="16">
        <f t="shared" si="206"/>
        <v>1955.52</v>
      </c>
      <c r="T925" s="16">
        <f t="shared" si="207"/>
        <v>12819.52</v>
      </c>
      <c r="U925" s="97" t="s">
        <v>1227</v>
      </c>
      <c r="V925" s="110" t="s">
        <v>1228</v>
      </c>
      <c r="W925" s="146">
        <v>45814</v>
      </c>
    </row>
    <row r="926" spans="1:23" x14ac:dyDescent="0.3">
      <c r="A926" s="1"/>
      <c r="B926" s="1"/>
      <c r="C926" s="1"/>
      <c r="D926" s="1"/>
      <c r="E926" s="16" t="s">
        <v>123</v>
      </c>
      <c r="F926" s="16" t="s">
        <v>876</v>
      </c>
      <c r="G926" s="16">
        <v>2</v>
      </c>
      <c r="H926" s="16" t="s">
        <v>28</v>
      </c>
      <c r="I926" s="16">
        <v>3102</v>
      </c>
      <c r="J926" s="16">
        <f t="shared" si="201"/>
        <v>6204</v>
      </c>
      <c r="K926" s="16">
        <v>2</v>
      </c>
      <c r="L926" s="16" t="s">
        <v>28</v>
      </c>
      <c r="M926" s="16" t="s">
        <v>91</v>
      </c>
      <c r="N926" s="16" t="s">
        <v>1069</v>
      </c>
      <c r="O926" s="16">
        <v>2</v>
      </c>
      <c r="P926" s="16">
        <v>3102</v>
      </c>
      <c r="Q926" s="16">
        <f t="shared" si="205"/>
        <v>6204</v>
      </c>
      <c r="R926" s="18">
        <v>0.18</v>
      </c>
      <c r="S926" s="16">
        <f t="shared" si="206"/>
        <v>1116.72</v>
      </c>
      <c r="T926" s="16">
        <f t="shared" si="207"/>
        <v>7320.72</v>
      </c>
      <c r="U926" s="97" t="s">
        <v>1227</v>
      </c>
      <c r="V926" s="110" t="s">
        <v>1228</v>
      </c>
      <c r="W926" s="146">
        <v>45814</v>
      </c>
    </row>
    <row r="927" spans="1:23" x14ac:dyDescent="0.3">
      <c r="A927" s="1"/>
      <c r="B927" s="1"/>
      <c r="C927" s="1"/>
      <c r="D927" s="1"/>
      <c r="E927" s="16" t="s">
        <v>123</v>
      </c>
      <c r="F927" s="16" t="s">
        <v>877</v>
      </c>
      <c r="G927" s="16">
        <v>10</v>
      </c>
      <c r="H927" s="16" t="s">
        <v>28</v>
      </c>
      <c r="I927" s="16">
        <v>3056</v>
      </c>
      <c r="J927" s="16">
        <f t="shared" si="201"/>
        <v>30560</v>
      </c>
      <c r="K927" s="16">
        <v>10</v>
      </c>
      <c r="L927" s="16" t="s">
        <v>28</v>
      </c>
      <c r="M927" s="16" t="s">
        <v>91</v>
      </c>
      <c r="N927" s="16" t="s">
        <v>1069</v>
      </c>
      <c r="O927" s="16">
        <v>10</v>
      </c>
      <c r="P927" s="16">
        <v>3056</v>
      </c>
      <c r="Q927" s="16">
        <f t="shared" si="205"/>
        <v>30560</v>
      </c>
      <c r="R927" s="18">
        <v>0.18</v>
      </c>
      <c r="S927" s="16">
        <f t="shared" si="206"/>
        <v>5500.8</v>
      </c>
      <c r="T927" s="16">
        <f t="shared" si="207"/>
        <v>36060.800000000003</v>
      </c>
      <c r="U927" s="97" t="s">
        <v>1227</v>
      </c>
      <c r="V927" s="110" t="s">
        <v>1228</v>
      </c>
      <c r="W927" s="146">
        <v>45814</v>
      </c>
    </row>
    <row r="928" spans="1:23" x14ac:dyDescent="0.3">
      <c r="A928" s="1"/>
      <c r="B928" s="1"/>
      <c r="C928" s="1"/>
      <c r="D928" s="1"/>
      <c r="E928" s="16" t="s">
        <v>123</v>
      </c>
      <c r="F928" s="16" t="s">
        <v>878</v>
      </c>
      <c r="G928" s="16">
        <v>10</v>
      </c>
      <c r="H928" s="16" t="s">
        <v>252</v>
      </c>
      <c r="I928" s="16">
        <v>568</v>
      </c>
      <c r="J928" s="16">
        <f t="shared" si="201"/>
        <v>5680</v>
      </c>
      <c r="K928" s="16">
        <v>10</v>
      </c>
      <c r="L928" s="16" t="s">
        <v>252</v>
      </c>
      <c r="M928" s="16" t="s">
        <v>91</v>
      </c>
      <c r="N928" s="16" t="s">
        <v>1069</v>
      </c>
      <c r="O928" s="16">
        <v>10</v>
      </c>
      <c r="P928" s="16">
        <v>568</v>
      </c>
      <c r="Q928" s="16">
        <f t="shared" si="205"/>
        <v>5680</v>
      </c>
      <c r="R928" s="18">
        <v>0.18</v>
      </c>
      <c r="S928" s="16">
        <f t="shared" si="206"/>
        <v>1022.4</v>
      </c>
      <c r="T928" s="16">
        <f t="shared" si="207"/>
        <v>6702.4</v>
      </c>
      <c r="U928" s="97" t="s">
        <v>1227</v>
      </c>
      <c r="V928" s="110" t="s">
        <v>1228</v>
      </c>
      <c r="W928" s="146">
        <v>45814</v>
      </c>
    </row>
    <row r="929" spans="1:23" x14ac:dyDescent="0.3">
      <c r="A929" s="1"/>
      <c r="B929" s="1"/>
      <c r="C929" s="1"/>
      <c r="D929" s="1"/>
      <c r="E929" s="16" t="s">
        <v>123</v>
      </c>
      <c r="F929" s="16" t="s">
        <v>879</v>
      </c>
      <c r="G929" s="16">
        <v>1</v>
      </c>
      <c r="H929" s="16" t="s">
        <v>87</v>
      </c>
      <c r="I929" s="16">
        <v>8245</v>
      </c>
      <c r="J929" s="16">
        <f t="shared" si="201"/>
        <v>8245</v>
      </c>
      <c r="K929" s="16"/>
      <c r="L929" s="16"/>
      <c r="M929" s="16"/>
      <c r="N929" s="16"/>
      <c r="O929" s="16">
        <v>1</v>
      </c>
      <c r="P929" s="16">
        <v>8245</v>
      </c>
      <c r="Q929" s="16">
        <f t="shared" si="205"/>
        <v>8245</v>
      </c>
      <c r="R929" s="18">
        <v>0.18</v>
      </c>
      <c r="S929" s="16">
        <f t="shared" si="206"/>
        <v>1484.1</v>
      </c>
      <c r="T929" s="16">
        <f t="shared" si="207"/>
        <v>9729.1</v>
      </c>
      <c r="U929" s="97" t="s">
        <v>1227</v>
      </c>
      <c r="V929" s="110" t="s">
        <v>1228</v>
      </c>
      <c r="W929" s="146">
        <v>45814</v>
      </c>
    </row>
    <row r="930" spans="1:23" x14ac:dyDescent="0.3">
      <c r="A930" s="124"/>
      <c r="B930" s="124"/>
      <c r="C930" s="124"/>
      <c r="D930" s="124"/>
      <c r="E930" s="124"/>
      <c r="F930" s="124" t="s">
        <v>39</v>
      </c>
      <c r="G930" s="1"/>
      <c r="H930" s="1"/>
      <c r="I930" s="1"/>
      <c r="J930" s="124">
        <f>SUM(J911:J929)</f>
        <v>225770</v>
      </c>
      <c r="K930" s="1"/>
      <c r="L930" s="1"/>
      <c r="M930" s="1"/>
      <c r="N930" s="1"/>
      <c r="O930" s="1"/>
      <c r="P930" s="1"/>
      <c r="Q930" s="1"/>
      <c r="R930" s="1"/>
      <c r="S930" s="1"/>
      <c r="T930" s="1"/>
      <c r="U930" s="1"/>
      <c r="V930" s="1"/>
      <c r="W930" s="142"/>
    </row>
    <row r="931" spans="1:23" x14ac:dyDescent="0.3">
      <c r="A931" s="124"/>
      <c r="B931" s="124"/>
      <c r="C931" s="124"/>
      <c r="D931" s="124"/>
      <c r="E931" s="124"/>
      <c r="F931" s="124" t="s">
        <v>187</v>
      </c>
      <c r="G931" s="1"/>
      <c r="H931" s="1"/>
      <c r="I931" s="1"/>
      <c r="J931" s="124">
        <f>J930*18/100</f>
        <v>40638.6</v>
      </c>
      <c r="K931" s="1"/>
      <c r="L931" s="1"/>
      <c r="M931" s="1"/>
      <c r="N931" s="1"/>
      <c r="O931" s="1"/>
      <c r="P931" s="1"/>
      <c r="Q931" s="1"/>
      <c r="R931" s="1"/>
      <c r="S931" s="1"/>
      <c r="T931" s="1"/>
      <c r="U931" s="1"/>
      <c r="V931" s="1"/>
      <c r="W931" s="142"/>
    </row>
    <row r="932" spans="1:23" x14ac:dyDescent="0.3">
      <c r="A932" s="124"/>
      <c r="B932" s="124"/>
      <c r="C932" s="124"/>
      <c r="D932" s="124"/>
      <c r="E932" s="124"/>
      <c r="F932" s="124" t="s">
        <v>41</v>
      </c>
      <c r="G932" s="1"/>
      <c r="H932" s="1"/>
      <c r="I932" s="1"/>
      <c r="J932" s="124">
        <f>SUM(J930:J931)</f>
        <v>266408.59999999998</v>
      </c>
      <c r="K932" s="1"/>
      <c r="L932" s="1"/>
      <c r="M932" s="1"/>
      <c r="N932" s="1"/>
      <c r="O932" s="1"/>
      <c r="P932" s="1"/>
      <c r="Q932" s="1"/>
      <c r="R932" s="1"/>
      <c r="S932" s="1"/>
      <c r="T932" s="1">
        <f>SUM(T911:T931)</f>
        <v>266408.59999999998</v>
      </c>
      <c r="U932" s="1"/>
      <c r="V932" s="1"/>
      <c r="W932" s="142"/>
    </row>
    <row r="933" spans="1:23" x14ac:dyDescent="0.3">
      <c r="A933" s="124"/>
      <c r="B933" s="124"/>
      <c r="C933" s="124"/>
      <c r="D933" s="124"/>
      <c r="E933" s="124"/>
      <c r="F933" s="124"/>
      <c r="G933" s="1"/>
      <c r="H933" s="1"/>
      <c r="I933" s="1"/>
      <c r="J933" s="124"/>
      <c r="K933" s="1"/>
      <c r="L933" s="1"/>
      <c r="M933" s="1"/>
      <c r="N933" s="1"/>
      <c r="O933" s="1"/>
      <c r="P933" s="1"/>
      <c r="Q933" s="1"/>
      <c r="R933" s="1"/>
      <c r="S933" s="1"/>
      <c r="T933" s="1"/>
      <c r="U933" s="1"/>
      <c r="V933" s="1"/>
      <c r="W933" s="142"/>
    </row>
    <row r="934" spans="1:23" x14ac:dyDescent="0.3">
      <c r="A934" s="16">
        <v>83</v>
      </c>
      <c r="B934" s="16">
        <v>8100017200</v>
      </c>
      <c r="C934" s="19">
        <v>45660</v>
      </c>
      <c r="D934" s="16" t="s">
        <v>43</v>
      </c>
      <c r="E934" s="16" t="s">
        <v>127</v>
      </c>
      <c r="F934" s="16" t="s">
        <v>880</v>
      </c>
      <c r="G934" s="16">
        <v>40</v>
      </c>
      <c r="H934" s="16" t="s">
        <v>28</v>
      </c>
      <c r="I934" s="16">
        <v>4051</v>
      </c>
      <c r="J934" s="16">
        <f>G934*I934</f>
        <v>162040</v>
      </c>
      <c r="K934" s="16"/>
      <c r="L934" s="16"/>
      <c r="M934" s="16"/>
      <c r="N934" s="16"/>
      <c r="O934" s="16">
        <v>40</v>
      </c>
      <c r="P934" s="16">
        <v>4051</v>
      </c>
      <c r="Q934" s="16">
        <f>O934*P934</f>
        <v>162040</v>
      </c>
      <c r="R934" s="16">
        <f>Q934*0%</f>
        <v>0</v>
      </c>
      <c r="S934" s="16">
        <f>Q934+R934</f>
        <v>162040</v>
      </c>
      <c r="T934" s="16">
        <f>S934+R934</f>
        <v>162040</v>
      </c>
      <c r="U934" s="16" t="s">
        <v>1085</v>
      </c>
      <c r="V934" s="19" t="s">
        <v>1086</v>
      </c>
      <c r="W934" s="142" t="s">
        <v>1218</v>
      </c>
    </row>
    <row r="935" spans="1:23" x14ac:dyDescent="0.3">
      <c r="A935" s="1"/>
      <c r="B935" s="1"/>
      <c r="C935" s="1"/>
      <c r="D935" s="1"/>
      <c r="E935" s="16" t="s">
        <v>127</v>
      </c>
      <c r="F935" s="39" t="s">
        <v>881</v>
      </c>
      <c r="G935" s="16">
        <v>20</v>
      </c>
      <c r="H935" s="16" t="s">
        <v>28</v>
      </c>
      <c r="I935" s="16">
        <v>2743</v>
      </c>
      <c r="J935" s="16">
        <f t="shared" ref="J935:J948" si="208">G935*I935</f>
        <v>54860</v>
      </c>
      <c r="K935" s="16"/>
      <c r="L935" s="16"/>
      <c r="M935" s="16"/>
      <c r="N935" s="16"/>
      <c r="O935" s="16">
        <v>20</v>
      </c>
      <c r="P935" s="16">
        <v>2743</v>
      </c>
      <c r="Q935" s="16">
        <f t="shared" ref="Q935:Q939" si="209">O935*P935</f>
        <v>54860</v>
      </c>
      <c r="R935" s="16">
        <f t="shared" ref="R935:R939" si="210">Q935*0%</f>
        <v>0</v>
      </c>
      <c r="S935" s="16">
        <f t="shared" ref="S935:S939" si="211">Q935+R935</f>
        <v>54860</v>
      </c>
      <c r="T935" s="16">
        <f t="shared" ref="T935:T939" si="212">S935+R935</f>
        <v>54860</v>
      </c>
      <c r="U935" s="16" t="s">
        <v>1085</v>
      </c>
      <c r="V935" s="19" t="s">
        <v>1086</v>
      </c>
      <c r="W935" s="142" t="s">
        <v>1218</v>
      </c>
    </row>
    <row r="936" spans="1:23" x14ac:dyDescent="0.3">
      <c r="A936" s="1"/>
      <c r="B936" s="1"/>
      <c r="C936" s="1"/>
      <c r="D936" s="1"/>
      <c r="E936" s="16" t="s">
        <v>127</v>
      </c>
      <c r="F936" s="16" t="s">
        <v>882</v>
      </c>
      <c r="G936" s="16">
        <v>4</v>
      </c>
      <c r="H936" s="16" t="s">
        <v>28</v>
      </c>
      <c r="I936" s="16">
        <v>16730</v>
      </c>
      <c r="J936" s="16">
        <f t="shared" si="208"/>
        <v>66920</v>
      </c>
      <c r="K936" s="16"/>
      <c r="L936" s="16"/>
      <c r="M936" s="16"/>
      <c r="N936" s="16"/>
      <c r="O936" s="16">
        <v>4</v>
      </c>
      <c r="P936" s="16">
        <v>16730</v>
      </c>
      <c r="Q936" s="16">
        <f t="shared" si="209"/>
        <v>66920</v>
      </c>
      <c r="R936" s="16">
        <f t="shared" si="210"/>
        <v>0</v>
      </c>
      <c r="S936" s="16">
        <f t="shared" si="211"/>
        <v>66920</v>
      </c>
      <c r="T936" s="16">
        <f t="shared" si="212"/>
        <v>66920</v>
      </c>
      <c r="U936" s="16" t="s">
        <v>1085</v>
      </c>
      <c r="V936" s="19" t="s">
        <v>1086</v>
      </c>
      <c r="W936" s="142" t="s">
        <v>1218</v>
      </c>
    </row>
    <row r="937" spans="1:23" ht="25.2" x14ac:dyDescent="0.3">
      <c r="A937" s="1"/>
      <c r="B937" s="1"/>
      <c r="C937" s="1"/>
      <c r="D937" s="1"/>
      <c r="E937" s="16" t="s">
        <v>127</v>
      </c>
      <c r="F937" s="39" t="s">
        <v>883</v>
      </c>
      <c r="G937" s="16">
        <v>20</v>
      </c>
      <c r="H937" s="16" t="s">
        <v>28</v>
      </c>
      <c r="I937" s="16">
        <v>10900</v>
      </c>
      <c r="J937" s="16">
        <f t="shared" si="208"/>
        <v>218000</v>
      </c>
      <c r="K937" s="16"/>
      <c r="L937" s="16"/>
      <c r="M937" s="16"/>
      <c r="N937" s="16"/>
      <c r="O937" s="16">
        <v>20</v>
      </c>
      <c r="P937" s="16">
        <v>10900</v>
      </c>
      <c r="Q937" s="16">
        <f t="shared" si="209"/>
        <v>218000</v>
      </c>
      <c r="R937" s="16">
        <f t="shared" si="210"/>
        <v>0</v>
      </c>
      <c r="S937" s="16">
        <f t="shared" si="211"/>
        <v>218000</v>
      </c>
      <c r="T937" s="16">
        <f t="shared" si="212"/>
        <v>218000</v>
      </c>
      <c r="U937" s="97" t="s">
        <v>1127</v>
      </c>
      <c r="V937" s="110" t="s">
        <v>1118</v>
      </c>
      <c r="W937" s="142" t="s">
        <v>1276</v>
      </c>
    </row>
    <row r="938" spans="1:23" x14ac:dyDescent="0.3">
      <c r="A938" s="1"/>
      <c r="B938" s="1"/>
      <c r="C938" s="1"/>
      <c r="D938" s="1"/>
      <c r="E938" s="16" t="s">
        <v>127</v>
      </c>
      <c r="F938" s="16" t="s">
        <v>884</v>
      </c>
      <c r="G938" s="16">
        <v>100</v>
      </c>
      <c r="H938" s="16" t="s">
        <v>141</v>
      </c>
      <c r="I938" s="16">
        <v>105</v>
      </c>
      <c r="J938" s="16">
        <f t="shared" si="208"/>
        <v>10500</v>
      </c>
      <c r="K938" s="16"/>
      <c r="L938" s="16"/>
      <c r="M938" s="16"/>
      <c r="N938" s="16"/>
      <c r="O938" s="16">
        <v>100</v>
      </c>
      <c r="P938" s="16">
        <v>105</v>
      </c>
      <c r="Q938" s="16">
        <f t="shared" si="209"/>
        <v>10500</v>
      </c>
      <c r="R938" s="16">
        <f t="shared" si="210"/>
        <v>0</v>
      </c>
      <c r="S938" s="16">
        <f t="shared" si="211"/>
        <v>10500</v>
      </c>
      <c r="T938" s="16">
        <f t="shared" si="212"/>
        <v>10500</v>
      </c>
      <c r="U938" s="16" t="s">
        <v>1085</v>
      </c>
      <c r="V938" s="19" t="s">
        <v>1086</v>
      </c>
      <c r="W938" s="142" t="s">
        <v>1218</v>
      </c>
    </row>
    <row r="939" spans="1:23" x14ac:dyDescent="0.3">
      <c r="A939" s="1"/>
      <c r="B939" s="1"/>
      <c r="C939" s="1"/>
      <c r="D939" s="1"/>
      <c r="E939" s="16" t="s">
        <v>123</v>
      </c>
      <c r="F939" s="16" t="s">
        <v>885</v>
      </c>
      <c r="G939" s="16">
        <v>1</v>
      </c>
      <c r="H939" s="16" t="s">
        <v>87</v>
      </c>
      <c r="I939" s="16">
        <v>3680</v>
      </c>
      <c r="J939" s="16">
        <f t="shared" si="208"/>
        <v>3680</v>
      </c>
      <c r="K939" s="16"/>
      <c r="L939" s="16"/>
      <c r="M939" s="16"/>
      <c r="N939" s="16"/>
      <c r="O939" s="16">
        <v>1</v>
      </c>
      <c r="P939" s="16">
        <v>3680</v>
      </c>
      <c r="Q939" s="16">
        <f t="shared" si="209"/>
        <v>3680</v>
      </c>
      <c r="R939" s="16">
        <f t="shared" si="210"/>
        <v>0</v>
      </c>
      <c r="S939" s="16">
        <f t="shared" si="211"/>
        <v>3680</v>
      </c>
      <c r="T939" s="16">
        <f t="shared" si="212"/>
        <v>3680</v>
      </c>
      <c r="U939" s="121" t="s">
        <v>1238</v>
      </c>
      <c r="V939" s="123" t="s">
        <v>1239</v>
      </c>
      <c r="W939" s="142" t="s">
        <v>1276</v>
      </c>
    </row>
    <row r="940" spans="1:23" x14ac:dyDescent="0.3">
      <c r="A940" s="124"/>
      <c r="B940" s="124"/>
      <c r="C940" s="124"/>
      <c r="D940" s="124"/>
      <c r="E940" s="124"/>
      <c r="F940" s="124" t="s">
        <v>39</v>
      </c>
      <c r="G940" s="1"/>
      <c r="H940" s="1"/>
      <c r="I940" s="1"/>
      <c r="J940" s="124">
        <f>SUM(J934:J939)</f>
        <v>516000</v>
      </c>
      <c r="K940" s="1"/>
      <c r="L940" s="1"/>
      <c r="M940" s="1"/>
      <c r="N940" s="1"/>
      <c r="O940" s="1"/>
      <c r="P940" s="1"/>
      <c r="Q940" s="1"/>
      <c r="R940" s="1"/>
      <c r="S940" s="1"/>
      <c r="T940" s="1"/>
      <c r="U940" s="1"/>
      <c r="V940" s="1"/>
      <c r="W940" s="142"/>
    </row>
    <row r="941" spans="1:23" x14ac:dyDescent="0.3">
      <c r="A941" s="124"/>
      <c r="B941" s="124"/>
      <c r="C941" s="124"/>
      <c r="D941" s="124"/>
      <c r="E941" s="124"/>
      <c r="F941" s="124" t="s">
        <v>599</v>
      </c>
      <c r="G941" s="1"/>
      <c r="H941" s="1"/>
      <c r="I941" s="1"/>
      <c r="J941" s="124">
        <f>J940*0/100</f>
        <v>0</v>
      </c>
      <c r="K941" s="1"/>
      <c r="L941" s="1"/>
      <c r="M941" s="1"/>
      <c r="N941" s="1"/>
      <c r="O941" s="1"/>
      <c r="P941" s="1"/>
      <c r="Q941" s="1"/>
      <c r="R941" s="1"/>
      <c r="S941" s="1"/>
      <c r="T941" s="1"/>
      <c r="U941" s="1"/>
      <c r="V941" s="1"/>
      <c r="W941" s="142"/>
    </row>
    <row r="942" spans="1:23" x14ac:dyDescent="0.3">
      <c r="A942" s="124"/>
      <c r="B942" s="124"/>
      <c r="C942" s="124"/>
      <c r="D942" s="124"/>
      <c r="E942" s="124"/>
      <c r="F942" s="124" t="s">
        <v>41</v>
      </c>
      <c r="G942" s="1"/>
      <c r="H942" s="1"/>
      <c r="I942" s="1"/>
      <c r="J942" s="124">
        <f>SUM(J940:J941)</f>
        <v>516000</v>
      </c>
      <c r="K942" s="1"/>
      <c r="L942" s="1"/>
      <c r="M942" s="1"/>
      <c r="N942" s="1"/>
      <c r="O942" s="1"/>
      <c r="P942" s="1"/>
      <c r="Q942" s="1"/>
      <c r="R942" s="1"/>
      <c r="S942" s="1"/>
      <c r="T942" s="1">
        <f>SUM(T934:T941)</f>
        <v>516000</v>
      </c>
      <c r="U942" s="1"/>
      <c r="V942" s="1"/>
      <c r="W942" s="142"/>
    </row>
    <row r="943" spans="1:23" x14ac:dyDescent="0.3">
      <c r="A943" s="124"/>
      <c r="B943" s="124"/>
      <c r="C943" s="124"/>
      <c r="D943" s="124"/>
      <c r="E943" s="124"/>
      <c r="F943" s="124"/>
      <c r="G943" s="1"/>
      <c r="H943" s="1"/>
      <c r="I943" s="1"/>
      <c r="J943" s="124"/>
      <c r="K943" s="1"/>
      <c r="L943" s="1"/>
      <c r="M943" s="1"/>
      <c r="N943" s="1"/>
      <c r="O943" s="1"/>
      <c r="P943" s="1"/>
      <c r="Q943" s="1"/>
      <c r="R943" s="1"/>
      <c r="S943" s="1"/>
      <c r="T943" s="1"/>
      <c r="U943" s="1"/>
      <c r="V943" s="1"/>
      <c r="W943" s="142"/>
    </row>
    <row r="944" spans="1:23" x14ac:dyDescent="0.3">
      <c r="A944" s="16">
        <v>84</v>
      </c>
      <c r="B944" s="16">
        <v>9200133326</v>
      </c>
      <c r="C944" s="19">
        <v>45811</v>
      </c>
      <c r="D944" s="16" t="s">
        <v>886</v>
      </c>
      <c r="E944" s="16" t="s">
        <v>123</v>
      </c>
      <c r="F944" s="16" t="s">
        <v>887</v>
      </c>
      <c r="G944" s="16">
        <v>1</v>
      </c>
      <c r="H944" s="16" t="s">
        <v>28</v>
      </c>
      <c r="I944" s="16">
        <v>4500</v>
      </c>
      <c r="J944" s="16">
        <f t="shared" si="208"/>
        <v>4500</v>
      </c>
      <c r="K944" s="16"/>
      <c r="L944" s="16"/>
      <c r="M944" s="16"/>
      <c r="N944" s="16"/>
      <c r="O944" s="16">
        <v>1</v>
      </c>
      <c r="P944" s="16">
        <v>4500</v>
      </c>
      <c r="Q944" s="16">
        <f>O944*P944</f>
        <v>4500</v>
      </c>
      <c r="R944" s="18">
        <v>0.18</v>
      </c>
      <c r="S944" s="16">
        <f>Q944*R944</f>
        <v>810</v>
      </c>
      <c r="T944" s="16">
        <f>Q944+S944</f>
        <v>5310</v>
      </c>
      <c r="U944" s="16" t="s">
        <v>1096</v>
      </c>
      <c r="V944" s="19">
        <v>45904</v>
      </c>
      <c r="W944" s="142" t="s">
        <v>1106</v>
      </c>
    </row>
    <row r="945" spans="1:23" x14ac:dyDescent="0.3">
      <c r="A945" s="1"/>
      <c r="B945" s="1"/>
      <c r="C945" s="1"/>
      <c r="D945" s="1"/>
      <c r="E945" s="16" t="s">
        <v>123</v>
      </c>
      <c r="F945" s="16" t="s">
        <v>888</v>
      </c>
      <c r="G945" s="16">
        <v>1</v>
      </c>
      <c r="H945" s="16" t="s">
        <v>28</v>
      </c>
      <c r="I945" s="16">
        <v>7500</v>
      </c>
      <c r="J945" s="16">
        <f t="shared" si="208"/>
        <v>7500</v>
      </c>
      <c r="K945" s="16">
        <v>1</v>
      </c>
      <c r="L945" s="16" t="s">
        <v>225</v>
      </c>
      <c r="M945" s="16" t="s">
        <v>91</v>
      </c>
      <c r="N945" s="16" t="s">
        <v>1088</v>
      </c>
      <c r="O945" s="16">
        <v>1</v>
      </c>
      <c r="P945" s="16">
        <v>7500</v>
      </c>
      <c r="Q945" s="16">
        <f t="shared" ref="Q945:Q948" si="213">O945*P945</f>
        <v>7500</v>
      </c>
      <c r="R945" s="18">
        <v>0.18</v>
      </c>
      <c r="S945" s="16">
        <f t="shared" ref="S945:S948" si="214">Q945*R945</f>
        <v>1350</v>
      </c>
      <c r="T945" s="16">
        <f t="shared" ref="T945:T948" si="215">Q945+S945</f>
        <v>8850</v>
      </c>
      <c r="U945" s="16" t="s">
        <v>1096</v>
      </c>
      <c r="V945" s="19">
        <v>45904</v>
      </c>
      <c r="W945" s="142" t="s">
        <v>1106</v>
      </c>
    </row>
    <row r="946" spans="1:23" x14ac:dyDescent="0.3">
      <c r="A946" s="1"/>
      <c r="B946" s="1"/>
      <c r="C946" s="1"/>
      <c r="D946" s="1"/>
      <c r="E946" s="16" t="s">
        <v>123</v>
      </c>
      <c r="F946" s="16" t="s">
        <v>889</v>
      </c>
      <c r="G946" s="16">
        <v>1</v>
      </c>
      <c r="H946" s="16" t="s">
        <v>28</v>
      </c>
      <c r="I946" s="16">
        <v>2800</v>
      </c>
      <c r="J946" s="16">
        <f t="shared" si="208"/>
        <v>2800</v>
      </c>
      <c r="K946" s="16"/>
      <c r="L946" s="16"/>
      <c r="M946" s="16"/>
      <c r="N946" s="16"/>
      <c r="O946" s="16">
        <v>1</v>
      </c>
      <c r="P946" s="16">
        <v>2800</v>
      </c>
      <c r="Q946" s="16">
        <f t="shared" si="213"/>
        <v>2800</v>
      </c>
      <c r="R946" s="18">
        <v>0.18</v>
      </c>
      <c r="S946" s="16">
        <f t="shared" si="214"/>
        <v>504</v>
      </c>
      <c r="T946" s="16">
        <f t="shared" si="215"/>
        <v>3304</v>
      </c>
      <c r="U946" s="16" t="s">
        <v>1096</v>
      </c>
      <c r="V946" s="19">
        <v>45904</v>
      </c>
      <c r="W946" s="142" t="s">
        <v>1106</v>
      </c>
    </row>
    <row r="947" spans="1:23" ht="25.2" x14ac:dyDescent="0.3">
      <c r="A947" s="1"/>
      <c r="B947" s="1"/>
      <c r="C947" s="1"/>
      <c r="D947" s="1"/>
      <c r="E947" s="16" t="s">
        <v>123</v>
      </c>
      <c r="F947" s="39" t="s">
        <v>890</v>
      </c>
      <c r="G947" s="16">
        <v>2</v>
      </c>
      <c r="H947" s="16" t="s">
        <v>181</v>
      </c>
      <c r="I947" s="16">
        <v>4500</v>
      </c>
      <c r="J947" s="16">
        <f t="shared" si="208"/>
        <v>9000</v>
      </c>
      <c r="K947" s="16"/>
      <c r="L947" s="16"/>
      <c r="M947" s="16"/>
      <c r="N947" s="16"/>
      <c r="O947" s="16">
        <v>2</v>
      </c>
      <c r="P947" s="16">
        <v>4500</v>
      </c>
      <c r="Q947" s="16">
        <f t="shared" si="213"/>
        <v>9000</v>
      </c>
      <c r="R947" s="18">
        <v>0.18</v>
      </c>
      <c r="S947" s="16">
        <f t="shared" si="214"/>
        <v>1620</v>
      </c>
      <c r="T947" s="16">
        <f t="shared" si="215"/>
        <v>10620</v>
      </c>
      <c r="U947" s="16" t="s">
        <v>1096</v>
      </c>
      <c r="V947" s="19">
        <v>45904</v>
      </c>
      <c r="W947" s="142" t="s">
        <v>1106</v>
      </c>
    </row>
    <row r="948" spans="1:23" ht="33" customHeight="1" x14ac:dyDescent="0.3">
      <c r="A948" s="1"/>
      <c r="B948" s="1"/>
      <c r="C948" s="1"/>
      <c r="D948" s="1"/>
      <c r="E948" s="16" t="s">
        <v>123</v>
      </c>
      <c r="F948" s="39" t="s">
        <v>891</v>
      </c>
      <c r="G948" s="16">
        <v>1</v>
      </c>
      <c r="H948" s="16" t="s">
        <v>87</v>
      </c>
      <c r="I948" s="16">
        <v>6500</v>
      </c>
      <c r="J948" s="16">
        <f t="shared" si="208"/>
        <v>6500</v>
      </c>
      <c r="K948" s="16"/>
      <c r="L948" s="16"/>
      <c r="M948" s="16"/>
      <c r="N948" s="16"/>
      <c r="O948" s="16">
        <v>1</v>
      </c>
      <c r="P948" s="16">
        <v>6500</v>
      </c>
      <c r="Q948" s="16">
        <f t="shared" si="213"/>
        <v>6500</v>
      </c>
      <c r="R948" s="18">
        <v>0.18</v>
      </c>
      <c r="S948" s="16">
        <f t="shared" si="214"/>
        <v>1170</v>
      </c>
      <c r="T948" s="16">
        <f t="shared" si="215"/>
        <v>7670</v>
      </c>
      <c r="U948" s="16" t="s">
        <v>1096</v>
      </c>
      <c r="V948" s="19">
        <v>45904</v>
      </c>
      <c r="W948" s="142" t="s">
        <v>1106</v>
      </c>
    </row>
    <row r="949" spans="1:23" x14ac:dyDescent="0.3">
      <c r="A949" s="124"/>
      <c r="B949" s="124"/>
      <c r="C949" s="124"/>
      <c r="D949" s="124"/>
      <c r="E949" s="124"/>
      <c r="F949" s="124" t="s">
        <v>39</v>
      </c>
      <c r="G949" s="1"/>
      <c r="H949" s="1"/>
      <c r="I949" s="1"/>
      <c r="J949" s="124">
        <f>SUM(J944:J948)</f>
        <v>30300</v>
      </c>
      <c r="K949" s="1"/>
      <c r="L949" s="1"/>
      <c r="M949" s="1"/>
      <c r="N949" s="1"/>
      <c r="O949" s="1"/>
      <c r="P949" s="1"/>
      <c r="Q949" s="1"/>
      <c r="R949" s="1"/>
      <c r="S949" s="1"/>
      <c r="T949" s="1"/>
      <c r="U949" s="1"/>
      <c r="V949" s="1"/>
      <c r="W949" s="142"/>
    </row>
    <row r="950" spans="1:23" x14ac:dyDescent="0.3">
      <c r="A950" s="124"/>
      <c r="B950" s="124"/>
      <c r="C950" s="124"/>
      <c r="D950" s="124"/>
      <c r="E950" s="124"/>
      <c r="F950" s="124" t="s">
        <v>187</v>
      </c>
      <c r="G950" s="1"/>
      <c r="H950" s="1"/>
      <c r="I950" s="1"/>
      <c r="J950" s="124">
        <f>J949*18/100</f>
        <v>5454</v>
      </c>
      <c r="K950" s="1"/>
      <c r="L950" s="1"/>
      <c r="M950" s="1"/>
      <c r="N950" s="1"/>
      <c r="O950" s="1"/>
      <c r="P950" s="1"/>
      <c r="Q950" s="1"/>
      <c r="R950" s="1"/>
      <c r="S950" s="1"/>
      <c r="T950" s="1"/>
      <c r="U950" s="1"/>
      <c r="V950" s="1"/>
      <c r="W950" s="142"/>
    </row>
    <row r="951" spans="1:23" x14ac:dyDescent="0.3">
      <c r="A951" s="124"/>
      <c r="B951" s="124"/>
      <c r="C951" s="124"/>
      <c r="D951" s="124"/>
      <c r="E951" s="124"/>
      <c r="F951" s="124" t="s">
        <v>41</v>
      </c>
      <c r="G951" s="1"/>
      <c r="H951" s="1"/>
      <c r="I951" s="1"/>
      <c r="J951" s="124">
        <f>SUM(J949:J950)</f>
        <v>35754</v>
      </c>
      <c r="K951" s="1"/>
      <c r="L951" s="1"/>
      <c r="M951" s="1"/>
      <c r="N951" s="1"/>
      <c r="O951" s="1"/>
      <c r="P951" s="1"/>
      <c r="Q951" s="1"/>
      <c r="R951" s="1"/>
      <c r="S951" s="1"/>
      <c r="T951" s="1">
        <f>SUM(T944:T950)</f>
        <v>35754</v>
      </c>
      <c r="U951" s="1"/>
      <c r="V951" s="1"/>
      <c r="W951" s="142"/>
    </row>
    <row r="952" spans="1:23" x14ac:dyDescent="0.3">
      <c r="A952" s="124"/>
      <c r="B952" s="124"/>
      <c r="C952" s="124"/>
      <c r="D952" s="124"/>
      <c r="E952" s="124"/>
      <c r="F952" s="124"/>
      <c r="G952" s="1"/>
      <c r="H952" s="1"/>
      <c r="I952" s="1"/>
      <c r="J952" s="124"/>
      <c r="K952" s="1"/>
      <c r="L952" s="1"/>
      <c r="M952" s="1"/>
      <c r="N952" s="1"/>
      <c r="O952" s="1"/>
      <c r="P952" s="1"/>
      <c r="Q952" s="1"/>
      <c r="R952" s="1"/>
      <c r="S952" s="1"/>
      <c r="T952" s="1"/>
      <c r="U952" s="1"/>
      <c r="V952" s="1"/>
      <c r="W952" s="142"/>
    </row>
    <row r="953" spans="1:23" x14ac:dyDescent="0.3">
      <c r="A953" s="16">
        <v>85</v>
      </c>
      <c r="B953" s="16">
        <v>9200133514</v>
      </c>
      <c r="C953" s="19">
        <v>45841</v>
      </c>
      <c r="D953" s="16" t="s">
        <v>43</v>
      </c>
      <c r="E953" s="16" t="s">
        <v>123</v>
      </c>
      <c r="F953" s="16" t="s">
        <v>892</v>
      </c>
      <c r="G953" s="16">
        <v>6</v>
      </c>
      <c r="H953" s="16" t="s">
        <v>28</v>
      </c>
      <c r="I953" s="16">
        <v>4500</v>
      </c>
      <c r="J953" s="16">
        <f>G953*I953</f>
        <v>27000</v>
      </c>
      <c r="K953" s="16">
        <v>6</v>
      </c>
      <c r="L953" s="16" t="s">
        <v>28</v>
      </c>
      <c r="M953" s="16" t="s">
        <v>91</v>
      </c>
      <c r="N953" s="16" t="s">
        <v>1070</v>
      </c>
      <c r="O953" s="16">
        <v>6</v>
      </c>
      <c r="P953" s="16">
        <v>4500</v>
      </c>
      <c r="Q953" s="16">
        <f>O953*P953</f>
        <v>27000</v>
      </c>
      <c r="R953" s="18">
        <v>0</v>
      </c>
      <c r="S953" s="16">
        <f>Q953*R953</f>
        <v>0</v>
      </c>
      <c r="T953" s="16">
        <f>Q953+S953</f>
        <v>27000</v>
      </c>
      <c r="U953" s="16" t="s">
        <v>1225</v>
      </c>
      <c r="V953" s="19" t="s">
        <v>1226</v>
      </c>
      <c r="W953" s="142" t="s">
        <v>1377</v>
      </c>
    </row>
    <row r="954" spans="1:23" x14ac:dyDescent="0.3">
      <c r="A954" s="1"/>
      <c r="B954" s="1"/>
      <c r="C954" s="1"/>
      <c r="D954" s="1"/>
      <c r="E954" s="16" t="s">
        <v>123</v>
      </c>
      <c r="F954" s="16" t="s">
        <v>893</v>
      </c>
      <c r="G954" s="16">
        <v>6</v>
      </c>
      <c r="H954" s="16" t="s">
        <v>28</v>
      </c>
      <c r="I954" s="16">
        <v>4850</v>
      </c>
      <c r="J954" s="16">
        <f t="shared" ref="J954:J1048" si="216">G954*I954</f>
        <v>29100</v>
      </c>
      <c r="K954" s="16">
        <v>6</v>
      </c>
      <c r="L954" s="16" t="s">
        <v>28</v>
      </c>
      <c r="M954" s="16" t="s">
        <v>91</v>
      </c>
      <c r="N954" s="16" t="s">
        <v>1070</v>
      </c>
      <c r="O954" s="16">
        <v>6</v>
      </c>
      <c r="P954" s="16">
        <v>4850</v>
      </c>
      <c r="Q954" s="16">
        <f t="shared" ref="Q954:Q964" si="217">O954*P954</f>
        <v>29100</v>
      </c>
      <c r="R954" s="18">
        <v>0</v>
      </c>
      <c r="S954" s="16">
        <f t="shared" ref="S954:S964" si="218">Q954*R954</f>
        <v>0</v>
      </c>
      <c r="T954" s="16">
        <f t="shared" ref="T954:T964" si="219">Q954+S954</f>
        <v>29100</v>
      </c>
      <c r="U954" s="16" t="s">
        <v>1225</v>
      </c>
      <c r="V954" s="19" t="s">
        <v>1226</v>
      </c>
      <c r="W954" s="142" t="s">
        <v>1377</v>
      </c>
    </row>
    <row r="955" spans="1:23" x14ac:dyDescent="0.3">
      <c r="A955" s="1"/>
      <c r="B955" s="1"/>
      <c r="C955" s="1"/>
      <c r="D955" s="1"/>
      <c r="E955" s="16" t="s">
        <v>123</v>
      </c>
      <c r="F955" s="16" t="s">
        <v>894</v>
      </c>
      <c r="G955" s="16">
        <v>40</v>
      </c>
      <c r="H955" s="16" t="s">
        <v>141</v>
      </c>
      <c r="I955" s="16">
        <v>135</v>
      </c>
      <c r="J955" s="16">
        <f t="shared" si="216"/>
        <v>5400</v>
      </c>
      <c r="K955" s="16">
        <v>40</v>
      </c>
      <c r="L955" s="16" t="s">
        <v>28</v>
      </c>
      <c r="M955" s="16" t="s">
        <v>91</v>
      </c>
      <c r="N955" s="16" t="s">
        <v>1070</v>
      </c>
      <c r="O955" s="16">
        <v>40</v>
      </c>
      <c r="P955" s="16">
        <v>135</v>
      </c>
      <c r="Q955" s="16">
        <f t="shared" si="217"/>
        <v>5400</v>
      </c>
      <c r="R955" s="18">
        <v>0</v>
      </c>
      <c r="S955" s="16">
        <f t="shared" si="218"/>
        <v>0</v>
      </c>
      <c r="T955" s="16">
        <f t="shared" si="219"/>
        <v>5400</v>
      </c>
      <c r="U955" s="16" t="s">
        <v>1225</v>
      </c>
      <c r="V955" s="19" t="s">
        <v>1226</v>
      </c>
      <c r="W955" s="142" t="s">
        <v>1377</v>
      </c>
    </row>
    <row r="956" spans="1:23" x14ac:dyDescent="0.3">
      <c r="A956" s="1"/>
      <c r="B956" s="1"/>
      <c r="C956" s="1"/>
      <c r="D956" s="1"/>
      <c r="E956" s="16" t="s">
        <v>123</v>
      </c>
      <c r="F956" s="16" t="s">
        <v>895</v>
      </c>
      <c r="G956" s="16">
        <v>160</v>
      </c>
      <c r="H956" s="16" t="s">
        <v>252</v>
      </c>
      <c r="I956" s="16">
        <v>310</v>
      </c>
      <c r="J956" s="16">
        <f t="shared" si="216"/>
        <v>49600</v>
      </c>
      <c r="K956" s="16">
        <v>160</v>
      </c>
      <c r="L956" s="16" t="s">
        <v>252</v>
      </c>
      <c r="M956" s="16" t="s">
        <v>91</v>
      </c>
      <c r="N956" s="16" t="s">
        <v>1070</v>
      </c>
      <c r="O956" s="16">
        <v>160</v>
      </c>
      <c r="P956" s="16">
        <v>310</v>
      </c>
      <c r="Q956" s="16">
        <f t="shared" si="217"/>
        <v>49600</v>
      </c>
      <c r="R956" s="18">
        <v>0</v>
      </c>
      <c r="S956" s="16">
        <f t="shared" si="218"/>
        <v>0</v>
      </c>
      <c r="T956" s="16">
        <f t="shared" si="219"/>
        <v>49600</v>
      </c>
      <c r="U956" s="16" t="s">
        <v>1225</v>
      </c>
      <c r="V956" s="19" t="s">
        <v>1226</v>
      </c>
      <c r="W956" s="142" t="s">
        <v>1377</v>
      </c>
    </row>
    <row r="957" spans="1:23" x14ac:dyDescent="0.3">
      <c r="A957" s="1"/>
      <c r="B957" s="1"/>
      <c r="C957" s="1"/>
      <c r="D957" s="1"/>
      <c r="E957" s="16" t="s">
        <v>123</v>
      </c>
      <c r="F957" s="16" t="s">
        <v>896</v>
      </c>
      <c r="G957" s="16">
        <v>44</v>
      </c>
      <c r="H957" s="16" t="s">
        <v>28</v>
      </c>
      <c r="I957" s="16">
        <v>287</v>
      </c>
      <c r="J957" s="16">
        <f t="shared" si="216"/>
        <v>12628</v>
      </c>
      <c r="K957" s="16">
        <v>44</v>
      </c>
      <c r="L957" s="16" t="s">
        <v>28</v>
      </c>
      <c r="M957" s="16" t="s">
        <v>91</v>
      </c>
      <c r="N957" s="16" t="s">
        <v>1070</v>
      </c>
      <c r="O957" s="16">
        <v>44</v>
      </c>
      <c r="P957" s="16">
        <v>287</v>
      </c>
      <c r="Q957" s="16">
        <f t="shared" si="217"/>
        <v>12628</v>
      </c>
      <c r="R957" s="18">
        <v>0</v>
      </c>
      <c r="S957" s="16">
        <f t="shared" si="218"/>
        <v>0</v>
      </c>
      <c r="T957" s="16">
        <f t="shared" si="219"/>
        <v>12628</v>
      </c>
      <c r="U957" s="16" t="s">
        <v>1225</v>
      </c>
      <c r="V957" s="19" t="s">
        <v>1226</v>
      </c>
      <c r="W957" s="142" t="s">
        <v>1377</v>
      </c>
    </row>
    <row r="958" spans="1:23" ht="25.2" x14ac:dyDescent="0.3">
      <c r="A958" s="1"/>
      <c r="B958" s="1"/>
      <c r="C958" s="1"/>
      <c r="D958" s="1"/>
      <c r="E958" s="16" t="s">
        <v>123</v>
      </c>
      <c r="F958" s="39" t="s">
        <v>897</v>
      </c>
      <c r="G958" s="16">
        <v>8</v>
      </c>
      <c r="H958" s="16" t="s">
        <v>28</v>
      </c>
      <c r="I958" s="16">
        <v>7800</v>
      </c>
      <c r="J958" s="16">
        <f t="shared" si="216"/>
        <v>62400</v>
      </c>
      <c r="K958" s="16"/>
      <c r="L958" s="16"/>
      <c r="M958" s="16"/>
      <c r="N958" s="16"/>
      <c r="O958" s="16">
        <v>8</v>
      </c>
      <c r="P958" s="16">
        <v>7800</v>
      </c>
      <c r="Q958" s="16">
        <f t="shared" si="217"/>
        <v>62400</v>
      </c>
      <c r="R958" s="18">
        <v>0</v>
      </c>
      <c r="S958" s="16">
        <f t="shared" si="218"/>
        <v>0</v>
      </c>
      <c r="T958" s="16">
        <f t="shared" si="219"/>
        <v>62400</v>
      </c>
      <c r="U958" s="16" t="s">
        <v>1225</v>
      </c>
      <c r="V958" s="19" t="s">
        <v>1226</v>
      </c>
      <c r="W958" s="142" t="s">
        <v>1377</v>
      </c>
    </row>
    <row r="959" spans="1:23" ht="25.2" x14ac:dyDescent="0.3">
      <c r="A959" s="1"/>
      <c r="B959" s="1"/>
      <c r="C959" s="1"/>
      <c r="D959" s="1"/>
      <c r="E959" s="16" t="s">
        <v>123</v>
      </c>
      <c r="F959" s="39" t="s">
        <v>898</v>
      </c>
      <c r="G959" s="16">
        <v>100</v>
      </c>
      <c r="H959" s="16" t="s">
        <v>252</v>
      </c>
      <c r="I959" s="16">
        <v>285</v>
      </c>
      <c r="J959" s="16">
        <f t="shared" si="216"/>
        <v>28500</v>
      </c>
      <c r="K959" s="16"/>
      <c r="L959" s="16"/>
      <c r="M959" s="16"/>
      <c r="N959" s="16"/>
      <c r="O959" s="16">
        <v>100</v>
      </c>
      <c r="P959" s="16">
        <v>285</v>
      </c>
      <c r="Q959" s="16">
        <f t="shared" si="217"/>
        <v>28500</v>
      </c>
      <c r="R959" s="18">
        <v>0</v>
      </c>
      <c r="S959" s="16">
        <f t="shared" si="218"/>
        <v>0</v>
      </c>
      <c r="T959" s="16">
        <f t="shared" si="219"/>
        <v>28500</v>
      </c>
      <c r="U959" s="16" t="s">
        <v>1225</v>
      </c>
      <c r="V959" s="19" t="s">
        <v>1226</v>
      </c>
      <c r="W959" s="142" t="s">
        <v>1377</v>
      </c>
    </row>
    <row r="960" spans="1:23" ht="25.2" x14ac:dyDescent="0.3">
      <c r="A960" s="1"/>
      <c r="B960" s="1"/>
      <c r="C960" s="1"/>
      <c r="D960" s="1"/>
      <c r="E960" s="16" t="s">
        <v>123</v>
      </c>
      <c r="F960" s="39" t="s">
        <v>899</v>
      </c>
      <c r="G960" s="16">
        <v>100</v>
      </c>
      <c r="H960" s="16" t="s">
        <v>252</v>
      </c>
      <c r="I960" s="16">
        <v>230</v>
      </c>
      <c r="J960" s="16">
        <f t="shared" si="216"/>
        <v>23000</v>
      </c>
      <c r="K960" s="16"/>
      <c r="L960" s="16"/>
      <c r="M960" s="16"/>
      <c r="N960" s="16"/>
      <c r="O960" s="16">
        <v>100</v>
      </c>
      <c r="P960" s="16">
        <v>230</v>
      </c>
      <c r="Q960" s="16">
        <f t="shared" si="217"/>
        <v>23000</v>
      </c>
      <c r="R960" s="18">
        <v>0</v>
      </c>
      <c r="S960" s="16">
        <f t="shared" si="218"/>
        <v>0</v>
      </c>
      <c r="T960" s="16">
        <f t="shared" si="219"/>
        <v>23000</v>
      </c>
      <c r="U960" s="16" t="s">
        <v>1225</v>
      </c>
      <c r="V960" s="19" t="s">
        <v>1226</v>
      </c>
      <c r="W960" s="142" t="s">
        <v>1377</v>
      </c>
    </row>
    <row r="961" spans="1:23" x14ac:dyDescent="0.3">
      <c r="A961" s="1"/>
      <c r="B961" s="1"/>
      <c r="C961" s="1"/>
      <c r="D961" s="1"/>
      <c r="E961" s="16" t="s">
        <v>123</v>
      </c>
      <c r="F961" s="16" t="s">
        <v>900</v>
      </c>
      <c r="G961" s="16">
        <v>100</v>
      </c>
      <c r="H961" s="16" t="s">
        <v>252</v>
      </c>
      <c r="I961" s="16">
        <v>455</v>
      </c>
      <c r="J961" s="16">
        <f t="shared" si="216"/>
        <v>45500</v>
      </c>
      <c r="K961" s="16">
        <v>100</v>
      </c>
      <c r="L961" s="16" t="s">
        <v>252</v>
      </c>
      <c r="M961" s="16" t="s">
        <v>91</v>
      </c>
      <c r="N961" s="16" t="s">
        <v>1070</v>
      </c>
      <c r="O961" s="16">
        <v>100</v>
      </c>
      <c r="P961" s="16">
        <v>455</v>
      </c>
      <c r="Q961" s="16">
        <f t="shared" si="217"/>
        <v>45500</v>
      </c>
      <c r="R961" s="18">
        <v>0</v>
      </c>
      <c r="S961" s="16">
        <f t="shared" si="218"/>
        <v>0</v>
      </c>
      <c r="T961" s="16">
        <f t="shared" si="219"/>
        <v>45500</v>
      </c>
      <c r="U961" s="16" t="s">
        <v>1225</v>
      </c>
      <c r="V961" s="19" t="s">
        <v>1226</v>
      </c>
      <c r="W961" s="142" t="s">
        <v>1377</v>
      </c>
    </row>
    <row r="962" spans="1:23" x14ac:dyDescent="0.3">
      <c r="A962" s="1"/>
      <c r="B962" s="1"/>
      <c r="C962" s="1"/>
      <c r="D962" s="1"/>
      <c r="E962" s="16" t="s">
        <v>123</v>
      </c>
      <c r="F962" s="39" t="s">
        <v>901</v>
      </c>
      <c r="G962" s="16">
        <v>60</v>
      </c>
      <c r="H962" s="16" t="s">
        <v>28</v>
      </c>
      <c r="I962" s="16">
        <v>110</v>
      </c>
      <c r="J962" s="16">
        <f t="shared" si="216"/>
        <v>6600</v>
      </c>
      <c r="K962" s="16">
        <v>60</v>
      </c>
      <c r="L962" s="16" t="s">
        <v>28</v>
      </c>
      <c r="M962" s="16" t="s">
        <v>91</v>
      </c>
      <c r="N962" s="16" t="s">
        <v>1070</v>
      </c>
      <c r="O962" s="16">
        <v>60</v>
      </c>
      <c r="P962" s="16">
        <v>110</v>
      </c>
      <c r="Q962" s="16">
        <f t="shared" si="217"/>
        <v>6600</v>
      </c>
      <c r="R962" s="18">
        <v>0</v>
      </c>
      <c r="S962" s="16">
        <f t="shared" si="218"/>
        <v>0</v>
      </c>
      <c r="T962" s="16">
        <f t="shared" si="219"/>
        <v>6600</v>
      </c>
      <c r="U962" s="16" t="s">
        <v>1225</v>
      </c>
      <c r="V962" s="19" t="s">
        <v>1226</v>
      </c>
      <c r="W962" s="142" t="s">
        <v>1377</v>
      </c>
    </row>
    <row r="963" spans="1:23" ht="50.4" x14ac:dyDescent="0.3">
      <c r="A963" s="1"/>
      <c r="B963" s="1"/>
      <c r="C963" s="1"/>
      <c r="D963" s="1"/>
      <c r="E963" s="16" t="s">
        <v>123</v>
      </c>
      <c r="F963" s="39" t="s">
        <v>902</v>
      </c>
      <c r="G963" s="16">
        <v>8</v>
      </c>
      <c r="H963" s="16" t="s">
        <v>87</v>
      </c>
      <c r="I963" s="16">
        <v>4159</v>
      </c>
      <c r="J963" s="16">
        <f t="shared" si="216"/>
        <v>33272</v>
      </c>
      <c r="K963" s="16"/>
      <c r="L963" s="16"/>
      <c r="M963" s="16"/>
      <c r="N963" s="16"/>
      <c r="O963" s="16">
        <v>8</v>
      </c>
      <c r="P963" s="16">
        <v>4159</v>
      </c>
      <c r="Q963" s="16">
        <f t="shared" si="217"/>
        <v>33272</v>
      </c>
      <c r="R963" s="18">
        <v>0</v>
      </c>
      <c r="S963" s="16">
        <f t="shared" si="218"/>
        <v>0</v>
      </c>
      <c r="T963" s="16">
        <f t="shared" si="219"/>
        <v>33272</v>
      </c>
      <c r="U963" s="16" t="s">
        <v>1225</v>
      </c>
      <c r="V963" s="19" t="s">
        <v>1226</v>
      </c>
      <c r="W963" s="142" t="s">
        <v>1377</v>
      </c>
    </row>
    <row r="964" spans="1:23" x14ac:dyDescent="0.3">
      <c r="A964" s="1"/>
      <c r="B964" s="1"/>
      <c r="C964" s="1"/>
      <c r="D964" s="1"/>
      <c r="E964" s="16" t="s">
        <v>123</v>
      </c>
      <c r="F964" s="16" t="s">
        <v>903</v>
      </c>
      <c r="G964" s="16">
        <v>8</v>
      </c>
      <c r="H964" s="16" t="s">
        <v>87</v>
      </c>
      <c r="I964" s="16">
        <v>3000</v>
      </c>
      <c r="J964" s="16">
        <f t="shared" si="216"/>
        <v>24000</v>
      </c>
      <c r="K964" s="16"/>
      <c r="L964" s="16"/>
      <c r="M964" s="16"/>
      <c r="N964" s="16"/>
      <c r="O964" s="16">
        <v>8</v>
      </c>
      <c r="P964" s="16">
        <v>3000</v>
      </c>
      <c r="Q964" s="16">
        <f t="shared" si="217"/>
        <v>24000</v>
      </c>
      <c r="R964" s="18">
        <v>0</v>
      </c>
      <c r="S964" s="16">
        <f t="shared" si="218"/>
        <v>0</v>
      </c>
      <c r="T964" s="16">
        <f t="shared" si="219"/>
        <v>24000</v>
      </c>
      <c r="U964" s="16" t="s">
        <v>1225</v>
      </c>
      <c r="V964" s="19" t="s">
        <v>1226</v>
      </c>
      <c r="W964" s="142" t="s">
        <v>1377</v>
      </c>
    </row>
    <row r="965" spans="1:23" x14ac:dyDescent="0.3">
      <c r="A965" s="124"/>
      <c r="B965" s="124"/>
      <c r="C965" s="124"/>
      <c r="D965" s="124"/>
      <c r="E965" s="124"/>
      <c r="F965" s="124" t="s">
        <v>39</v>
      </c>
      <c r="G965" s="1"/>
      <c r="H965" s="1"/>
      <c r="I965" s="1"/>
      <c r="J965" s="124">
        <f>SUM(J953:J964)</f>
        <v>347000</v>
      </c>
      <c r="K965" s="1"/>
      <c r="L965" s="1"/>
      <c r="M965" s="1"/>
      <c r="N965" s="1"/>
      <c r="O965" s="1"/>
      <c r="P965" s="1"/>
      <c r="Q965" s="1"/>
      <c r="R965" s="1"/>
      <c r="S965" s="1"/>
      <c r="T965" s="1"/>
      <c r="U965" s="1"/>
      <c r="V965" s="1"/>
      <c r="W965" s="142"/>
    </row>
    <row r="966" spans="1:23" x14ac:dyDescent="0.3">
      <c r="A966" s="124"/>
      <c r="B966" s="124"/>
      <c r="C966" s="124"/>
      <c r="D966" s="124"/>
      <c r="E966" s="124"/>
      <c r="F966" s="124" t="s">
        <v>599</v>
      </c>
      <c r="G966" s="1"/>
      <c r="H966" s="1"/>
      <c r="I966" s="1"/>
      <c r="J966" s="124">
        <f>J965*0/100</f>
        <v>0</v>
      </c>
      <c r="K966" s="1"/>
      <c r="L966" s="1"/>
      <c r="M966" s="1"/>
      <c r="N966" s="1"/>
      <c r="O966" s="1"/>
      <c r="P966" s="1"/>
      <c r="Q966" s="1"/>
      <c r="R966" s="1"/>
      <c r="S966" s="1"/>
      <c r="T966" s="1"/>
      <c r="U966" s="1"/>
      <c r="V966" s="1"/>
      <c r="W966" s="142"/>
    </row>
    <row r="967" spans="1:23" x14ac:dyDescent="0.3">
      <c r="A967" s="124"/>
      <c r="B967" s="124"/>
      <c r="C967" s="124"/>
      <c r="D967" s="124"/>
      <c r="E967" s="124"/>
      <c r="F967" s="124" t="s">
        <v>41</v>
      </c>
      <c r="G967" s="1"/>
      <c r="H967" s="1"/>
      <c r="I967" s="1"/>
      <c r="J967" s="124">
        <f>SUM(J965:J966)</f>
        <v>347000</v>
      </c>
      <c r="K967" s="1"/>
      <c r="L967" s="1"/>
      <c r="M967" s="1"/>
      <c r="N967" s="1"/>
      <c r="O967" s="1"/>
      <c r="P967" s="1"/>
      <c r="Q967" s="1"/>
      <c r="R967" s="1"/>
      <c r="S967" s="1"/>
      <c r="T967" s="1">
        <f>SUM(T953:T966)</f>
        <v>347000</v>
      </c>
      <c r="U967" s="1"/>
      <c r="V967" s="1"/>
      <c r="W967" s="142"/>
    </row>
    <row r="968" spans="1:23" x14ac:dyDescent="0.3">
      <c r="A968" s="124"/>
      <c r="B968" s="124"/>
      <c r="C968" s="124"/>
      <c r="D968" s="124"/>
      <c r="E968" s="124"/>
      <c r="F968" s="124"/>
      <c r="G968" s="1"/>
      <c r="H968" s="1"/>
      <c r="I968" s="1"/>
      <c r="J968" s="124"/>
      <c r="K968" s="1"/>
      <c r="L968" s="1"/>
      <c r="M968" s="1"/>
      <c r="N968" s="1"/>
      <c r="O968" s="1"/>
      <c r="P968" s="1"/>
      <c r="Q968" s="1"/>
      <c r="R968" s="1"/>
      <c r="S968" s="1"/>
      <c r="T968" s="1"/>
      <c r="U968" s="1"/>
      <c r="V968" s="1"/>
      <c r="W968" s="142"/>
    </row>
    <row r="969" spans="1:23" ht="25.2" x14ac:dyDescent="0.3">
      <c r="A969" s="16">
        <v>86</v>
      </c>
      <c r="B969" s="16">
        <v>9200133605</v>
      </c>
      <c r="C969" s="19">
        <v>45933</v>
      </c>
      <c r="D969" s="16" t="s">
        <v>373</v>
      </c>
      <c r="E969" s="16" t="s">
        <v>123</v>
      </c>
      <c r="F969" s="39" t="s">
        <v>904</v>
      </c>
      <c r="G969" s="16">
        <v>5</v>
      </c>
      <c r="H969" s="16" t="s">
        <v>28</v>
      </c>
      <c r="I969" s="16">
        <v>15200</v>
      </c>
      <c r="J969" s="16">
        <f t="shared" si="216"/>
        <v>76000</v>
      </c>
      <c r="K969" s="16"/>
      <c r="L969" s="16"/>
      <c r="M969" s="16"/>
      <c r="N969" s="16"/>
      <c r="O969" s="16">
        <v>5</v>
      </c>
      <c r="P969" s="16">
        <v>15200</v>
      </c>
      <c r="Q969" s="16">
        <f>O969*P969</f>
        <v>76000</v>
      </c>
      <c r="R969" s="18">
        <v>0</v>
      </c>
      <c r="S969" s="16">
        <f>Q969*R969</f>
        <v>0</v>
      </c>
      <c r="T969" s="16">
        <f>Q969+S969</f>
        <v>76000</v>
      </c>
      <c r="U969" s="16" t="s">
        <v>1221</v>
      </c>
      <c r="V969" s="19" t="s">
        <v>1222</v>
      </c>
      <c r="W969" s="142" t="s">
        <v>1277</v>
      </c>
    </row>
    <row r="970" spans="1:23" ht="25.2" x14ac:dyDescent="0.3">
      <c r="A970" s="1"/>
      <c r="B970" s="1"/>
      <c r="C970" s="1"/>
      <c r="D970" s="1"/>
      <c r="E970" s="16" t="s">
        <v>123</v>
      </c>
      <c r="F970" s="39" t="s">
        <v>905</v>
      </c>
      <c r="G970" s="16">
        <v>4</v>
      </c>
      <c r="H970" s="16" t="s">
        <v>28</v>
      </c>
      <c r="I970" s="16">
        <v>8800</v>
      </c>
      <c r="J970" s="16">
        <f t="shared" si="216"/>
        <v>35200</v>
      </c>
      <c r="K970" s="16">
        <v>4</v>
      </c>
      <c r="L970" s="16" t="s">
        <v>28</v>
      </c>
      <c r="M970" s="16" t="s">
        <v>91</v>
      </c>
      <c r="N970" s="16" t="s">
        <v>1038</v>
      </c>
      <c r="O970" s="16">
        <v>4</v>
      </c>
      <c r="P970" s="16">
        <v>8800</v>
      </c>
      <c r="Q970" s="16">
        <f t="shared" ref="Q970:Q973" si="220">O970*P970</f>
        <v>35200</v>
      </c>
      <c r="R970" s="18">
        <v>0</v>
      </c>
      <c r="S970" s="16">
        <f t="shared" ref="S970:S973" si="221">Q970*R970</f>
        <v>0</v>
      </c>
      <c r="T970" s="16">
        <f t="shared" ref="T970:T973" si="222">Q970+S970</f>
        <v>35200</v>
      </c>
      <c r="U970" s="16" t="s">
        <v>1221</v>
      </c>
      <c r="V970" s="19" t="s">
        <v>1222</v>
      </c>
      <c r="W970" s="142" t="s">
        <v>1277</v>
      </c>
    </row>
    <row r="971" spans="1:23" ht="25.2" x14ac:dyDescent="0.3">
      <c r="A971" s="1"/>
      <c r="B971" s="1"/>
      <c r="C971" s="1"/>
      <c r="D971" s="1"/>
      <c r="E971" s="16" t="s">
        <v>123</v>
      </c>
      <c r="F971" s="39" t="s">
        <v>906</v>
      </c>
      <c r="G971" s="16">
        <v>2</v>
      </c>
      <c r="H971" s="16" t="s">
        <v>28</v>
      </c>
      <c r="I971" s="16">
        <v>15800</v>
      </c>
      <c r="J971" s="16">
        <f t="shared" si="216"/>
        <v>31600</v>
      </c>
      <c r="K971" s="16"/>
      <c r="L971" s="16"/>
      <c r="M971" s="16"/>
      <c r="N971" s="16"/>
      <c r="O971" s="16">
        <v>2</v>
      </c>
      <c r="P971" s="16">
        <v>15800</v>
      </c>
      <c r="Q971" s="16">
        <f t="shared" si="220"/>
        <v>31600</v>
      </c>
      <c r="R971" s="18">
        <v>0</v>
      </c>
      <c r="S971" s="16">
        <f t="shared" si="221"/>
        <v>0</v>
      </c>
      <c r="T971" s="16">
        <f t="shared" si="222"/>
        <v>31600</v>
      </c>
      <c r="U971" s="16" t="s">
        <v>1221</v>
      </c>
      <c r="V971" s="19" t="s">
        <v>1222</v>
      </c>
      <c r="W971" s="142" t="s">
        <v>1277</v>
      </c>
    </row>
    <row r="972" spans="1:23" x14ac:dyDescent="0.3">
      <c r="A972" s="1"/>
      <c r="B972" s="1"/>
      <c r="C972" s="1"/>
      <c r="D972" s="1"/>
      <c r="E972" s="16" t="s">
        <v>123</v>
      </c>
      <c r="F972" s="16" t="s">
        <v>907</v>
      </c>
      <c r="G972" s="16">
        <v>5</v>
      </c>
      <c r="H972" s="16" t="s">
        <v>87</v>
      </c>
      <c r="I972" s="16">
        <v>14600</v>
      </c>
      <c r="J972" s="16">
        <f t="shared" si="216"/>
        <v>73000</v>
      </c>
      <c r="K972" s="16">
        <v>8</v>
      </c>
      <c r="L972" s="16" t="s">
        <v>1059</v>
      </c>
      <c r="M972" s="16" t="s">
        <v>91</v>
      </c>
      <c r="N972" s="16" t="s">
        <v>1060</v>
      </c>
      <c r="O972" s="16">
        <v>5</v>
      </c>
      <c r="P972" s="16">
        <v>14600</v>
      </c>
      <c r="Q972" s="16">
        <f t="shared" si="220"/>
        <v>73000</v>
      </c>
      <c r="R972" s="18">
        <v>0</v>
      </c>
      <c r="S972" s="16">
        <f t="shared" si="221"/>
        <v>0</v>
      </c>
      <c r="T972" s="16">
        <f t="shared" si="222"/>
        <v>73000</v>
      </c>
      <c r="U972" s="16" t="s">
        <v>1221</v>
      </c>
      <c r="V972" s="19" t="s">
        <v>1222</v>
      </c>
      <c r="W972" s="142" t="s">
        <v>1277</v>
      </c>
    </row>
    <row r="973" spans="1:23" ht="37.799999999999997" x14ac:dyDescent="0.3">
      <c r="A973" s="1"/>
      <c r="B973" s="1"/>
      <c r="C973" s="1"/>
      <c r="D973" s="1"/>
      <c r="E973" s="16" t="s">
        <v>123</v>
      </c>
      <c r="F973" s="39" t="s">
        <v>908</v>
      </c>
      <c r="G973" s="16">
        <v>2</v>
      </c>
      <c r="H973" s="16" t="s">
        <v>87</v>
      </c>
      <c r="I973" s="16">
        <v>22100</v>
      </c>
      <c r="J973" s="16">
        <f t="shared" si="216"/>
        <v>44200</v>
      </c>
      <c r="K973" s="16"/>
      <c r="L973" s="16"/>
      <c r="M973" s="16" t="s">
        <v>91</v>
      </c>
      <c r="N973" s="16" t="s">
        <v>1038</v>
      </c>
      <c r="O973" s="16">
        <v>2</v>
      </c>
      <c r="P973" s="16">
        <v>22100</v>
      </c>
      <c r="Q973" s="16">
        <f t="shared" si="220"/>
        <v>44200</v>
      </c>
      <c r="R973" s="18">
        <v>0</v>
      </c>
      <c r="S973" s="16">
        <f t="shared" si="221"/>
        <v>0</v>
      </c>
      <c r="T973" s="16">
        <f t="shared" si="222"/>
        <v>44200</v>
      </c>
      <c r="U973" s="16" t="s">
        <v>1221</v>
      </c>
      <c r="V973" s="19" t="s">
        <v>1222</v>
      </c>
      <c r="W973" s="142" t="s">
        <v>1277</v>
      </c>
    </row>
    <row r="974" spans="1:23" x14ac:dyDescent="0.3">
      <c r="A974" s="124"/>
      <c r="B974" s="124"/>
      <c r="C974" s="124"/>
      <c r="D974" s="124"/>
      <c r="E974" s="124"/>
      <c r="F974" s="124" t="s">
        <v>39</v>
      </c>
      <c r="G974" s="1"/>
      <c r="H974" s="1"/>
      <c r="I974" s="1"/>
      <c r="J974" s="124">
        <f>SUM(J969:J973)</f>
        <v>260000</v>
      </c>
      <c r="K974" s="85">
        <v>8</v>
      </c>
      <c r="L974" s="85" t="s">
        <v>28</v>
      </c>
      <c r="M974" s="85" t="s">
        <v>91</v>
      </c>
      <c r="N974" s="85" t="s">
        <v>1068</v>
      </c>
      <c r="O974" s="1"/>
      <c r="P974" s="1"/>
      <c r="Q974" s="1"/>
      <c r="R974" s="1"/>
      <c r="S974" s="1"/>
      <c r="T974" s="1"/>
      <c r="U974" s="1"/>
      <c r="V974" s="1"/>
      <c r="W974" s="142"/>
    </row>
    <row r="975" spans="1:23" x14ac:dyDescent="0.3">
      <c r="A975" s="124"/>
      <c r="B975" s="124"/>
      <c r="C975" s="124"/>
      <c r="D975" s="124"/>
      <c r="E975" s="124"/>
      <c r="F975" s="124" t="s">
        <v>599</v>
      </c>
      <c r="G975" s="1"/>
      <c r="H975" s="1"/>
      <c r="I975" s="1"/>
      <c r="J975" s="124">
        <f>J974*0/100</f>
        <v>0</v>
      </c>
      <c r="K975" s="26" t="s">
        <v>1063</v>
      </c>
      <c r="L975" s="1"/>
      <c r="M975" s="1"/>
      <c r="N975" s="1"/>
      <c r="O975" s="1"/>
      <c r="P975" s="1"/>
      <c r="Q975" s="1"/>
      <c r="R975" s="1"/>
      <c r="S975" s="1"/>
      <c r="T975" s="1"/>
      <c r="U975" s="1"/>
      <c r="V975" s="1"/>
      <c r="W975" s="142"/>
    </row>
    <row r="976" spans="1:23" x14ac:dyDescent="0.3">
      <c r="A976" s="124"/>
      <c r="B976" s="124"/>
      <c r="C976" s="124"/>
      <c r="D976" s="124"/>
      <c r="E976" s="124"/>
      <c r="F976" s="124" t="s">
        <v>41</v>
      </c>
      <c r="G976" s="1"/>
      <c r="H976" s="1"/>
      <c r="I976" s="1"/>
      <c r="J976" s="124">
        <f>SUM(J974:J975)</f>
        <v>260000</v>
      </c>
      <c r="K976" s="1"/>
      <c r="L976" s="1"/>
      <c r="M976" s="1"/>
      <c r="N976" s="1"/>
      <c r="O976" s="1"/>
      <c r="P976" s="1"/>
      <c r="Q976" s="1">
        <f>SUM(Q969:Q975)</f>
        <v>260000</v>
      </c>
      <c r="R976" s="1"/>
      <c r="S976" s="1"/>
      <c r="T976" s="1"/>
      <c r="U976" s="1"/>
      <c r="V976" s="1"/>
      <c r="W976" s="142"/>
    </row>
    <row r="977" spans="1:23" x14ac:dyDescent="0.3">
      <c r="A977" s="124"/>
      <c r="B977" s="124"/>
      <c r="C977" s="124"/>
      <c r="D977" s="124"/>
      <c r="E977" s="124"/>
      <c r="F977" s="124"/>
      <c r="G977" s="1"/>
      <c r="H977" s="1"/>
      <c r="I977" s="1"/>
      <c r="J977" s="124"/>
      <c r="K977" s="1"/>
      <c r="L977" s="1"/>
      <c r="M977" s="1"/>
      <c r="N977" s="1"/>
      <c r="O977" s="1"/>
      <c r="P977" s="1"/>
      <c r="Q977" s="1"/>
      <c r="R977" s="1"/>
      <c r="S977" s="1"/>
      <c r="T977" s="1"/>
      <c r="U977" s="1"/>
      <c r="V977" s="1"/>
      <c r="W977" s="142"/>
    </row>
    <row r="978" spans="1:23" ht="25.2" x14ac:dyDescent="0.3">
      <c r="A978" s="16">
        <v>87</v>
      </c>
      <c r="B978" s="16">
        <v>8100017438</v>
      </c>
      <c r="C978" s="19">
        <v>45964</v>
      </c>
      <c r="D978" s="16" t="s">
        <v>43</v>
      </c>
      <c r="E978" s="16" t="s">
        <v>127</v>
      </c>
      <c r="F978" s="39" t="s">
        <v>909</v>
      </c>
      <c r="G978" s="16">
        <v>2</v>
      </c>
      <c r="H978" s="16" t="s">
        <v>28</v>
      </c>
      <c r="I978" s="16">
        <v>10200</v>
      </c>
      <c r="J978" s="16">
        <f t="shared" si="216"/>
        <v>20400</v>
      </c>
      <c r="K978" s="16"/>
      <c r="L978" s="16"/>
      <c r="M978" s="16"/>
      <c r="N978" s="16"/>
      <c r="O978" s="16">
        <v>2</v>
      </c>
      <c r="P978" s="16">
        <v>10200</v>
      </c>
      <c r="Q978" s="16">
        <f>O978*P978</f>
        <v>20400</v>
      </c>
      <c r="R978" s="18">
        <v>0.18</v>
      </c>
      <c r="S978" s="16">
        <f>Q978*R978</f>
        <v>3672</v>
      </c>
      <c r="T978" s="16">
        <f>Q978+S978</f>
        <v>24072</v>
      </c>
      <c r="U978" s="16" t="s">
        <v>1087</v>
      </c>
      <c r="V978" s="19">
        <v>45751</v>
      </c>
      <c r="W978" s="142" t="s">
        <v>1116</v>
      </c>
    </row>
    <row r="979" spans="1:23" x14ac:dyDescent="0.3">
      <c r="A979" s="1"/>
      <c r="B979" s="1"/>
      <c r="C979" s="1"/>
      <c r="D979" s="1"/>
      <c r="E979" s="16" t="s">
        <v>127</v>
      </c>
      <c r="F979" s="16" t="s">
        <v>910</v>
      </c>
      <c r="G979" s="16">
        <v>55</v>
      </c>
      <c r="H979" s="16" t="s">
        <v>60</v>
      </c>
      <c r="I979" s="16">
        <v>450</v>
      </c>
      <c r="J979" s="16">
        <f t="shared" si="216"/>
        <v>24750</v>
      </c>
      <c r="K979" s="16"/>
      <c r="L979" s="16"/>
      <c r="M979" s="16"/>
      <c r="N979" s="16"/>
      <c r="O979" s="16">
        <v>55</v>
      </c>
      <c r="P979" s="16">
        <v>450</v>
      </c>
      <c r="Q979" s="16">
        <f t="shared" ref="Q979:Q983" si="223">O979*P979</f>
        <v>24750</v>
      </c>
      <c r="R979" s="18">
        <v>0.18</v>
      </c>
      <c r="S979" s="16">
        <f t="shared" ref="S979:S983" si="224">Q979*R979</f>
        <v>4455</v>
      </c>
      <c r="T979" s="16">
        <f t="shared" ref="T979:T983" si="225">Q979+S979</f>
        <v>29205</v>
      </c>
      <c r="U979" s="16" t="s">
        <v>1087</v>
      </c>
      <c r="V979" s="19">
        <v>45751</v>
      </c>
      <c r="W979" s="142" t="s">
        <v>1116</v>
      </c>
    </row>
    <row r="980" spans="1:23" x14ac:dyDescent="0.3">
      <c r="A980" s="1"/>
      <c r="B980" s="1"/>
      <c r="C980" s="1"/>
      <c r="D980" s="1"/>
      <c r="E980" s="16" t="s">
        <v>127</v>
      </c>
      <c r="F980" s="39" t="s">
        <v>911</v>
      </c>
      <c r="G980" s="16">
        <v>100</v>
      </c>
      <c r="H980" s="16" t="s">
        <v>60</v>
      </c>
      <c r="I980" s="16">
        <v>152</v>
      </c>
      <c r="J980" s="16">
        <f t="shared" si="216"/>
        <v>15200</v>
      </c>
      <c r="K980" s="16"/>
      <c r="L980" s="16"/>
      <c r="M980" s="16"/>
      <c r="N980" s="16"/>
      <c r="O980" s="16">
        <v>100</v>
      </c>
      <c r="P980" s="16">
        <v>152</v>
      </c>
      <c r="Q980" s="16">
        <f t="shared" si="223"/>
        <v>15200</v>
      </c>
      <c r="R980" s="18">
        <v>0.18</v>
      </c>
      <c r="S980" s="16">
        <f t="shared" si="224"/>
        <v>2736</v>
      </c>
      <c r="T980" s="16">
        <f t="shared" si="225"/>
        <v>17936</v>
      </c>
      <c r="U980" s="16" t="s">
        <v>1087</v>
      </c>
      <c r="V980" s="19">
        <v>45751</v>
      </c>
      <c r="W980" s="142" t="s">
        <v>1116</v>
      </c>
    </row>
    <row r="981" spans="1:23" x14ac:dyDescent="0.3">
      <c r="A981" s="1"/>
      <c r="B981" s="1"/>
      <c r="C981" s="1"/>
      <c r="D981" s="1"/>
      <c r="E981" s="16" t="s">
        <v>127</v>
      </c>
      <c r="F981" s="16" t="s">
        <v>912</v>
      </c>
      <c r="G981" s="16">
        <v>8</v>
      </c>
      <c r="H981" s="16" t="s">
        <v>28</v>
      </c>
      <c r="I981" s="16">
        <v>6500</v>
      </c>
      <c r="J981" s="16">
        <f t="shared" si="216"/>
        <v>52000</v>
      </c>
      <c r="K981" s="16"/>
      <c r="L981" s="16"/>
      <c r="M981" s="16"/>
      <c r="N981" s="16"/>
      <c r="O981" s="16">
        <v>8</v>
      </c>
      <c r="P981" s="16">
        <v>6500</v>
      </c>
      <c r="Q981" s="16">
        <f t="shared" si="223"/>
        <v>52000</v>
      </c>
      <c r="R981" s="18">
        <v>0.18</v>
      </c>
      <c r="S981" s="16">
        <f t="shared" si="224"/>
        <v>9360</v>
      </c>
      <c r="T981" s="16">
        <f t="shared" si="225"/>
        <v>61360</v>
      </c>
      <c r="U981" s="16" t="s">
        <v>1087</v>
      </c>
      <c r="V981" s="19">
        <v>45751</v>
      </c>
      <c r="W981" s="142" t="s">
        <v>1116</v>
      </c>
    </row>
    <row r="982" spans="1:23" ht="25.2" x14ac:dyDescent="0.3">
      <c r="A982" s="1"/>
      <c r="B982" s="1"/>
      <c r="C982" s="1"/>
      <c r="D982" s="1"/>
      <c r="E982" s="16" t="s">
        <v>127</v>
      </c>
      <c r="F982" s="39" t="s">
        <v>913</v>
      </c>
      <c r="G982" s="16">
        <v>2</v>
      </c>
      <c r="H982" s="16" t="s">
        <v>28</v>
      </c>
      <c r="I982" s="16">
        <v>2880</v>
      </c>
      <c r="J982" s="16">
        <f t="shared" si="216"/>
        <v>5760</v>
      </c>
      <c r="K982" s="16"/>
      <c r="L982" s="16"/>
      <c r="M982" s="16"/>
      <c r="N982" s="16"/>
      <c r="O982" s="16">
        <v>2</v>
      </c>
      <c r="P982" s="16">
        <v>2880</v>
      </c>
      <c r="Q982" s="16">
        <f t="shared" si="223"/>
        <v>5760</v>
      </c>
      <c r="R982" s="18">
        <v>0.18</v>
      </c>
      <c r="S982" s="16">
        <f t="shared" si="224"/>
        <v>1036.8</v>
      </c>
      <c r="T982" s="16">
        <f t="shared" si="225"/>
        <v>6796.8</v>
      </c>
      <c r="U982" s="16" t="s">
        <v>1087</v>
      </c>
      <c r="V982" s="19">
        <v>45751</v>
      </c>
      <c r="W982" s="142" t="s">
        <v>1116</v>
      </c>
    </row>
    <row r="983" spans="1:23" x14ac:dyDescent="0.3">
      <c r="A983" s="1"/>
      <c r="B983" s="1"/>
      <c r="C983" s="1"/>
      <c r="D983" s="1"/>
      <c r="E983" s="16" t="s">
        <v>127</v>
      </c>
      <c r="F983" s="16" t="s">
        <v>914</v>
      </c>
      <c r="G983" s="16">
        <v>2</v>
      </c>
      <c r="H983" s="16" t="s">
        <v>28</v>
      </c>
      <c r="I983" s="16">
        <v>3850</v>
      </c>
      <c r="J983" s="16">
        <f t="shared" si="216"/>
        <v>7700</v>
      </c>
      <c r="K983" s="16"/>
      <c r="L983" s="16"/>
      <c r="M983" s="16"/>
      <c r="N983" s="16"/>
      <c r="O983" s="16">
        <v>2</v>
      </c>
      <c r="P983" s="16">
        <v>3850</v>
      </c>
      <c r="Q983" s="16">
        <f t="shared" si="223"/>
        <v>7700</v>
      </c>
      <c r="R983" s="18">
        <v>0.18</v>
      </c>
      <c r="S983" s="16">
        <f t="shared" si="224"/>
        <v>1386</v>
      </c>
      <c r="T983" s="16">
        <f t="shared" si="225"/>
        <v>9086</v>
      </c>
      <c r="U983" s="16" t="s">
        <v>1087</v>
      </c>
      <c r="V983" s="19">
        <v>45751</v>
      </c>
      <c r="W983" s="142" t="s">
        <v>1116</v>
      </c>
    </row>
    <row r="984" spans="1:23" x14ac:dyDescent="0.3">
      <c r="A984" s="1"/>
      <c r="B984" s="1"/>
      <c r="C984" s="1"/>
      <c r="D984" s="1"/>
      <c r="E984" s="16" t="s">
        <v>123</v>
      </c>
      <c r="F984" s="16" t="s">
        <v>915</v>
      </c>
      <c r="G984" s="16">
        <v>2</v>
      </c>
      <c r="H984" s="16" t="s">
        <v>28</v>
      </c>
      <c r="I984" s="16">
        <v>3800</v>
      </c>
      <c r="J984" s="16">
        <f t="shared" si="216"/>
        <v>7600</v>
      </c>
      <c r="K984" s="16"/>
      <c r="L984" s="16"/>
      <c r="M984" s="16"/>
      <c r="N984" s="16"/>
      <c r="O984" s="16">
        <v>2</v>
      </c>
      <c r="P984" s="16">
        <v>3800</v>
      </c>
      <c r="Q984" s="16">
        <f t="shared" ref="Q984:Q990" si="226">O984*P984</f>
        <v>7600</v>
      </c>
      <c r="R984" s="18">
        <v>0.18</v>
      </c>
      <c r="S984" s="16">
        <f t="shared" ref="S984:S990" si="227">Q984*R984</f>
        <v>1368</v>
      </c>
      <c r="T984" s="16">
        <f t="shared" ref="T984:T990" si="228">Q984+S984</f>
        <v>8968</v>
      </c>
      <c r="U984" s="97" t="s">
        <v>1091</v>
      </c>
      <c r="V984" s="110">
        <v>45873</v>
      </c>
      <c r="W984" s="142" t="s">
        <v>1218</v>
      </c>
    </row>
    <row r="985" spans="1:23" x14ac:dyDescent="0.3">
      <c r="A985" s="1"/>
      <c r="B985" s="1"/>
      <c r="C985" s="1"/>
      <c r="D985" s="1"/>
      <c r="E985" s="16" t="s">
        <v>123</v>
      </c>
      <c r="F985" s="16" t="s">
        <v>916</v>
      </c>
      <c r="G985" s="16">
        <v>55</v>
      </c>
      <c r="H985" s="16" t="s">
        <v>60</v>
      </c>
      <c r="I985" s="16">
        <v>140</v>
      </c>
      <c r="J985" s="16">
        <f t="shared" si="216"/>
        <v>7700</v>
      </c>
      <c r="K985" s="16"/>
      <c r="L985" s="16"/>
      <c r="M985" s="16"/>
      <c r="N985" s="16"/>
      <c r="O985" s="16">
        <v>55</v>
      </c>
      <c r="P985" s="16">
        <v>140</v>
      </c>
      <c r="Q985" s="16">
        <f t="shared" si="226"/>
        <v>7700</v>
      </c>
      <c r="R985" s="18">
        <v>0.18</v>
      </c>
      <c r="S985" s="16">
        <f t="shared" si="227"/>
        <v>1386</v>
      </c>
      <c r="T985" s="16">
        <f t="shared" si="228"/>
        <v>9086</v>
      </c>
      <c r="U985" s="97" t="s">
        <v>1091</v>
      </c>
      <c r="V985" s="110">
        <v>45873</v>
      </c>
      <c r="W985" s="142" t="s">
        <v>1218</v>
      </c>
    </row>
    <row r="986" spans="1:23" x14ac:dyDescent="0.3">
      <c r="A986" s="1"/>
      <c r="B986" s="1"/>
      <c r="C986" s="1"/>
      <c r="D986" s="1"/>
      <c r="E986" s="16" t="s">
        <v>123</v>
      </c>
      <c r="F986" s="39" t="s">
        <v>917</v>
      </c>
      <c r="G986" s="16">
        <v>100</v>
      </c>
      <c r="H986" s="16" t="s">
        <v>60</v>
      </c>
      <c r="I986" s="16">
        <v>40</v>
      </c>
      <c r="J986" s="16">
        <f t="shared" si="216"/>
        <v>4000</v>
      </c>
      <c r="K986" s="16"/>
      <c r="L986" s="16"/>
      <c r="M986" s="16"/>
      <c r="N986" s="16"/>
      <c r="O986" s="16">
        <v>100</v>
      </c>
      <c r="P986" s="16">
        <v>40</v>
      </c>
      <c r="Q986" s="16">
        <f t="shared" si="226"/>
        <v>4000</v>
      </c>
      <c r="R986" s="18">
        <v>0.18</v>
      </c>
      <c r="S986" s="16">
        <f t="shared" si="227"/>
        <v>720</v>
      </c>
      <c r="T986" s="16">
        <f t="shared" si="228"/>
        <v>4720</v>
      </c>
      <c r="U986" s="97" t="s">
        <v>1091</v>
      </c>
      <c r="V986" s="110">
        <v>45873</v>
      </c>
      <c r="W986" s="142" t="s">
        <v>1218</v>
      </c>
    </row>
    <row r="987" spans="1:23" x14ac:dyDescent="0.3">
      <c r="A987" s="1"/>
      <c r="B987" s="1"/>
      <c r="C987" s="1"/>
      <c r="D987" s="1"/>
      <c r="E987" s="16" t="s">
        <v>123</v>
      </c>
      <c r="F987" s="16" t="s">
        <v>918</v>
      </c>
      <c r="G987" s="16">
        <v>8</v>
      </c>
      <c r="H987" s="16" t="s">
        <v>28</v>
      </c>
      <c r="I987" s="16">
        <v>1200</v>
      </c>
      <c r="J987" s="16">
        <f t="shared" si="216"/>
        <v>9600</v>
      </c>
      <c r="K987" s="16"/>
      <c r="L987" s="16"/>
      <c r="M987" s="16"/>
      <c r="N987" s="16"/>
      <c r="O987" s="16">
        <v>8</v>
      </c>
      <c r="P987" s="16">
        <v>1200</v>
      </c>
      <c r="Q987" s="16">
        <f t="shared" si="226"/>
        <v>9600</v>
      </c>
      <c r="R987" s="18">
        <v>0.18</v>
      </c>
      <c r="S987" s="16">
        <f t="shared" si="227"/>
        <v>1728</v>
      </c>
      <c r="T987" s="16">
        <f t="shared" si="228"/>
        <v>11328</v>
      </c>
      <c r="U987" s="97" t="s">
        <v>1091</v>
      </c>
      <c r="V987" s="110">
        <v>45873</v>
      </c>
      <c r="W987" s="142" t="s">
        <v>1218</v>
      </c>
    </row>
    <row r="988" spans="1:23" x14ac:dyDescent="0.3">
      <c r="A988" s="1"/>
      <c r="B988" s="1"/>
      <c r="C988" s="1"/>
      <c r="D988" s="1"/>
      <c r="E988" s="16" t="s">
        <v>123</v>
      </c>
      <c r="F988" s="39" t="s">
        <v>919</v>
      </c>
      <c r="G988" s="16">
        <v>2</v>
      </c>
      <c r="H988" s="16" t="s">
        <v>28</v>
      </c>
      <c r="I988" s="16">
        <v>1000</v>
      </c>
      <c r="J988" s="16">
        <f t="shared" si="216"/>
        <v>2000</v>
      </c>
      <c r="K988" s="16"/>
      <c r="L988" s="16"/>
      <c r="M988" s="16"/>
      <c r="N988" s="16"/>
      <c r="O988" s="16">
        <v>2</v>
      </c>
      <c r="P988" s="16">
        <v>1000</v>
      </c>
      <c r="Q988" s="16">
        <f t="shared" si="226"/>
        <v>2000</v>
      </c>
      <c r="R988" s="18">
        <v>0.18</v>
      </c>
      <c r="S988" s="16">
        <f t="shared" si="227"/>
        <v>360</v>
      </c>
      <c r="T988" s="16">
        <f t="shared" si="228"/>
        <v>2360</v>
      </c>
      <c r="U988" s="97" t="s">
        <v>1091</v>
      </c>
      <c r="V988" s="110">
        <v>45873</v>
      </c>
      <c r="W988" s="142" t="s">
        <v>1218</v>
      </c>
    </row>
    <row r="989" spans="1:23" x14ac:dyDescent="0.3">
      <c r="A989" s="1"/>
      <c r="B989" s="1"/>
      <c r="C989" s="1"/>
      <c r="D989" s="1"/>
      <c r="E989" s="16" t="s">
        <v>123</v>
      </c>
      <c r="F989" s="39" t="s">
        <v>920</v>
      </c>
      <c r="G989" s="16">
        <v>10</v>
      </c>
      <c r="H989" s="16" t="s">
        <v>28</v>
      </c>
      <c r="I989" s="16">
        <v>2650</v>
      </c>
      <c r="J989" s="16">
        <f t="shared" si="216"/>
        <v>26500</v>
      </c>
      <c r="K989" s="16"/>
      <c r="L989" s="16"/>
      <c r="M989" s="16"/>
      <c r="N989" s="16"/>
      <c r="O989" s="16">
        <v>10</v>
      </c>
      <c r="P989" s="16">
        <v>2650</v>
      </c>
      <c r="Q989" s="16">
        <f t="shared" si="226"/>
        <v>26500</v>
      </c>
      <c r="R989" s="18">
        <v>0.18</v>
      </c>
      <c r="S989" s="16">
        <f t="shared" si="227"/>
        <v>4770</v>
      </c>
      <c r="T989" s="16">
        <f t="shared" si="228"/>
        <v>31270</v>
      </c>
      <c r="U989" s="97" t="s">
        <v>1091</v>
      </c>
      <c r="V989" s="110">
        <v>45873</v>
      </c>
      <c r="W989" s="142" t="s">
        <v>1218</v>
      </c>
    </row>
    <row r="990" spans="1:23" x14ac:dyDescent="0.3">
      <c r="A990" s="1"/>
      <c r="B990" s="1"/>
      <c r="C990" s="1"/>
      <c r="D990" s="1"/>
      <c r="E990" s="16" t="s">
        <v>123</v>
      </c>
      <c r="F990" s="16" t="s">
        <v>921</v>
      </c>
      <c r="G990" s="16">
        <v>2</v>
      </c>
      <c r="H990" s="16" t="s">
        <v>28</v>
      </c>
      <c r="I990" s="16">
        <v>1800</v>
      </c>
      <c r="J990" s="16">
        <f t="shared" si="216"/>
        <v>3600</v>
      </c>
      <c r="K990" s="16"/>
      <c r="L990" s="16"/>
      <c r="M990" s="16"/>
      <c r="N990" s="16"/>
      <c r="O990" s="16">
        <v>2</v>
      </c>
      <c r="P990" s="16">
        <v>1800</v>
      </c>
      <c r="Q990" s="16">
        <f t="shared" si="226"/>
        <v>3600</v>
      </c>
      <c r="R990" s="18">
        <v>0.18</v>
      </c>
      <c r="S990" s="16">
        <f t="shared" si="227"/>
        <v>648</v>
      </c>
      <c r="T990" s="16">
        <f t="shared" si="228"/>
        <v>4248</v>
      </c>
      <c r="U990" s="97" t="s">
        <v>1091</v>
      </c>
      <c r="V990" s="110">
        <v>45873</v>
      </c>
      <c r="W990" s="142" t="s">
        <v>1218</v>
      </c>
    </row>
    <row r="991" spans="1:23" x14ac:dyDescent="0.3">
      <c r="A991" s="124"/>
      <c r="B991" s="124"/>
      <c r="C991" s="124"/>
      <c r="D991" s="124"/>
      <c r="E991" s="124"/>
      <c r="F991" s="124" t="s">
        <v>39</v>
      </c>
      <c r="G991" s="1"/>
      <c r="H991" s="1"/>
      <c r="I991" s="1"/>
      <c r="J991" s="124">
        <f>SUM(J978:J990)</f>
        <v>186810</v>
      </c>
      <c r="K991" s="1"/>
      <c r="L991" s="1"/>
      <c r="M991" s="1"/>
      <c r="N991" s="1"/>
      <c r="O991" s="1"/>
      <c r="P991" s="1"/>
      <c r="Q991" s="1"/>
      <c r="R991" s="1"/>
      <c r="S991" s="1"/>
      <c r="T991" s="1"/>
      <c r="U991" s="1"/>
      <c r="V991" s="1"/>
      <c r="W991" s="142"/>
    </row>
    <row r="992" spans="1:23" x14ac:dyDescent="0.3">
      <c r="A992" s="124"/>
      <c r="B992" s="124"/>
      <c r="C992" s="124"/>
      <c r="D992" s="124"/>
      <c r="E992" s="124"/>
      <c r="F992" s="124" t="s">
        <v>187</v>
      </c>
      <c r="G992" s="1"/>
      <c r="H992" s="1"/>
      <c r="I992" s="1"/>
      <c r="J992" s="124">
        <f>J991*18/100</f>
        <v>33625.800000000003</v>
      </c>
      <c r="K992" s="1"/>
      <c r="L992" s="1"/>
      <c r="M992" s="1"/>
      <c r="N992" s="1"/>
      <c r="O992" s="1"/>
      <c r="P992" s="1"/>
      <c r="Q992" s="1"/>
      <c r="R992" s="1"/>
      <c r="S992" s="1"/>
      <c r="T992" s="1"/>
      <c r="U992" s="1"/>
      <c r="V992" s="1"/>
      <c r="W992" s="142"/>
    </row>
    <row r="993" spans="1:23" x14ac:dyDescent="0.3">
      <c r="A993" s="124"/>
      <c r="B993" s="124"/>
      <c r="C993" s="124"/>
      <c r="D993" s="124"/>
      <c r="E993" s="124"/>
      <c r="F993" s="124" t="s">
        <v>41</v>
      </c>
      <c r="G993" s="1"/>
      <c r="H993" s="1"/>
      <c r="I993" s="1"/>
      <c r="J993" s="124">
        <f>SUM(J991:J992)</f>
        <v>220435.8</v>
      </c>
      <c r="K993" s="1"/>
      <c r="L993" s="1"/>
      <c r="M993" s="1"/>
      <c r="N993" s="1"/>
      <c r="O993" s="1"/>
      <c r="P993" s="1"/>
      <c r="Q993" s="1"/>
      <c r="R993" s="1"/>
      <c r="S993" s="1"/>
      <c r="T993" s="1">
        <f>SUM(T978:T992)</f>
        <v>220435.8</v>
      </c>
      <c r="U993" s="1"/>
      <c r="V993" s="1"/>
      <c r="W993" s="142"/>
    </row>
    <row r="994" spans="1:23" x14ac:dyDescent="0.3">
      <c r="A994" s="124"/>
      <c r="B994" s="124"/>
      <c r="C994" s="124"/>
      <c r="D994" s="124"/>
      <c r="E994" s="124"/>
      <c r="F994" s="124"/>
      <c r="G994" s="1"/>
      <c r="H994" s="1"/>
      <c r="I994" s="1"/>
      <c r="J994" s="124"/>
      <c r="K994" s="1"/>
      <c r="L994" s="1"/>
      <c r="M994" s="1"/>
      <c r="N994" s="1"/>
      <c r="O994" s="1"/>
      <c r="P994" s="1"/>
      <c r="Q994" s="1"/>
      <c r="R994" s="1"/>
      <c r="S994" s="1"/>
      <c r="T994" s="1"/>
      <c r="U994" s="1"/>
      <c r="V994" s="1"/>
      <c r="W994" s="142"/>
    </row>
    <row r="995" spans="1:23" x14ac:dyDescent="0.3">
      <c r="A995" s="16">
        <v>88</v>
      </c>
      <c r="B995" s="16">
        <v>8600054684</v>
      </c>
      <c r="C995" s="19" t="s">
        <v>922</v>
      </c>
      <c r="D995" s="16" t="s">
        <v>43</v>
      </c>
      <c r="E995" s="16" t="s">
        <v>127</v>
      </c>
      <c r="F995" s="39" t="s">
        <v>923</v>
      </c>
      <c r="G995" s="16">
        <v>35</v>
      </c>
      <c r="H995" s="16" t="s">
        <v>28</v>
      </c>
      <c r="I995" s="16">
        <v>873</v>
      </c>
      <c r="J995" s="16">
        <f t="shared" si="216"/>
        <v>30555</v>
      </c>
      <c r="K995" s="16"/>
      <c r="L995" s="16"/>
      <c r="M995" s="16"/>
      <c r="N995" s="16"/>
      <c r="O995" s="16">
        <v>35</v>
      </c>
      <c r="P995" s="16">
        <v>873</v>
      </c>
      <c r="Q995" s="16">
        <f>O995*P995</f>
        <v>30555</v>
      </c>
      <c r="R995" s="18">
        <v>0</v>
      </c>
      <c r="S995" s="16">
        <f>Q995*R995</f>
        <v>0</v>
      </c>
      <c r="T995" s="16">
        <f>Q995+S995</f>
        <v>30555</v>
      </c>
      <c r="U995" s="16" t="s">
        <v>1036</v>
      </c>
      <c r="V995" s="19" t="s">
        <v>1037</v>
      </c>
      <c r="W995" s="142" t="s">
        <v>1089</v>
      </c>
    </row>
    <row r="996" spans="1:23" x14ac:dyDescent="0.3">
      <c r="A996" s="1"/>
      <c r="B996" s="1"/>
      <c r="C996" s="1"/>
      <c r="D996" s="1"/>
      <c r="E996" s="16" t="s">
        <v>127</v>
      </c>
      <c r="F996" s="16" t="s">
        <v>924</v>
      </c>
      <c r="G996" s="16">
        <v>15</v>
      </c>
      <c r="H996" s="16" t="s">
        <v>28</v>
      </c>
      <c r="I996" s="16">
        <v>4600</v>
      </c>
      <c r="J996" s="16">
        <f t="shared" si="216"/>
        <v>69000</v>
      </c>
      <c r="K996" s="16"/>
      <c r="L996" s="16"/>
      <c r="M996" s="16"/>
      <c r="N996" s="16"/>
      <c r="O996" s="16">
        <v>15</v>
      </c>
      <c r="P996" s="16">
        <v>4600</v>
      </c>
      <c r="Q996" s="16">
        <f t="shared" ref="Q996:Q1048" si="229">O996*P996</f>
        <v>69000</v>
      </c>
      <c r="R996" s="18">
        <v>0</v>
      </c>
      <c r="S996" s="16">
        <f t="shared" ref="S996:S1048" si="230">Q996*R996</f>
        <v>0</v>
      </c>
      <c r="T996" s="16">
        <f t="shared" ref="T996:T1048" si="231">Q996+S996</f>
        <v>69000</v>
      </c>
      <c r="U996" s="16" t="s">
        <v>1036</v>
      </c>
      <c r="V996" s="19" t="s">
        <v>1037</v>
      </c>
      <c r="W996" s="142" t="s">
        <v>1089</v>
      </c>
    </row>
    <row r="997" spans="1:23" x14ac:dyDescent="0.3">
      <c r="A997" s="1"/>
      <c r="B997" s="1"/>
      <c r="C997" s="1"/>
      <c r="D997" s="1"/>
      <c r="E997" s="16" t="s">
        <v>127</v>
      </c>
      <c r="F997" s="16" t="s">
        <v>925</v>
      </c>
      <c r="G997" s="16">
        <v>5</v>
      </c>
      <c r="H997" s="16" t="s">
        <v>28</v>
      </c>
      <c r="I997" s="16">
        <v>8400</v>
      </c>
      <c r="J997" s="16">
        <f t="shared" si="216"/>
        <v>42000</v>
      </c>
      <c r="K997" s="16"/>
      <c r="L997" s="16"/>
      <c r="M997" s="16"/>
      <c r="N997" s="16"/>
      <c r="O997" s="16">
        <v>5</v>
      </c>
      <c r="P997" s="16">
        <v>8400</v>
      </c>
      <c r="Q997" s="16">
        <f t="shared" si="229"/>
        <v>42000</v>
      </c>
      <c r="R997" s="18">
        <v>0</v>
      </c>
      <c r="S997" s="16">
        <f t="shared" si="230"/>
        <v>0</v>
      </c>
      <c r="T997" s="16">
        <f t="shared" si="231"/>
        <v>42000</v>
      </c>
      <c r="U997" s="16" t="s">
        <v>1036</v>
      </c>
      <c r="V997" s="19" t="s">
        <v>1037</v>
      </c>
      <c r="W997" s="142" t="s">
        <v>1089</v>
      </c>
    </row>
    <row r="998" spans="1:23" x14ac:dyDescent="0.3">
      <c r="A998" s="1"/>
      <c r="B998" s="1"/>
      <c r="C998" s="1"/>
      <c r="D998" s="1"/>
      <c r="E998" s="16" t="s">
        <v>127</v>
      </c>
      <c r="F998" s="16" t="s">
        <v>926</v>
      </c>
      <c r="G998" s="16">
        <v>10</v>
      </c>
      <c r="H998" s="16" t="s">
        <v>28</v>
      </c>
      <c r="I998" s="16">
        <v>4600</v>
      </c>
      <c r="J998" s="16">
        <f t="shared" si="216"/>
        <v>46000</v>
      </c>
      <c r="K998" s="16"/>
      <c r="L998" s="16"/>
      <c r="M998" s="16"/>
      <c r="N998" s="16"/>
      <c r="O998" s="16">
        <v>10</v>
      </c>
      <c r="P998" s="16">
        <v>4600</v>
      </c>
      <c r="Q998" s="16">
        <f t="shared" si="229"/>
        <v>46000</v>
      </c>
      <c r="R998" s="18">
        <v>0</v>
      </c>
      <c r="S998" s="16">
        <f t="shared" si="230"/>
        <v>0</v>
      </c>
      <c r="T998" s="16">
        <f t="shared" si="231"/>
        <v>46000</v>
      </c>
      <c r="U998" s="16" t="s">
        <v>1036</v>
      </c>
      <c r="V998" s="19" t="s">
        <v>1037</v>
      </c>
      <c r="W998" s="142" t="s">
        <v>1089</v>
      </c>
    </row>
    <row r="999" spans="1:23" x14ac:dyDescent="0.3">
      <c r="A999" s="1"/>
      <c r="B999" s="1"/>
      <c r="C999" s="1"/>
      <c r="D999" s="1"/>
      <c r="E999" s="16" t="s">
        <v>127</v>
      </c>
      <c r="F999" s="16" t="s">
        <v>927</v>
      </c>
      <c r="G999" s="16">
        <v>7</v>
      </c>
      <c r="H999" s="16" t="s">
        <v>28</v>
      </c>
      <c r="I999" s="16">
        <v>7150</v>
      </c>
      <c r="J999" s="16">
        <f t="shared" si="216"/>
        <v>50050</v>
      </c>
      <c r="K999" s="16"/>
      <c r="L999" s="16"/>
      <c r="M999" s="16"/>
      <c r="N999" s="16"/>
      <c r="O999" s="16">
        <v>7</v>
      </c>
      <c r="P999" s="16">
        <v>7150</v>
      </c>
      <c r="Q999" s="16">
        <f t="shared" si="229"/>
        <v>50050</v>
      </c>
      <c r="R999" s="18">
        <v>0</v>
      </c>
      <c r="S999" s="16">
        <f t="shared" si="230"/>
        <v>0</v>
      </c>
      <c r="T999" s="16">
        <f t="shared" si="231"/>
        <v>50050</v>
      </c>
      <c r="U999" s="16" t="s">
        <v>1036</v>
      </c>
      <c r="V999" s="19" t="s">
        <v>1037</v>
      </c>
      <c r="W999" s="142" t="s">
        <v>1089</v>
      </c>
    </row>
    <row r="1000" spans="1:23" x14ac:dyDescent="0.3">
      <c r="A1000" s="1"/>
      <c r="B1000" s="1"/>
      <c r="C1000" s="1"/>
      <c r="D1000" s="1"/>
      <c r="E1000" s="16" t="s">
        <v>127</v>
      </c>
      <c r="F1000" s="16" t="s">
        <v>928</v>
      </c>
      <c r="G1000" s="16">
        <v>10</v>
      </c>
      <c r="H1000" s="16" t="s">
        <v>28</v>
      </c>
      <c r="I1000" s="16">
        <v>336</v>
      </c>
      <c r="J1000" s="16">
        <f t="shared" si="216"/>
        <v>3360</v>
      </c>
      <c r="K1000" s="16"/>
      <c r="L1000" s="16"/>
      <c r="M1000" s="16"/>
      <c r="N1000" s="16"/>
      <c r="O1000" s="16">
        <v>10</v>
      </c>
      <c r="P1000" s="16">
        <v>336</v>
      </c>
      <c r="Q1000" s="16">
        <f t="shared" si="229"/>
        <v>3360</v>
      </c>
      <c r="R1000" s="18">
        <v>0</v>
      </c>
      <c r="S1000" s="16">
        <f t="shared" si="230"/>
        <v>0</v>
      </c>
      <c r="T1000" s="16">
        <f t="shared" si="231"/>
        <v>3360</v>
      </c>
      <c r="U1000" s="16" t="s">
        <v>1036</v>
      </c>
      <c r="V1000" s="19" t="s">
        <v>1037</v>
      </c>
      <c r="W1000" s="142" t="s">
        <v>1089</v>
      </c>
    </row>
    <row r="1001" spans="1:23" x14ac:dyDescent="0.3">
      <c r="A1001" s="1"/>
      <c r="B1001" s="1"/>
      <c r="C1001" s="1"/>
      <c r="D1001" s="1"/>
      <c r="E1001" s="16" t="s">
        <v>127</v>
      </c>
      <c r="F1001" s="39" t="s">
        <v>929</v>
      </c>
      <c r="G1001" s="16">
        <v>20</v>
      </c>
      <c r="H1001" s="16" t="s">
        <v>28</v>
      </c>
      <c r="I1001" s="16">
        <v>38</v>
      </c>
      <c r="J1001" s="16">
        <f t="shared" si="216"/>
        <v>760</v>
      </c>
      <c r="K1001" s="16"/>
      <c r="L1001" s="16"/>
      <c r="M1001" s="16"/>
      <c r="N1001" s="16"/>
      <c r="O1001" s="16">
        <v>20</v>
      </c>
      <c r="P1001" s="16">
        <v>38</v>
      </c>
      <c r="Q1001" s="16">
        <f t="shared" si="229"/>
        <v>760</v>
      </c>
      <c r="R1001" s="18">
        <v>0</v>
      </c>
      <c r="S1001" s="16">
        <f t="shared" si="230"/>
        <v>0</v>
      </c>
      <c r="T1001" s="16">
        <f t="shared" si="231"/>
        <v>760</v>
      </c>
      <c r="U1001" s="16" t="s">
        <v>1036</v>
      </c>
      <c r="V1001" s="19" t="s">
        <v>1037</v>
      </c>
      <c r="W1001" s="142" t="s">
        <v>1089</v>
      </c>
    </row>
    <row r="1002" spans="1:23" x14ac:dyDescent="0.3">
      <c r="A1002" s="1"/>
      <c r="B1002" s="1"/>
      <c r="C1002" s="1"/>
      <c r="D1002" s="1"/>
      <c r="E1002" s="16" t="s">
        <v>127</v>
      </c>
      <c r="F1002" s="39" t="s">
        <v>930</v>
      </c>
      <c r="G1002" s="16">
        <v>20</v>
      </c>
      <c r="H1002" s="16" t="s">
        <v>28</v>
      </c>
      <c r="I1002" s="16">
        <v>40</v>
      </c>
      <c r="J1002" s="16">
        <f t="shared" si="216"/>
        <v>800</v>
      </c>
      <c r="K1002" s="16"/>
      <c r="L1002" s="16"/>
      <c r="M1002" s="16"/>
      <c r="N1002" s="16"/>
      <c r="O1002" s="16">
        <v>20</v>
      </c>
      <c r="P1002" s="16">
        <v>40</v>
      </c>
      <c r="Q1002" s="16">
        <f t="shared" si="229"/>
        <v>800</v>
      </c>
      <c r="R1002" s="18">
        <v>0</v>
      </c>
      <c r="S1002" s="16">
        <f t="shared" si="230"/>
        <v>0</v>
      </c>
      <c r="T1002" s="16">
        <f t="shared" si="231"/>
        <v>800</v>
      </c>
      <c r="U1002" s="16" t="s">
        <v>1036</v>
      </c>
      <c r="V1002" s="19" t="s">
        <v>1037</v>
      </c>
      <c r="W1002" s="142" t="s">
        <v>1089</v>
      </c>
    </row>
    <row r="1003" spans="1:23" x14ac:dyDescent="0.3">
      <c r="A1003" s="1"/>
      <c r="B1003" s="1"/>
      <c r="C1003" s="1"/>
      <c r="D1003" s="1"/>
      <c r="E1003" s="16" t="s">
        <v>127</v>
      </c>
      <c r="F1003" s="16" t="s">
        <v>931</v>
      </c>
      <c r="G1003" s="16">
        <v>20</v>
      </c>
      <c r="H1003" s="16" t="s">
        <v>28</v>
      </c>
      <c r="I1003" s="16">
        <v>10</v>
      </c>
      <c r="J1003" s="16">
        <f t="shared" si="216"/>
        <v>200</v>
      </c>
      <c r="K1003" s="16"/>
      <c r="L1003" s="16"/>
      <c r="M1003" s="16"/>
      <c r="N1003" s="16"/>
      <c r="O1003" s="16">
        <v>20</v>
      </c>
      <c r="P1003" s="16">
        <v>10</v>
      </c>
      <c r="Q1003" s="16">
        <f t="shared" si="229"/>
        <v>200</v>
      </c>
      <c r="R1003" s="18">
        <v>0</v>
      </c>
      <c r="S1003" s="16">
        <f t="shared" si="230"/>
        <v>0</v>
      </c>
      <c r="T1003" s="16">
        <f t="shared" si="231"/>
        <v>200</v>
      </c>
      <c r="U1003" s="16" t="s">
        <v>1036</v>
      </c>
      <c r="V1003" s="19" t="s">
        <v>1037</v>
      </c>
      <c r="W1003" s="142" t="s">
        <v>1089</v>
      </c>
    </row>
    <row r="1004" spans="1:23" x14ac:dyDescent="0.3">
      <c r="A1004" s="1"/>
      <c r="B1004" s="1"/>
      <c r="C1004" s="1"/>
      <c r="D1004" s="1"/>
      <c r="E1004" s="16" t="s">
        <v>127</v>
      </c>
      <c r="F1004" s="16" t="s">
        <v>932</v>
      </c>
      <c r="G1004" s="16">
        <v>20</v>
      </c>
      <c r="H1004" s="16" t="s">
        <v>28</v>
      </c>
      <c r="I1004" s="16">
        <v>12</v>
      </c>
      <c r="J1004" s="16">
        <f t="shared" si="216"/>
        <v>240</v>
      </c>
      <c r="K1004" s="16"/>
      <c r="L1004" s="16"/>
      <c r="M1004" s="16"/>
      <c r="N1004" s="16"/>
      <c r="O1004" s="16">
        <v>20</v>
      </c>
      <c r="P1004" s="16">
        <v>12</v>
      </c>
      <c r="Q1004" s="16">
        <f t="shared" si="229"/>
        <v>240</v>
      </c>
      <c r="R1004" s="18">
        <v>0</v>
      </c>
      <c r="S1004" s="16">
        <f t="shared" si="230"/>
        <v>0</v>
      </c>
      <c r="T1004" s="16">
        <f t="shared" si="231"/>
        <v>240</v>
      </c>
      <c r="U1004" s="16" t="s">
        <v>1036</v>
      </c>
      <c r="V1004" s="19" t="s">
        <v>1037</v>
      </c>
      <c r="W1004" s="142" t="s">
        <v>1089</v>
      </c>
    </row>
    <row r="1005" spans="1:23" x14ac:dyDescent="0.3">
      <c r="A1005" s="1"/>
      <c r="B1005" s="1"/>
      <c r="C1005" s="1"/>
      <c r="D1005" s="1"/>
      <c r="E1005" s="16" t="s">
        <v>127</v>
      </c>
      <c r="F1005" s="39" t="s">
        <v>933</v>
      </c>
      <c r="G1005" s="16">
        <v>20</v>
      </c>
      <c r="H1005" s="16" t="s">
        <v>28</v>
      </c>
      <c r="I1005" s="16">
        <v>84</v>
      </c>
      <c r="J1005" s="16">
        <f t="shared" si="216"/>
        <v>1680</v>
      </c>
      <c r="K1005" s="16"/>
      <c r="L1005" s="16"/>
      <c r="M1005" s="16"/>
      <c r="N1005" s="16"/>
      <c r="O1005" s="16">
        <v>20</v>
      </c>
      <c r="P1005" s="16">
        <v>84</v>
      </c>
      <c r="Q1005" s="16">
        <f t="shared" si="229"/>
        <v>1680</v>
      </c>
      <c r="R1005" s="18">
        <v>0</v>
      </c>
      <c r="S1005" s="16">
        <f t="shared" si="230"/>
        <v>0</v>
      </c>
      <c r="T1005" s="16">
        <f t="shared" si="231"/>
        <v>1680</v>
      </c>
      <c r="U1005" s="16" t="s">
        <v>1036</v>
      </c>
      <c r="V1005" s="19" t="s">
        <v>1037</v>
      </c>
      <c r="W1005" s="142" t="s">
        <v>1089</v>
      </c>
    </row>
    <row r="1006" spans="1:23" x14ac:dyDescent="0.3">
      <c r="A1006" s="1"/>
      <c r="B1006" s="1"/>
      <c r="C1006" s="1"/>
      <c r="D1006" s="1"/>
      <c r="E1006" s="16" t="s">
        <v>127</v>
      </c>
      <c r="F1006" s="16" t="s">
        <v>934</v>
      </c>
      <c r="G1006" s="16">
        <v>20</v>
      </c>
      <c r="H1006" s="16" t="s">
        <v>28</v>
      </c>
      <c r="I1006" s="16">
        <v>19</v>
      </c>
      <c r="J1006" s="16">
        <f t="shared" si="216"/>
        <v>380</v>
      </c>
      <c r="K1006" s="16"/>
      <c r="L1006" s="16"/>
      <c r="M1006" s="16"/>
      <c r="N1006" s="16"/>
      <c r="O1006" s="16">
        <v>20</v>
      </c>
      <c r="P1006" s="16">
        <v>19</v>
      </c>
      <c r="Q1006" s="16">
        <f t="shared" si="229"/>
        <v>380</v>
      </c>
      <c r="R1006" s="18">
        <v>0</v>
      </c>
      <c r="S1006" s="16">
        <f t="shared" si="230"/>
        <v>0</v>
      </c>
      <c r="T1006" s="16">
        <f t="shared" si="231"/>
        <v>380</v>
      </c>
      <c r="U1006" s="16" t="s">
        <v>1036</v>
      </c>
      <c r="V1006" s="19" t="s">
        <v>1037</v>
      </c>
      <c r="W1006" s="142" t="s">
        <v>1089</v>
      </c>
    </row>
    <row r="1007" spans="1:23" x14ac:dyDescent="0.3">
      <c r="A1007" s="1"/>
      <c r="B1007" s="1"/>
      <c r="C1007" s="1"/>
      <c r="D1007" s="1"/>
      <c r="E1007" s="16" t="s">
        <v>127</v>
      </c>
      <c r="F1007" s="16" t="s">
        <v>935</v>
      </c>
      <c r="G1007" s="16">
        <v>20</v>
      </c>
      <c r="H1007" s="16" t="s">
        <v>28</v>
      </c>
      <c r="I1007" s="16">
        <v>19</v>
      </c>
      <c r="J1007" s="16">
        <f t="shared" si="216"/>
        <v>380</v>
      </c>
      <c r="K1007" s="16"/>
      <c r="L1007" s="16"/>
      <c r="M1007" s="16"/>
      <c r="N1007" s="16"/>
      <c r="O1007" s="16">
        <v>20</v>
      </c>
      <c r="P1007" s="16">
        <v>19</v>
      </c>
      <c r="Q1007" s="16">
        <f t="shared" si="229"/>
        <v>380</v>
      </c>
      <c r="R1007" s="18">
        <v>0</v>
      </c>
      <c r="S1007" s="16">
        <f t="shared" si="230"/>
        <v>0</v>
      </c>
      <c r="T1007" s="16">
        <f t="shared" si="231"/>
        <v>380</v>
      </c>
      <c r="U1007" s="16" t="s">
        <v>1036</v>
      </c>
      <c r="V1007" s="19" t="s">
        <v>1037</v>
      </c>
      <c r="W1007" s="142" t="s">
        <v>1089</v>
      </c>
    </row>
    <row r="1008" spans="1:23" x14ac:dyDescent="0.3">
      <c r="A1008" s="1"/>
      <c r="B1008" s="1"/>
      <c r="C1008" s="1"/>
      <c r="D1008" s="1"/>
      <c r="E1008" s="16" t="s">
        <v>127</v>
      </c>
      <c r="F1008" s="16" t="s">
        <v>936</v>
      </c>
      <c r="G1008" s="16">
        <v>20</v>
      </c>
      <c r="H1008" s="16" t="s">
        <v>28</v>
      </c>
      <c r="I1008" s="16">
        <v>22</v>
      </c>
      <c r="J1008" s="16">
        <f t="shared" si="216"/>
        <v>440</v>
      </c>
      <c r="K1008" s="16"/>
      <c r="L1008" s="16"/>
      <c r="M1008" s="16"/>
      <c r="N1008" s="16"/>
      <c r="O1008" s="16">
        <v>20</v>
      </c>
      <c r="P1008" s="16">
        <v>22</v>
      </c>
      <c r="Q1008" s="16">
        <f t="shared" si="229"/>
        <v>440</v>
      </c>
      <c r="R1008" s="18">
        <v>0</v>
      </c>
      <c r="S1008" s="16">
        <f t="shared" si="230"/>
        <v>0</v>
      </c>
      <c r="T1008" s="16">
        <f t="shared" si="231"/>
        <v>440</v>
      </c>
      <c r="U1008" s="16" t="s">
        <v>1036</v>
      </c>
      <c r="V1008" s="19" t="s">
        <v>1037</v>
      </c>
      <c r="W1008" s="142" t="s">
        <v>1089</v>
      </c>
    </row>
    <row r="1009" spans="1:23" x14ac:dyDescent="0.3">
      <c r="A1009" s="1"/>
      <c r="B1009" s="1"/>
      <c r="C1009" s="1"/>
      <c r="D1009" s="1"/>
      <c r="E1009" s="16" t="s">
        <v>127</v>
      </c>
      <c r="F1009" s="39" t="s">
        <v>937</v>
      </c>
      <c r="G1009" s="16">
        <v>10</v>
      </c>
      <c r="H1009" s="16" t="s">
        <v>28</v>
      </c>
      <c r="I1009" s="16">
        <v>921</v>
      </c>
      <c r="J1009" s="16">
        <f t="shared" si="216"/>
        <v>9210</v>
      </c>
      <c r="K1009" s="16"/>
      <c r="L1009" s="16"/>
      <c r="M1009" s="16"/>
      <c r="N1009" s="16"/>
      <c r="O1009" s="16">
        <v>10</v>
      </c>
      <c r="P1009" s="16">
        <v>921</v>
      </c>
      <c r="Q1009" s="16">
        <f t="shared" si="229"/>
        <v>9210</v>
      </c>
      <c r="R1009" s="18">
        <v>0</v>
      </c>
      <c r="S1009" s="16">
        <f t="shared" si="230"/>
        <v>0</v>
      </c>
      <c r="T1009" s="16">
        <f t="shared" si="231"/>
        <v>9210</v>
      </c>
      <c r="U1009" s="16" t="s">
        <v>1036</v>
      </c>
      <c r="V1009" s="19" t="s">
        <v>1037</v>
      </c>
      <c r="W1009" s="142" t="s">
        <v>1089</v>
      </c>
    </row>
    <row r="1010" spans="1:23" x14ac:dyDescent="0.3">
      <c r="A1010" s="1"/>
      <c r="B1010" s="1"/>
      <c r="C1010" s="1"/>
      <c r="D1010" s="1"/>
      <c r="E1010" s="16" t="s">
        <v>127</v>
      </c>
      <c r="F1010" s="16" t="s">
        <v>938</v>
      </c>
      <c r="G1010" s="16">
        <v>30</v>
      </c>
      <c r="H1010" s="16" t="s">
        <v>28</v>
      </c>
      <c r="I1010" s="16">
        <v>1898</v>
      </c>
      <c r="J1010" s="16">
        <f t="shared" si="216"/>
        <v>56940</v>
      </c>
      <c r="K1010" s="16"/>
      <c r="L1010" s="16"/>
      <c r="M1010" s="16"/>
      <c r="N1010" s="16"/>
      <c r="O1010" s="16">
        <v>30</v>
      </c>
      <c r="P1010" s="16">
        <v>1898</v>
      </c>
      <c r="Q1010" s="16">
        <f t="shared" si="229"/>
        <v>56940</v>
      </c>
      <c r="R1010" s="18">
        <v>0</v>
      </c>
      <c r="S1010" s="16">
        <f t="shared" si="230"/>
        <v>0</v>
      </c>
      <c r="T1010" s="16">
        <f t="shared" si="231"/>
        <v>56940</v>
      </c>
      <c r="U1010" s="16" t="s">
        <v>1036</v>
      </c>
      <c r="V1010" s="19" t="s">
        <v>1037</v>
      </c>
      <c r="W1010" s="142" t="s">
        <v>1089</v>
      </c>
    </row>
    <row r="1011" spans="1:23" x14ac:dyDescent="0.3">
      <c r="A1011" s="1"/>
      <c r="B1011" s="1"/>
      <c r="C1011" s="1"/>
      <c r="D1011" s="1"/>
      <c r="E1011" s="16" t="s">
        <v>127</v>
      </c>
      <c r="F1011" s="16" t="s">
        <v>939</v>
      </c>
      <c r="G1011" s="16">
        <v>5</v>
      </c>
      <c r="H1011" s="16" t="s">
        <v>28</v>
      </c>
      <c r="I1011" s="16">
        <v>5520</v>
      </c>
      <c r="J1011" s="16">
        <f t="shared" si="216"/>
        <v>27600</v>
      </c>
      <c r="K1011" s="16"/>
      <c r="L1011" s="16"/>
      <c r="M1011" s="16"/>
      <c r="N1011" s="16"/>
      <c r="O1011" s="16">
        <v>5</v>
      </c>
      <c r="P1011" s="16">
        <v>5520</v>
      </c>
      <c r="Q1011" s="16">
        <f t="shared" si="229"/>
        <v>27600</v>
      </c>
      <c r="R1011" s="18">
        <v>0</v>
      </c>
      <c r="S1011" s="16">
        <f t="shared" si="230"/>
        <v>0</v>
      </c>
      <c r="T1011" s="16">
        <f t="shared" si="231"/>
        <v>27600</v>
      </c>
      <c r="U1011" s="16" t="s">
        <v>1036</v>
      </c>
      <c r="V1011" s="19" t="s">
        <v>1037</v>
      </c>
      <c r="W1011" s="142" t="s">
        <v>1089</v>
      </c>
    </row>
    <row r="1012" spans="1:23" x14ac:dyDescent="0.3">
      <c r="A1012" s="1"/>
      <c r="B1012" s="1"/>
      <c r="C1012" s="1"/>
      <c r="D1012" s="1"/>
      <c r="E1012" s="16" t="s">
        <v>127</v>
      </c>
      <c r="F1012" s="16" t="s">
        <v>940</v>
      </c>
      <c r="G1012" s="16">
        <v>10</v>
      </c>
      <c r="H1012" s="16" t="s">
        <v>28</v>
      </c>
      <c r="I1012" s="16">
        <v>276</v>
      </c>
      <c r="J1012" s="16">
        <f t="shared" si="216"/>
        <v>2760</v>
      </c>
      <c r="K1012" s="16"/>
      <c r="L1012" s="16"/>
      <c r="M1012" s="16"/>
      <c r="N1012" s="16"/>
      <c r="O1012" s="16">
        <v>10</v>
      </c>
      <c r="P1012" s="16">
        <v>276</v>
      </c>
      <c r="Q1012" s="16">
        <f t="shared" si="229"/>
        <v>2760</v>
      </c>
      <c r="R1012" s="18">
        <v>0</v>
      </c>
      <c r="S1012" s="16">
        <f t="shared" si="230"/>
        <v>0</v>
      </c>
      <c r="T1012" s="16">
        <f t="shared" si="231"/>
        <v>2760</v>
      </c>
      <c r="U1012" s="16" t="s">
        <v>1036</v>
      </c>
      <c r="V1012" s="19" t="s">
        <v>1037</v>
      </c>
      <c r="W1012" s="142" t="s">
        <v>1089</v>
      </c>
    </row>
    <row r="1013" spans="1:23" x14ac:dyDescent="0.3">
      <c r="A1013" s="1"/>
      <c r="B1013" s="1"/>
      <c r="C1013" s="1"/>
      <c r="D1013" s="1"/>
      <c r="E1013" s="16" t="s">
        <v>127</v>
      </c>
      <c r="F1013" s="16" t="s">
        <v>941</v>
      </c>
      <c r="G1013" s="16">
        <v>20</v>
      </c>
      <c r="H1013" s="16" t="s">
        <v>28</v>
      </c>
      <c r="I1013" s="16">
        <v>13</v>
      </c>
      <c r="J1013" s="16">
        <f t="shared" si="216"/>
        <v>260</v>
      </c>
      <c r="K1013" s="16"/>
      <c r="L1013" s="16"/>
      <c r="M1013" s="16"/>
      <c r="N1013" s="16"/>
      <c r="O1013" s="16">
        <v>20</v>
      </c>
      <c r="P1013" s="16">
        <v>13</v>
      </c>
      <c r="Q1013" s="16">
        <f t="shared" si="229"/>
        <v>260</v>
      </c>
      <c r="R1013" s="18">
        <v>0</v>
      </c>
      <c r="S1013" s="16">
        <f t="shared" si="230"/>
        <v>0</v>
      </c>
      <c r="T1013" s="16">
        <f t="shared" si="231"/>
        <v>260</v>
      </c>
      <c r="U1013" s="16" t="s">
        <v>1036</v>
      </c>
      <c r="V1013" s="19" t="s">
        <v>1037</v>
      </c>
      <c r="W1013" s="142" t="s">
        <v>1089</v>
      </c>
    </row>
    <row r="1014" spans="1:23" x14ac:dyDescent="0.3">
      <c r="A1014" s="1"/>
      <c r="B1014" s="1"/>
      <c r="C1014" s="1"/>
      <c r="D1014" s="1"/>
      <c r="E1014" s="16" t="s">
        <v>127</v>
      </c>
      <c r="F1014" s="16" t="s">
        <v>942</v>
      </c>
      <c r="G1014" s="16">
        <v>5</v>
      </c>
      <c r="H1014" s="16" t="s">
        <v>28</v>
      </c>
      <c r="I1014" s="16">
        <v>4950</v>
      </c>
      <c r="J1014" s="16">
        <f t="shared" si="216"/>
        <v>24750</v>
      </c>
      <c r="K1014" s="16"/>
      <c r="L1014" s="16"/>
      <c r="M1014" s="16"/>
      <c r="N1014" s="16"/>
      <c r="O1014" s="16">
        <v>5</v>
      </c>
      <c r="P1014" s="16">
        <v>4950</v>
      </c>
      <c r="Q1014" s="16">
        <f t="shared" si="229"/>
        <v>24750</v>
      </c>
      <c r="R1014" s="18">
        <v>0</v>
      </c>
      <c r="S1014" s="16">
        <f t="shared" si="230"/>
        <v>0</v>
      </c>
      <c r="T1014" s="16">
        <f t="shared" si="231"/>
        <v>24750</v>
      </c>
      <c r="U1014" s="16" t="s">
        <v>1036</v>
      </c>
      <c r="V1014" s="19" t="s">
        <v>1037</v>
      </c>
      <c r="W1014" s="142" t="s">
        <v>1089</v>
      </c>
    </row>
    <row r="1015" spans="1:23" x14ac:dyDescent="0.3">
      <c r="A1015" s="1"/>
      <c r="B1015" s="1"/>
      <c r="C1015" s="1"/>
      <c r="D1015" s="1"/>
      <c r="E1015" s="16" t="s">
        <v>127</v>
      </c>
      <c r="F1015" s="16" t="s">
        <v>943</v>
      </c>
      <c r="G1015" s="16">
        <v>4</v>
      </c>
      <c r="H1015" s="16" t="s">
        <v>28</v>
      </c>
      <c r="I1015" s="16">
        <v>50</v>
      </c>
      <c r="J1015" s="16">
        <f t="shared" si="216"/>
        <v>200</v>
      </c>
      <c r="K1015" s="16"/>
      <c r="L1015" s="16"/>
      <c r="M1015" s="16"/>
      <c r="N1015" s="16"/>
      <c r="O1015" s="16">
        <v>4</v>
      </c>
      <c r="P1015" s="16">
        <v>50</v>
      </c>
      <c r="Q1015" s="16">
        <f t="shared" si="229"/>
        <v>200</v>
      </c>
      <c r="R1015" s="18">
        <v>0</v>
      </c>
      <c r="S1015" s="16">
        <f t="shared" si="230"/>
        <v>0</v>
      </c>
      <c r="T1015" s="16">
        <f t="shared" si="231"/>
        <v>200</v>
      </c>
      <c r="U1015" s="16" t="s">
        <v>1036</v>
      </c>
      <c r="V1015" s="19" t="s">
        <v>1037</v>
      </c>
      <c r="W1015" s="142" t="s">
        <v>1089</v>
      </c>
    </row>
    <row r="1016" spans="1:23" x14ac:dyDescent="0.3">
      <c r="A1016" s="1"/>
      <c r="B1016" s="1"/>
      <c r="C1016" s="1"/>
      <c r="D1016" s="1"/>
      <c r="E1016" s="16" t="s">
        <v>127</v>
      </c>
      <c r="F1016" s="16" t="s">
        <v>944</v>
      </c>
      <c r="G1016" s="16">
        <v>4</v>
      </c>
      <c r="H1016" s="16" t="s">
        <v>28</v>
      </c>
      <c r="I1016" s="16">
        <v>92</v>
      </c>
      <c r="J1016" s="16">
        <f t="shared" si="216"/>
        <v>368</v>
      </c>
      <c r="K1016" s="16"/>
      <c r="L1016" s="16"/>
      <c r="M1016" s="16"/>
      <c r="N1016" s="16"/>
      <c r="O1016" s="16">
        <v>4</v>
      </c>
      <c r="P1016" s="16">
        <v>92</v>
      </c>
      <c r="Q1016" s="16">
        <f t="shared" si="229"/>
        <v>368</v>
      </c>
      <c r="R1016" s="18">
        <v>0</v>
      </c>
      <c r="S1016" s="16">
        <f t="shared" si="230"/>
        <v>0</v>
      </c>
      <c r="T1016" s="16">
        <f t="shared" si="231"/>
        <v>368</v>
      </c>
      <c r="U1016" s="16" t="s">
        <v>1036</v>
      </c>
      <c r="V1016" s="19" t="s">
        <v>1037</v>
      </c>
      <c r="W1016" s="142" t="s">
        <v>1089</v>
      </c>
    </row>
    <row r="1017" spans="1:23" x14ac:dyDescent="0.3">
      <c r="A1017" s="1"/>
      <c r="B1017" s="1"/>
      <c r="C1017" s="1"/>
      <c r="D1017" s="1"/>
      <c r="E1017" s="16" t="s">
        <v>127</v>
      </c>
      <c r="F1017" s="16" t="s">
        <v>945</v>
      </c>
      <c r="G1017" s="16">
        <v>4</v>
      </c>
      <c r="H1017" s="16" t="s">
        <v>28</v>
      </c>
      <c r="I1017" s="16">
        <v>192</v>
      </c>
      <c r="J1017" s="16">
        <f t="shared" si="216"/>
        <v>768</v>
      </c>
      <c r="K1017" s="16"/>
      <c r="L1017" s="16"/>
      <c r="M1017" s="16"/>
      <c r="N1017" s="16"/>
      <c r="O1017" s="16">
        <v>4</v>
      </c>
      <c r="P1017" s="16">
        <v>192</v>
      </c>
      <c r="Q1017" s="16">
        <f t="shared" si="229"/>
        <v>768</v>
      </c>
      <c r="R1017" s="18">
        <v>0</v>
      </c>
      <c r="S1017" s="16">
        <f t="shared" si="230"/>
        <v>0</v>
      </c>
      <c r="T1017" s="16">
        <f t="shared" si="231"/>
        <v>768</v>
      </c>
      <c r="U1017" s="16" t="s">
        <v>1036</v>
      </c>
      <c r="V1017" s="19" t="s">
        <v>1037</v>
      </c>
      <c r="W1017" s="142" t="s">
        <v>1089</v>
      </c>
    </row>
    <row r="1018" spans="1:23" x14ac:dyDescent="0.3">
      <c r="A1018" s="1"/>
      <c r="B1018" s="1"/>
      <c r="C1018" s="1"/>
      <c r="D1018" s="1"/>
      <c r="E1018" s="16" t="s">
        <v>127</v>
      </c>
      <c r="F1018" s="16" t="s">
        <v>946</v>
      </c>
      <c r="G1018" s="16">
        <v>4</v>
      </c>
      <c r="H1018" s="16" t="s">
        <v>28</v>
      </c>
      <c r="I1018" s="16">
        <v>25</v>
      </c>
      <c r="J1018" s="16">
        <f t="shared" si="216"/>
        <v>100</v>
      </c>
      <c r="K1018" s="16"/>
      <c r="L1018" s="16"/>
      <c r="M1018" s="16"/>
      <c r="N1018" s="16"/>
      <c r="O1018" s="16">
        <v>4</v>
      </c>
      <c r="P1018" s="16">
        <v>25</v>
      </c>
      <c r="Q1018" s="16">
        <f t="shared" si="229"/>
        <v>100</v>
      </c>
      <c r="R1018" s="18">
        <v>0</v>
      </c>
      <c r="S1018" s="16">
        <f t="shared" si="230"/>
        <v>0</v>
      </c>
      <c r="T1018" s="16">
        <f t="shared" si="231"/>
        <v>100</v>
      </c>
      <c r="U1018" s="16" t="s">
        <v>1036</v>
      </c>
      <c r="V1018" s="19" t="s">
        <v>1037</v>
      </c>
      <c r="W1018" s="142" t="s">
        <v>1089</v>
      </c>
    </row>
    <row r="1019" spans="1:23" x14ac:dyDescent="0.3">
      <c r="A1019" s="1"/>
      <c r="B1019" s="1"/>
      <c r="C1019" s="1"/>
      <c r="D1019" s="1"/>
      <c r="E1019" s="16" t="s">
        <v>127</v>
      </c>
      <c r="F1019" s="16" t="s">
        <v>947</v>
      </c>
      <c r="G1019" s="16">
        <v>4</v>
      </c>
      <c r="H1019" s="16" t="s">
        <v>28</v>
      </c>
      <c r="I1019" s="16">
        <v>580</v>
      </c>
      <c r="J1019" s="16">
        <f t="shared" si="216"/>
        <v>2320</v>
      </c>
      <c r="K1019" s="16"/>
      <c r="L1019" s="16"/>
      <c r="M1019" s="16"/>
      <c r="N1019" s="16"/>
      <c r="O1019" s="16">
        <v>4</v>
      </c>
      <c r="P1019" s="16">
        <v>580</v>
      </c>
      <c r="Q1019" s="16">
        <f t="shared" si="229"/>
        <v>2320</v>
      </c>
      <c r="R1019" s="18">
        <v>0</v>
      </c>
      <c r="S1019" s="16">
        <f t="shared" si="230"/>
        <v>0</v>
      </c>
      <c r="T1019" s="16">
        <f t="shared" si="231"/>
        <v>2320</v>
      </c>
      <c r="U1019" s="16" t="s">
        <v>1036</v>
      </c>
      <c r="V1019" s="19" t="s">
        <v>1037</v>
      </c>
      <c r="W1019" s="142" t="s">
        <v>1089</v>
      </c>
    </row>
    <row r="1020" spans="1:23" x14ac:dyDescent="0.3">
      <c r="A1020" s="1"/>
      <c r="B1020" s="1"/>
      <c r="C1020" s="1"/>
      <c r="D1020" s="1"/>
      <c r="E1020" s="16" t="s">
        <v>127</v>
      </c>
      <c r="F1020" s="39" t="s">
        <v>948</v>
      </c>
      <c r="G1020" s="16">
        <v>4</v>
      </c>
      <c r="H1020" s="16" t="s">
        <v>28</v>
      </c>
      <c r="I1020" s="16">
        <v>901</v>
      </c>
      <c r="J1020" s="16">
        <f t="shared" si="216"/>
        <v>3604</v>
      </c>
      <c r="K1020" s="16"/>
      <c r="L1020" s="16"/>
      <c r="M1020" s="16"/>
      <c r="N1020" s="16"/>
      <c r="O1020" s="16">
        <v>4</v>
      </c>
      <c r="P1020" s="16">
        <v>901</v>
      </c>
      <c r="Q1020" s="16">
        <f t="shared" si="229"/>
        <v>3604</v>
      </c>
      <c r="R1020" s="18">
        <v>0</v>
      </c>
      <c r="S1020" s="16">
        <f t="shared" si="230"/>
        <v>0</v>
      </c>
      <c r="T1020" s="16">
        <f t="shared" si="231"/>
        <v>3604</v>
      </c>
      <c r="U1020" s="16" t="s">
        <v>1036</v>
      </c>
      <c r="V1020" s="19" t="s">
        <v>1037</v>
      </c>
      <c r="W1020" s="142" t="s">
        <v>1089</v>
      </c>
    </row>
    <row r="1021" spans="1:23" x14ac:dyDescent="0.3">
      <c r="A1021" s="1"/>
      <c r="B1021" s="1"/>
      <c r="C1021" s="1"/>
      <c r="D1021" s="1"/>
      <c r="E1021" s="16" t="s">
        <v>127</v>
      </c>
      <c r="F1021" s="39" t="s">
        <v>949</v>
      </c>
      <c r="G1021" s="16">
        <v>4</v>
      </c>
      <c r="H1021" s="16" t="s">
        <v>28</v>
      </c>
      <c r="I1021" s="16">
        <v>1500</v>
      </c>
      <c r="J1021" s="16">
        <f t="shared" si="216"/>
        <v>6000</v>
      </c>
      <c r="K1021" s="16"/>
      <c r="L1021" s="16"/>
      <c r="M1021" s="16"/>
      <c r="N1021" s="16"/>
      <c r="O1021" s="16">
        <v>4</v>
      </c>
      <c r="P1021" s="16">
        <v>1500</v>
      </c>
      <c r="Q1021" s="16">
        <f t="shared" si="229"/>
        <v>6000</v>
      </c>
      <c r="R1021" s="18">
        <v>0</v>
      </c>
      <c r="S1021" s="16">
        <f t="shared" si="230"/>
        <v>0</v>
      </c>
      <c r="T1021" s="16">
        <f t="shared" si="231"/>
        <v>6000</v>
      </c>
      <c r="U1021" s="16" t="s">
        <v>1036</v>
      </c>
      <c r="V1021" s="19" t="s">
        <v>1037</v>
      </c>
      <c r="W1021" s="142" t="s">
        <v>1089</v>
      </c>
    </row>
    <row r="1022" spans="1:23" x14ac:dyDescent="0.3">
      <c r="A1022" s="1"/>
      <c r="B1022" s="1"/>
      <c r="C1022" s="1"/>
      <c r="D1022" s="1"/>
      <c r="E1022" s="16" t="s">
        <v>127</v>
      </c>
      <c r="F1022" s="39" t="s">
        <v>950</v>
      </c>
      <c r="G1022" s="16">
        <v>4</v>
      </c>
      <c r="H1022" s="16" t="s">
        <v>28</v>
      </c>
      <c r="I1022" s="16">
        <v>62</v>
      </c>
      <c r="J1022" s="16">
        <f t="shared" si="216"/>
        <v>248</v>
      </c>
      <c r="K1022" s="16"/>
      <c r="L1022" s="16"/>
      <c r="M1022" s="16"/>
      <c r="N1022" s="16"/>
      <c r="O1022" s="16">
        <v>4</v>
      </c>
      <c r="P1022" s="16">
        <v>62</v>
      </c>
      <c r="Q1022" s="16">
        <f t="shared" si="229"/>
        <v>248</v>
      </c>
      <c r="R1022" s="18">
        <v>0</v>
      </c>
      <c r="S1022" s="16">
        <f t="shared" si="230"/>
        <v>0</v>
      </c>
      <c r="T1022" s="16">
        <f t="shared" si="231"/>
        <v>248</v>
      </c>
      <c r="U1022" s="16" t="s">
        <v>1036</v>
      </c>
      <c r="V1022" s="19" t="s">
        <v>1037</v>
      </c>
      <c r="W1022" s="142" t="s">
        <v>1089</v>
      </c>
    </row>
    <row r="1023" spans="1:23" x14ac:dyDescent="0.3">
      <c r="A1023" s="1"/>
      <c r="B1023" s="1"/>
      <c r="C1023" s="1"/>
      <c r="D1023" s="1"/>
      <c r="E1023" s="16" t="s">
        <v>127</v>
      </c>
      <c r="F1023" s="16" t="s">
        <v>951</v>
      </c>
      <c r="G1023" s="16">
        <v>4</v>
      </c>
      <c r="H1023" s="16" t="s">
        <v>28</v>
      </c>
      <c r="I1023" s="16">
        <v>115</v>
      </c>
      <c r="J1023" s="16">
        <f t="shared" si="216"/>
        <v>460</v>
      </c>
      <c r="K1023" s="16"/>
      <c r="L1023" s="16"/>
      <c r="M1023" s="16"/>
      <c r="N1023" s="16"/>
      <c r="O1023" s="16">
        <v>4</v>
      </c>
      <c r="P1023" s="16">
        <v>115</v>
      </c>
      <c r="Q1023" s="16">
        <f t="shared" si="229"/>
        <v>460</v>
      </c>
      <c r="R1023" s="18">
        <v>0</v>
      </c>
      <c r="S1023" s="16">
        <f t="shared" si="230"/>
        <v>0</v>
      </c>
      <c r="T1023" s="16">
        <f t="shared" si="231"/>
        <v>460</v>
      </c>
      <c r="U1023" s="16" t="s">
        <v>1036</v>
      </c>
      <c r="V1023" s="19" t="s">
        <v>1037</v>
      </c>
      <c r="W1023" s="142" t="s">
        <v>1089</v>
      </c>
    </row>
    <row r="1024" spans="1:23" x14ac:dyDescent="0.3">
      <c r="A1024" s="1"/>
      <c r="B1024" s="1"/>
      <c r="C1024" s="1"/>
      <c r="D1024" s="1"/>
      <c r="E1024" s="16" t="s">
        <v>127</v>
      </c>
      <c r="F1024" s="16" t="s">
        <v>952</v>
      </c>
      <c r="G1024" s="16">
        <v>4</v>
      </c>
      <c r="H1024" s="16" t="s">
        <v>28</v>
      </c>
      <c r="I1024" s="16">
        <v>240</v>
      </c>
      <c r="J1024" s="16">
        <f t="shared" si="216"/>
        <v>960</v>
      </c>
      <c r="K1024" s="16"/>
      <c r="L1024" s="16"/>
      <c r="M1024" s="16"/>
      <c r="N1024" s="16"/>
      <c r="O1024" s="16">
        <v>4</v>
      </c>
      <c r="P1024" s="16">
        <v>240</v>
      </c>
      <c r="Q1024" s="16">
        <f t="shared" si="229"/>
        <v>960</v>
      </c>
      <c r="R1024" s="18">
        <v>0</v>
      </c>
      <c r="S1024" s="16">
        <f t="shared" si="230"/>
        <v>0</v>
      </c>
      <c r="T1024" s="16">
        <f t="shared" si="231"/>
        <v>960</v>
      </c>
      <c r="U1024" s="16" t="s">
        <v>1036</v>
      </c>
      <c r="V1024" s="19" t="s">
        <v>1037</v>
      </c>
      <c r="W1024" s="142" t="s">
        <v>1089</v>
      </c>
    </row>
    <row r="1025" spans="1:23" x14ac:dyDescent="0.3">
      <c r="A1025" s="1"/>
      <c r="B1025" s="1"/>
      <c r="C1025" s="1"/>
      <c r="D1025" s="1"/>
      <c r="E1025" s="16" t="s">
        <v>127</v>
      </c>
      <c r="F1025" s="16" t="s">
        <v>953</v>
      </c>
      <c r="G1025" s="16">
        <v>4</v>
      </c>
      <c r="H1025" s="16" t="s">
        <v>28</v>
      </c>
      <c r="I1025" s="16">
        <v>30</v>
      </c>
      <c r="J1025" s="16">
        <f t="shared" si="216"/>
        <v>120</v>
      </c>
      <c r="K1025" s="16"/>
      <c r="L1025" s="16"/>
      <c r="M1025" s="16"/>
      <c r="N1025" s="16"/>
      <c r="O1025" s="16">
        <v>4</v>
      </c>
      <c r="P1025" s="16">
        <v>30</v>
      </c>
      <c r="Q1025" s="16">
        <f t="shared" si="229"/>
        <v>120</v>
      </c>
      <c r="R1025" s="18">
        <v>0</v>
      </c>
      <c r="S1025" s="16">
        <f t="shared" si="230"/>
        <v>0</v>
      </c>
      <c r="T1025" s="16">
        <f t="shared" si="231"/>
        <v>120</v>
      </c>
      <c r="U1025" s="16" t="s">
        <v>1036</v>
      </c>
      <c r="V1025" s="19" t="s">
        <v>1037</v>
      </c>
      <c r="W1025" s="142" t="s">
        <v>1089</v>
      </c>
    </row>
    <row r="1026" spans="1:23" x14ac:dyDescent="0.3">
      <c r="A1026" s="1"/>
      <c r="B1026" s="1"/>
      <c r="C1026" s="1"/>
      <c r="D1026" s="1"/>
      <c r="E1026" s="16" t="s">
        <v>127</v>
      </c>
      <c r="F1026" s="16" t="s">
        <v>954</v>
      </c>
      <c r="G1026" s="16">
        <v>4</v>
      </c>
      <c r="H1026" s="16" t="s">
        <v>28</v>
      </c>
      <c r="I1026" s="16">
        <v>792</v>
      </c>
      <c r="J1026" s="16">
        <f t="shared" si="216"/>
        <v>3168</v>
      </c>
      <c r="K1026" s="16"/>
      <c r="L1026" s="16"/>
      <c r="M1026" s="16"/>
      <c r="N1026" s="16"/>
      <c r="O1026" s="16">
        <v>4</v>
      </c>
      <c r="P1026" s="16">
        <v>792</v>
      </c>
      <c r="Q1026" s="16">
        <f t="shared" si="229"/>
        <v>3168</v>
      </c>
      <c r="R1026" s="18">
        <v>0</v>
      </c>
      <c r="S1026" s="16">
        <f t="shared" si="230"/>
        <v>0</v>
      </c>
      <c r="T1026" s="16">
        <f t="shared" si="231"/>
        <v>3168</v>
      </c>
      <c r="U1026" s="16" t="s">
        <v>1036</v>
      </c>
      <c r="V1026" s="19" t="s">
        <v>1037</v>
      </c>
      <c r="W1026" s="142" t="s">
        <v>1089</v>
      </c>
    </row>
    <row r="1027" spans="1:23" x14ac:dyDescent="0.3">
      <c r="A1027" s="1"/>
      <c r="B1027" s="1"/>
      <c r="C1027" s="1"/>
      <c r="D1027" s="1"/>
      <c r="E1027" s="16" t="s">
        <v>127</v>
      </c>
      <c r="F1027" s="39" t="s">
        <v>955</v>
      </c>
      <c r="G1027" s="16">
        <v>4</v>
      </c>
      <c r="H1027" s="16" t="s">
        <v>28</v>
      </c>
      <c r="I1027" s="16">
        <v>1164</v>
      </c>
      <c r="J1027" s="16">
        <f t="shared" si="216"/>
        <v>4656</v>
      </c>
      <c r="K1027" s="16"/>
      <c r="L1027" s="16"/>
      <c r="M1027" s="16"/>
      <c r="N1027" s="16"/>
      <c r="O1027" s="16">
        <v>4</v>
      </c>
      <c r="P1027" s="16">
        <v>1164</v>
      </c>
      <c r="Q1027" s="16">
        <f t="shared" si="229"/>
        <v>4656</v>
      </c>
      <c r="R1027" s="18">
        <v>0</v>
      </c>
      <c r="S1027" s="16">
        <f t="shared" si="230"/>
        <v>0</v>
      </c>
      <c r="T1027" s="16">
        <f t="shared" si="231"/>
        <v>4656</v>
      </c>
      <c r="U1027" s="16" t="s">
        <v>1036</v>
      </c>
      <c r="V1027" s="19" t="s">
        <v>1037</v>
      </c>
      <c r="W1027" s="142" t="s">
        <v>1089</v>
      </c>
    </row>
    <row r="1028" spans="1:23" x14ac:dyDescent="0.3">
      <c r="A1028" s="1"/>
      <c r="B1028" s="1"/>
      <c r="C1028" s="1"/>
      <c r="D1028" s="1"/>
      <c r="E1028" s="16" t="s">
        <v>127</v>
      </c>
      <c r="F1028" s="39" t="s">
        <v>956</v>
      </c>
      <c r="G1028" s="16">
        <v>4</v>
      </c>
      <c r="H1028" s="16" t="s">
        <v>28</v>
      </c>
      <c r="I1028" s="16">
        <v>1932</v>
      </c>
      <c r="J1028" s="16">
        <f t="shared" si="216"/>
        <v>7728</v>
      </c>
      <c r="K1028" s="16"/>
      <c r="L1028" s="16"/>
      <c r="M1028" s="16"/>
      <c r="N1028" s="16"/>
      <c r="O1028" s="16">
        <v>4</v>
      </c>
      <c r="P1028" s="16">
        <v>1932</v>
      </c>
      <c r="Q1028" s="16">
        <f t="shared" si="229"/>
        <v>7728</v>
      </c>
      <c r="R1028" s="18">
        <v>0</v>
      </c>
      <c r="S1028" s="16">
        <f t="shared" si="230"/>
        <v>0</v>
      </c>
      <c r="T1028" s="16">
        <f t="shared" si="231"/>
        <v>7728</v>
      </c>
      <c r="U1028" s="16" t="s">
        <v>1036</v>
      </c>
      <c r="V1028" s="19" t="s">
        <v>1037</v>
      </c>
      <c r="W1028" s="142" t="s">
        <v>1089</v>
      </c>
    </row>
    <row r="1029" spans="1:23" x14ac:dyDescent="0.3">
      <c r="A1029" s="1"/>
      <c r="B1029" s="1"/>
      <c r="C1029" s="1"/>
      <c r="D1029" s="1"/>
      <c r="E1029" s="16" t="s">
        <v>127</v>
      </c>
      <c r="F1029" s="39" t="s">
        <v>957</v>
      </c>
      <c r="G1029" s="16">
        <v>4</v>
      </c>
      <c r="H1029" s="16" t="s">
        <v>28</v>
      </c>
      <c r="I1029" s="16">
        <v>30</v>
      </c>
      <c r="J1029" s="16">
        <f t="shared" si="216"/>
        <v>120</v>
      </c>
      <c r="K1029" s="16"/>
      <c r="L1029" s="16"/>
      <c r="M1029" s="16"/>
      <c r="N1029" s="16"/>
      <c r="O1029" s="16">
        <v>4</v>
      </c>
      <c r="P1029" s="16">
        <v>30</v>
      </c>
      <c r="Q1029" s="16">
        <f t="shared" si="229"/>
        <v>120</v>
      </c>
      <c r="R1029" s="18">
        <v>0</v>
      </c>
      <c r="S1029" s="16">
        <f t="shared" si="230"/>
        <v>0</v>
      </c>
      <c r="T1029" s="16">
        <f t="shared" si="231"/>
        <v>120</v>
      </c>
      <c r="U1029" s="16" t="s">
        <v>1036</v>
      </c>
      <c r="V1029" s="19" t="s">
        <v>1037</v>
      </c>
      <c r="W1029" s="142" t="s">
        <v>1089</v>
      </c>
    </row>
    <row r="1030" spans="1:23" x14ac:dyDescent="0.3">
      <c r="A1030" s="1"/>
      <c r="B1030" s="1"/>
      <c r="C1030" s="1"/>
      <c r="D1030" s="1"/>
      <c r="E1030" s="16" t="s">
        <v>127</v>
      </c>
      <c r="F1030" s="39" t="s">
        <v>958</v>
      </c>
      <c r="G1030" s="16">
        <v>4</v>
      </c>
      <c r="H1030" s="16" t="s">
        <v>28</v>
      </c>
      <c r="I1030" s="16">
        <v>40</v>
      </c>
      <c r="J1030" s="16">
        <f t="shared" si="216"/>
        <v>160</v>
      </c>
      <c r="K1030" s="16"/>
      <c r="L1030" s="16"/>
      <c r="M1030" s="16"/>
      <c r="N1030" s="16"/>
      <c r="O1030" s="16">
        <v>4</v>
      </c>
      <c r="P1030" s="16">
        <v>40</v>
      </c>
      <c r="Q1030" s="16">
        <f t="shared" si="229"/>
        <v>160</v>
      </c>
      <c r="R1030" s="18">
        <v>0</v>
      </c>
      <c r="S1030" s="16">
        <f t="shared" si="230"/>
        <v>0</v>
      </c>
      <c r="T1030" s="16">
        <f t="shared" si="231"/>
        <v>160</v>
      </c>
      <c r="U1030" s="16" t="s">
        <v>1036</v>
      </c>
      <c r="V1030" s="19" t="s">
        <v>1037</v>
      </c>
      <c r="W1030" s="142" t="s">
        <v>1089</v>
      </c>
    </row>
    <row r="1031" spans="1:23" x14ac:dyDescent="0.3">
      <c r="A1031" s="1"/>
      <c r="B1031" s="1"/>
      <c r="C1031" s="1"/>
      <c r="D1031" s="1"/>
      <c r="E1031" s="16" t="s">
        <v>127</v>
      </c>
      <c r="F1031" s="39" t="s">
        <v>959</v>
      </c>
      <c r="G1031" s="16">
        <v>4</v>
      </c>
      <c r="H1031" s="16" t="s">
        <v>28</v>
      </c>
      <c r="I1031" s="16">
        <v>57</v>
      </c>
      <c r="J1031" s="16">
        <f t="shared" si="216"/>
        <v>228</v>
      </c>
      <c r="K1031" s="16"/>
      <c r="L1031" s="16"/>
      <c r="M1031" s="16"/>
      <c r="N1031" s="16"/>
      <c r="O1031" s="16">
        <v>4</v>
      </c>
      <c r="P1031" s="16">
        <v>57</v>
      </c>
      <c r="Q1031" s="16">
        <f t="shared" si="229"/>
        <v>228</v>
      </c>
      <c r="R1031" s="18">
        <v>0</v>
      </c>
      <c r="S1031" s="16">
        <f t="shared" si="230"/>
        <v>0</v>
      </c>
      <c r="T1031" s="16">
        <f t="shared" si="231"/>
        <v>228</v>
      </c>
      <c r="U1031" s="16" t="s">
        <v>1036</v>
      </c>
      <c r="V1031" s="19" t="s">
        <v>1037</v>
      </c>
      <c r="W1031" s="142" t="s">
        <v>1089</v>
      </c>
    </row>
    <row r="1032" spans="1:23" x14ac:dyDescent="0.3">
      <c r="A1032" s="1"/>
      <c r="B1032" s="1"/>
      <c r="C1032" s="1"/>
      <c r="D1032" s="1"/>
      <c r="E1032" s="16" t="s">
        <v>127</v>
      </c>
      <c r="F1032" s="39" t="s">
        <v>960</v>
      </c>
      <c r="G1032" s="16">
        <v>4</v>
      </c>
      <c r="H1032" s="16" t="s">
        <v>28</v>
      </c>
      <c r="I1032" s="16">
        <v>18</v>
      </c>
      <c r="J1032" s="16">
        <f t="shared" si="216"/>
        <v>72</v>
      </c>
      <c r="K1032" s="16"/>
      <c r="L1032" s="16"/>
      <c r="M1032" s="16"/>
      <c r="N1032" s="16"/>
      <c r="O1032" s="16">
        <v>4</v>
      </c>
      <c r="P1032" s="16">
        <v>18</v>
      </c>
      <c r="Q1032" s="16">
        <f t="shared" si="229"/>
        <v>72</v>
      </c>
      <c r="R1032" s="18">
        <v>0</v>
      </c>
      <c r="S1032" s="16">
        <f t="shared" si="230"/>
        <v>0</v>
      </c>
      <c r="T1032" s="16">
        <f t="shared" si="231"/>
        <v>72</v>
      </c>
      <c r="U1032" s="16" t="s">
        <v>1036</v>
      </c>
      <c r="V1032" s="19" t="s">
        <v>1037</v>
      </c>
      <c r="W1032" s="142" t="s">
        <v>1089</v>
      </c>
    </row>
    <row r="1033" spans="1:23" x14ac:dyDescent="0.3">
      <c r="A1033" s="1"/>
      <c r="B1033" s="1"/>
      <c r="C1033" s="1"/>
      <c r="D1033" s="1"/>
      <c r="E1033" s="16" t="s">
        <v>127</v>
      </c>
      <c r="F1033" s="39" t="s">
        <v>961</v>
      </c>
      <c r="G1033" s="16">
        <v>4</v>
      </c>
      <c r="H1033" s="16" t="s">
        <v>28</v>
      </c>
      <c r="I1033" s="16">
        <v>504</v>
      </c>
      <c r="J1033" s="16">
        <f t="shared" si="216"/>
        <v>2016</v>
      </c>
      <c r="K1033" s="16"/>
      <c r="L1033" s="16"/>
      <c r="M1033" s="16"/>
      <c r="N1033" s="16"/>
      <c r="O1033" s="16">
        <v>4</v>
      </c>
      <c r="P1033" s="16">
        <v>504</v>
      </c>
      <c r="Q1033" s="16">
        <f t="shared" si="229"/>
        <v>2016</v>
      </c>
      <c r="R1033" s="18">
        <v>0</v>
      </c>
      <c r="S1033" s="16">
        <f t="shared" si="230"/>
        <v>0</v>
      </c>
      <c r="T1033" s="16">
        <f t="shared" si="231"/>
        <v>2016</v>
      </c>
      <c r="U1033" s="16" t="s">
        <v>1036</v>
      </c>
      <c r="V1033" s="19" t="s">
        <v>1037</v>
      </c>
      <c r="W1033" s="142" t="s">
        <v>1089</v>
      </c>
    </row>
    <row r="1034" spans="1:23" x14ac:dyDescent="0.3">
      <c r="A1034" s="1"/>
      <c r="B1034" s="1"/>
      <c r="C1034" s="1"/>
      <c r="D1034" s="1"/>
      <c r="E1034" s="16" t="s">
        <v>127</v>
      </c>
      <c r="F1034" s="39" t="s">
        <v>962</v>
      </c>
      <c r="G1034" s="16">
        <v>4</v>
      </c>
      <c r="H1034" s="16" t="s">
        <v>28</v>
      </c>
      <c r="I1034" s="16">
        <v>840</v>
      </c>
      <c r="J1034" s="16">
        <f t="shared" si="216"/>
        <v>3360</v>
      </c>
      <c r="K1034" s="16"/>
      <c r="L1034" s="16"/>
      <c r="M1034" s="16"/>
      <c r="N1034" s="16"/>
      <c r="O1034" s="16">
        <v>4</v>
      </c>
      <c r="P1034" s="16">
        <v>840</v>
      </c>
      <c r="Q1034" s="16">
        <f t="shared" si="229"/>
        <v>3360</v>
      </c>
      <c r="R1034" s="18">
        <v>0</v>
      </c>
      <c r="S1034" s="16">
        <f t="shared" si="230"/>
        <v>0</v>
      </c>
      <c r="T1034" s="16">
        <f t="shared" si="231"/>
        <v>3360</v>
      </c>
      <c r="U1034" s="16" t="s">
        <v>1036</v>
      </c>
      <c r="V1034" s="19" t="s">
        <v>1037</v>
      </c>
      <c r="W1034" s="142" t="s">
        <v>1089</v>
      </c>
    </row>
    <row r="1035" spans="1:23" x14ac:dyDescent="0.3">
      <c r="A1035" s="1"/>
      <c r="B1035" s="1"/>
      <c r="C1035" s="1"/>
      <c r="D1035" s="1"/>
      <c r="E1035" s="16" t="s">
        <v>127</v>
      </c>
      <c r="F1035" s="39" t="s">
        <v>963</v>
      </c>
      <c r="G1035" s="16">
        <v>4</v>
      </c>
      <c r="H1035" s="16" t="s">
        <v>28</v>
      </c>
      <c r="I1035" s="16">
        <v>1164</v>
      </c>
      <c r="J1035" s="16">
        <f t="shared" si="216"/>
        <v>4656</v>
      </c>
      <c r="K1035" s="16"/>
      <c r="L1035" s="16"/>
      <c r="M1035" s="16"/>
      <c r="N1035" s="16"/>
      <c r="O1035" s="16">
        <v>4</v>
      </c>
      <c r="P1035" s="16">
        <v>1164</v>
      </c>
      <c r="Q1035" s="16">
        <f t="shared" si="229"/>
        <v>4656</v>
      </c>
      <c r="R1035" s="18">
        <v>0</v>
      </c>
      <c r="S1035" s="16">
        <f t="shared" si="230"/>
        <v>0</v>
      </c>
      <c r="T1035" s="16">
        <f t="shared" si="231"/>
        <v>4656</v>
      </c>
      <c r="U1035" s="16" t="s">
        <v>1036</v>
      </c>
      <c r="V1035" s="19" t="s">
        <v>1037</v>
      </c>
      <c r="W1035" s="142" t="s">
        <v>1089</v>
      </c>
    </row>
    <row r="1036" spans="1:23" x14ac:dyDescent="0.3">
      <c r="A1036" s="1"/>
      <c r="B1036" s="1"/>
      <c r="C1036" s="1"/>
      <c r="D1036" s="1"/>
      <c r="E1036" s="16" t="s">
        <v>127</v>
      </c>
      <c r="F1036" s="39" t="s">
        <v>964</v>
      </c>
      <c r="G1036" s="16">
        <v>4</v>
      </c>
      <c r="H1036" s="16" t="s">
        <v>28</v>
      </c>
      <c r="I1036" s="16">
        <v>728</v>
      </c>
      <c r="J1036" s="16">
        <f t="shared" si="216"/>
        <v>2912</v>
      </c>
      <c r="K1036" s="16"/>
      <c r="L1036" s="16"/>
      <c r="M1036" s="16"/>
      <c r="N1036" s="16"/>
      <c r="O1036" s="16">
        <v>4</v>
      </c>
      <c r="P1036" s="16">
        <v>728</v>
      </c>
      <c r="Q1036" s="16">
        <f t="shared" si="229"/>
        <v>2912</v>
      </c>
      <c r="R1036" s="18">
        <v>0</v>
      </c>
      <c r="S1036" s="16">
        <f t="shared" si="230"/>
        <v>0</v>
      </c>
      <c r="T1036" s="16">
        <f t="shared" si="231"/>
        <v>2912</v>
      </c>
      <c r="U1036" s="16" t="s">
        <v>1036</v>
      </c>
      <c r="V1036" s="19" t="s">
        <v>1037</v>
      </c>
      <c r="W1036" s="142" t="s">
        <v>1089</v>
      </c>
    </row>
    <row r="1037" spans="1:23" x14ac:dyDescent="0.3">
      <c r="A1037" s="1"/>
      <c r="B1037" s="1"/>
      <c r="C1037" s="1"/>
      <c r="D1037" s="1"/>
      <c r="E1037" s="16" t="s">
        <v>127</v>
      </c>
      <c r="F1037" s="39" t="s">
        <v>965</v>
      </c>
      <c r="G1037" s="16">
        <v>4</v>
      </c>
      <c r="H1037" s="16" t="s">
        <v>28</v>
      </c>
      <c r="I1037" s="16">
        <v>832</v>
      </c>
      <c r="J1037" s="16">
        <f t="shared" si="216"/>
        <v>3328</v>
      </c>
      <c r="K1037" s="16"/>
      <c r="L1037" s="16"/>
      <c r="M1037" s="16"/>
      <c r="N1037" s="16"/>
      <c r="O1037" s="16">
        <v>4</v>
      </c>
      <c r="P1037" s="16">
        <v>832</v>
      </c>
      <c r="Q1037" s="16">
        <f t="shared" si="229"/>
        <v>3328</v>
      </c>
      <c r="R1037" s="18">
        <v>0</v>
      </c>
      <c r="S1037" s="16">
        <f t="shared" si="230"/>
        <v>0</v>
      </c>
      <c r="T1037" s="16">
        <f t="shared" si="231"/>
        <v>3328</v>
      </c>
      <c r="U1037" s="16" t="s">
        <v>1036</v>
      </c>
      <c r="V1037" s="19" t="s">
        <v>1037</v>
      </c>
      <c r="W1037" s="142" t="s">
        <v>1089</v>
      </c>
    </row>
    <row r="1038" spans="1:23" x14ac:dyDescent="0.3">
      <c r="A1038" s="1"/>
      <c r="B1038" s="1"/>
      <c r="C1038" s="1"/>
      <c r="D1038" s="1"/>
      <c r="E1038" s="16" t="s">
        <v>127</v>
      </c>
      <c r="F1038" s="39" t="s">
        <v>966</v>
      </c>
      <c r="G1038" s="16">
        <v>4</v>
      </c>
      <c r="H1038" s="16" t="s">
        <v>28</v>
      </c>
      <c r="I1038" s="16">
        <v>1359</v>
      </c>
      <c r="J1038" s="16">
        <f t="shared" si="216"/>
        <v>5436</v>
      </c>
      <c r="K1038" s="16"/>
      <c r="L1038" s="16"/>
      <c r="M1038" s="16"/>
      <c r="N1038" s="16"/>
      <c r="O1038" s="16">
        <v>4</v>
      </c>
      <c r="P1038" s="16">
        <v>1359</v>
      </c>
      <c r="Q1038" s="16">
        <f t="shared" si="229"/>
        <v>5436</v>
      </c>
      <c r="R1038" s="18">
        <v>0</v>
      </c>
      <c r="S1038" s="16">
        <f t="shared" si="230"/>
        <v>0</v>
      </c>
      <c r="T1038" s="16">
        <f t="shared" si="231"/>
        <v>5436</v>
      </c>
      <c r="U1038" s="16" t="s">
        <v>1036</v>
      </c>
      <c r="V1038" s="19" t="s">
        <v>1037</v>
      </c>
      <c r="W1038" s="142" t="s">
        <v>1089</v>
      </c>
    </row>
    <row r="1039" spans="1:23" x14ac:dyDescent="0.3">
      <c r="A1039" s="1"/>
      <c r="B1039" s="1"/>
      <c r="C1039" s="1"/>
      <c r="D1039" s="1"/>
      <c r="E1039" s="16" t="s">
        <v>127</v>
      </c>
      <c r="F1039" s="39" t="s">
        <v>967</v>
      </c>
      <c r="G1039" s="16">
        <v>4</v>
      </c>
      <c r="H1039" s="16" t="s">
        <v>28</v>
      </c>
      <c r="I1039" s="16">
        <v>45</v>
      </c>
      <c r="J1039" s="16">
        <f t="shared" si="216"/>
        <v>180</v>
      </c>
      <c r="K1039" s="16"/>
      <c r="L1039" s="16"/>
      <c r="M1039" s="16"/>
      <c r="N1039" s="16"/>
      <c r="O1039" s="16">
        <v>4</v>
      </c>
      <c r="P1039" s="16">
        <v>45</v>
      </c>
      <c r="Q1039" s="16">
        <f t="shared" si="229"/>
        <v>180</v>
      </c>
      <c r="R1039" s="18">
        <v>0</v>
      </c>
      <c r="S1039" s="16">
        <f t="shared" si="230"/>
        <v>0</v>
      </c>
      <c r="T1039" s="16">
        <f t="shared" si="231"/>
        <v>180</v>
      </c>
      <c r="U1039" s="16" t="s">
        <v>1036</v>
      </c>
      <c r="V1039" s="19" t="s">
        <v>1037</v>
      </c>
      <c r="W1039" s="142" t="s">
        <v>1089</v>
      </c>
    </row>
    <row r="1040" spans="1:23" x14ac:dyDescent="0.3">
      <c r="A1040" s="1"/>
      <c r="B1040" s="1"/>
      <c r="C1040" s="1"/>
      <c r="D1040" s="1"/>
      <c r="E1040" s="16" t="s">
        <v>127</v>
      </c>
      <c r="F1040" s="39" t="s">
        <v>968</v>
      </c>
      <c r="G1040" s="16">
        <v>4</v>
      </c>
      <c r="H1040" s="16" t="s">
        <v>28</v>
      </c>
      <c r="I1040" s="16">
        <v>153</v>
      </c>
      <c r="J1040" s="16">
        <f t="shared" si="216"/>
        <v>612</v>
      </c>
      <c r="K1040" s="16"/>
      <c r="L1040" s="16"/>
      <c r="M1040" s="16"/>
      <c r="N1040" s="16"/>
      <c r="O1040" s="16">
        <v>4</v>
      </c>
      <c r="P1040" s="16">
        <v>153</v>
      </c>
      <c r="Q1040" s="16">
        <f t="shared" si="229"/>
        <v>612</v>
      </c>
      <c r="R1040" s="18">
        <v>0</v>
      </c>
      <c r="S1040" s="16">
        <f t="shared" si="230"/>
        <v>0</v>
      </c>
      <c r="T1040" s="16">
        <f t="shared" si="231"/>
        <v>612</v>
      </c>
      <c r="U1040" s="16" t="s">
        <v>1036</v>
      </c>
      <c r="V1040" s="19" t="s">
        <v>1037</v>
      </c>
      <c r="W1040" s="142" t="s">
        <v>1089</v>
      </c>
    </row>
    <row r="1041" spans="1:23" x14ac:dyDescent="0.3">
      <c r="A1041" s="1"/>
      <c r="B1041" s="1"/>
      <c r="C1041" s="1"/>
      <c r="D1041" s="1"/>
      <c r="E1041" s="16" t="s">
        <v>127</v>
      </c>
      <c r="F1041" s="39" t="s">
        <v>969</v>
      </c>
      <c r="G1041" s="16">
        <v>4</v>
      </c>
      <c r="H1041" s="16" t="s">
        <v>28</v>
      </c>
      <c r="I1041" s="16">
        <v>21</v>
      </c>
      <c r="J1041" s="16">
        <f t="shared" si="216"/>
        <v>84</v>
      </c>
      <c r="K1041" s="16"/>
      <c r="L1041" s="16"/>
      <c r="M1041" s="16"/>
      <c r="N1041" s="16"/>
      <c r="O1041" s="16">
        <v>4</v>
      </c>
      <c r="P1041" s="16">
        <v>21</v>
      </c>
      <c r="Q1041" s="16">
        <f t="shared" si="229"/>
        <v>84</v>
      </c>
      <c r="R1041" s="18">
        <v>0</v>
      </c>
      <c r="S1041" s="16">
        <f t="shared" si="230"/>
        <v>0</v>
      </c>
      <c r="T1041" s="16">
        <f t="shared" si="231"/>
        <v>84</v>
      </c>
      <c r="U1041" s="16" t="s">
        <v>1036</v>
      </c>
      <c r="V1041" s="19" t="s">
        <v>1037</v>
      </c>
      <c r="W1041" s="142" t="s">
        <v>1089</v>
      </c>
    </row>
    <row r="1042" spans="1:23" x14ac:dyDescent="0.3">
      <c r="A1042" s="1"/>
      <c r="B1042" s="1"/>
      <c r="C1042" s="1"/>
      <c r="D1042" s="1"/>
      <c r="E1042" s="16" t="s">
        <v>127</v>
      </c>
      <c r="F1042" s="39" t="s">
        <v>970</v>
      </c>
      <c r="G1042" s="16">
        <v>4</v>
      </c>
      <c r="H1042" s="16" t="s">
        <v>28</v>
      </c>
      <c r="I1042" s="16">
        <v>21</v>
      </c>
      <c r="J1042" s="16">
        <f t="shared" si="216"/>
        <v>84</v>
      </c>
      <c r="K1042" s="16"/>
      <c r="L1042" s="16"/>
      <c r="M1042" s="16"/>
      <c r="N1042" s="16"/>
      <c r="O1042" s="16">
        <v>4</v>
      </c>
      <c r="P1042" s="16">
        <v>21</v>
      </c>
      <c r="Q1042" s="16">
        <f t="shared" si="229"/>
        <v>84</v>
      </c>
      <c r="R1042" s="18">
        <v>0</v>
      </c>
      <c r="S1042" s="16">
        <f t="shared" si="230"/>
        <v>0</v>
      </c>
      <c r="T1042" s="16">
        <f t="shared" si="231"/>
        <v>84</v>
      </c>
      <c r="U1042" s="16" t="s">
        <v>1036</v>
      </c>
      <c r="V1042" s="19" t="s">
        <v>1037</v>
      </c>
      <c r="W1042" s="142" t="s">
        <v>1089</v>
      </c>
    </row>
    <row r="1043" spans="1:23" x14ac:dyDescent="0.3">
      <c r="A1043" s="1"/>
      <c r="B1043" s="1"/>
      <c r="C1043" s="1"/>
      <c r="D1043" s="1"/>
      <c r="E1043" s="16" t="s">
        <v>127</v>
      </c>
      <c r="F1043" s="39" t="s">
        <v>971</v>
      </c>
      <c r="G1043" s="16">
        <v>4</v>
      </c>
      <c r="H1043" s="16" t="s">
        <v>28</v>
      </c>
      <c r="I1043" s="16">
        <v>32</v>
      </c>
      <c r="J1043" s="16">
        <f t="shared" si="216"/>
        <v>128</v>
      </c>
      <c r="K1043" s="16"/>
      <c r="L1043" s="16"/>
      <c r="M1043" s="16"/>
      <c r="N1043" s="16"/>
      <c r="O1043" s="16">
        <v>4</v>
      </c>
      <c r="P1043" s="16">
        <v>32</v>
      </c>
      <c r="Q1043" s="16">
        <f t="shared" si="229"/>
        <v>128</v>
      </c>
      <c r="R1043" s="18">
        <v>0</v>
      </c>
      <c r="S1043" s="16">
        <f t="shared" si="230"/>
        <v>0</v>
      </c>
      <c r="T1043" s="16">
        <f t="shared" si="231"/>
        <v>128</v>
      </c>
      <c r="U1043" s="16" t="s">
        <v>1036</v>
      </c>
      <c r="V1043" s="19" t="s">
        <v>1037</v>
      </c>
      <c r="W1043" s="142" t="s">
        <v>1089</v>
      </c>
    </row>
    <row r="1044" spans="1:23" x14ac:dyDescent="0.3">
      <c r="A1044" s="1"/>
      <c r="B1044" s="1"/>
      <c r="C1044" s="1"/>
      <c r="D1044" s="1"/>
      <c r="E1044" s="16" t="s">
        <v>127</v>
      </c>
      <c r="F1044" s="39" t="s">
        <v>972</v>
      </c>
      <c r="G1044" s="16">
        <v>4</v>
      </c>
      <c r="H1044" s="16" t="s">
        <v>28</v>
      </c>
      <c r="I1044" s="16">
        <v>57</v>
      </c>
      <c r="J1044" s="16">
        <f t="shared" si="216"/>
        <v>228</v>
      </c>
      <c r="K1044" s="16"/>
      <c r="L1044" s="16"/>
      <c r="M1044" s="16"/>
      <c r="N1044" s="16"/>
      <c r="O1044" s="16">
        <v>4</v>
      </c>
      <c r="P1044" s="16">
        <v>57</v>
      </c>
      <c r="Q1044" s="16">
        <f t="shared" si="229"/>
        <v>228</v>
      </c>
      <c r="R1044" s="18">
        <v>0</v>
      </c>
      <c r="S1044" s="16">
        <f t="shared" si="230"/>
        <v>0</v>
      </c>
      <c r="T1044" s="16">
        <f t="shared" si="231"/>
        <v>228</v>
      </c>
      <c r="U1044" s="16" t="s">
        <v>1036</v>
      </c>
      <c r="V1044" s="19" t="s">
        <v>1037</v>
      </c>
      <c r="W1044" s="142" t="s">
        <v>1089</v>
      </c>
    </row>
    <row r="1045" spans="1:23" x14ac:dyDescent="0.3">
      <c r="A1045" s="1"/>
      <c r="B1045" s="1"/>
      <c r="C1045" s="1"/>
      <c r="D1045" s="1"/>
      <c r="E1045" s="16" t="s">
        <v>127</v>
      </c>
      <c r="F1045" s="39" t="s">
        <v>973</v>
      </c>
      <c r="G1045" s="16">
        <v>4</v>
      </c>
      <c r="H1045" s="16" t="s">
        <v>28</v>
      </c>
      <c r="I1045" s="16">
        <v>116</v>
      </c>
      <c r="J1045" s="16">
        <f t="shared" si="216"/>
        <v>464</v>
      </c>
      <c r="K1045" s="16"/>
      <c r="L1045" s="16"/>
      <c r="M1045" s="16"/>
      <c r="N1045" s="16"/>
      <c r="O1045" s="16">
        <v>4</v>
      </c>
      <c r="P1045" s="16">
        <v>116</v>
      </c>
      <c r="Q1045" s="16">
        <f t="shared" si="229"/>
        <v>464</v>
      </c>
      <c r="R1045" s="18">
        <v>0</v>
      </c>
      <c r="S1045" s="16">
        <f t="shared" si="230"/>
        <v>0</v>
      </c>
      <c r="T1045" s="16">
        <f t="shared" si="231"/>
        <v>464</v>
      </c>
      <c r="U1045" s="16" t="s">
        <v>1036</v>
      </c>
      <c r="V1045" s="19" t="s">
        <v>1037</v>
      </c>
      <c r="W1045" s="142" t="s">
        <v>1089</v>
      </c>
    </row>
    <row r="1046" spans="1:23" x14ac:dyDescent="0.3">
      <c r="A1046" s="1"/>
      <c r="B1046" s="1"/>
      <c r="C1046" s="1"/>
      <c r="D1046" s="1"/>
      <c r="E1046" s="16" t="s">
        <v>127</v>
      </c>
      <c r="F1046" s="39" t="s">
        <v>974</v>
      </c>
      <c r="G1046" s="16">
        <v>4</v>
      </c>
      <c r="H1046" s="16" t="s">
        <v>28</v>
      </c>
      <c r="I1046" s="16">
        <v>356</v>
      </c>
      <c r="J1046" s="16">
        <f t="shared" si="216"/>
        <v>1424</v>
      </c>
      <c r="K1046" s="16"/>
      <c r="L1046" s="16"/>
      <c r="M1046" s="16"/>
      <c r="N1046" s="16"/>
      <c r="O1046" s="16">
        <v>4</v>
      </c>
      <c r="P1046" s="16">
        <v>356</v>
      </c>
      <c r="Q1046" s="16">
        <f t="shared" si="229"/>
        <v>1424</v>
      </c>
      <c r="R1046" s="18">
        <v>0</v>
      </c>
      <c r="S1046" s="16">
        <f t="shared" si="230"/>
        <v>0</v>
      </c>
      <c r="T1046" s="16">
        <f t="shared" si="231"/>
        <v>1424</v>
      </c>
      <c r="U1046" s="16" t="s">
        <v>1036</v>
      </c>
      <c r="V1046" s="19" t="s">
        <v>1037</v>
      </c>
      <c r="W1046" s="142" t="s">
        <v>1089</v>
      </c>
    </row>
    <row r="1047" spans="1:23" x14ac:dyDescent="0.3">
      <c r="A1047" s="1"/>
      <c r="B1047" s="1"/>
      <c r="C1047" s="1"/>
      <c r="D1047" s="1"/>
      <c r="E1047" s="16" t="s">
        <v>127</v>
      </c>
      <c r="F1047" s="39" t="s">
        <v>975</v>
      </c>
      <c r="G1047" s="16">
        <v>4</v>
      </c>
      <c r="H1047" s="16" t="s">
        <v>28</v>
      </c>
      <c r="I1047" s="16">
        <v>10.75</v>
      </c>
      <c r="J1047" s="16">
        <f t="shared" si="216"/>
        <v>43</v>
      </c>
      <c r="K1047" s="16"/>
      <c r="L1047" s="16"/>
      <c r="M1047" s="16"/>
      <c r="N1047" s="16"/>
      <c r="O1047" s="16">
        <v>4</v>
      </c>
      <c r="P1047" s="16">
        <v>10.75</v>
      </c>
      <c r="Q1047" s="16">
        <f t="shared" si="229"/>
        <v>43</v>
      </c>
      <c r="R1047" s="18">
        <v>0</v>
      </c>
      <c r="S1047" s="16">
        <f t="shared" si="230"/>
        <v>0</v>
      </c>
      <c r="T1047" s="16">
        <f t="shared" si="231"/>
        <v>43</v>
      </c>
      <c r="U1047" s="16" t="s">
        <v>1036</v>
      </c>
      <c r="V1047" s="19" t="s">
        <v>1037</v>
      </c>
      <c r="W1047" s="142" t="s">
        <v>1089</v>
      </c>
    </row>
    <row r="1048" spans="1:23" x14ac:dyDescent="0.3">
      <c r="A1048" s="1"/>
      <c r="B1048" s="1"/>
      <c r="C1048" s="1"/>
      <c r="D1048" s="1"/>
      <c r="E1048" s="16" t="s">
        <v>127</v>
      </c>
      <c r="F1048" s="39" t="s">
        <v>1042</v>
      </c>
      <c r="G1048" s="16">
        <v>50</v>
      </c>
      <c r="H1048" s="16" t="s">
        <v>28</v>
      </c>
      <c r="I1048" s="16">
        <v>28</v>
      </c>
      <c r="J1048" s="16">
        <f t="shared" si="216"/>
        <v>1400</v>
      </c>
      <c r="K1048" s="16"/>
      <c r="L1048" s="16"/>
      <c r="M1048" s="16"/>
      <c r="N1048" s="16"/>
      <c r="O1048" s="16">
        <v>50</v>
      </c>
      <c r="P1048" s="16">
        <v>28</v>
      </c>
      <c r="Q1048" s="16">
        <f t="shared" si="229"/>
        <v>1400</v>
      </c>
      <c r="R1048" s="18">
        <v>0</v>
      </c>
      <c r="S1048" s="16">
        <f t="shared" si="230"/>
        <v>0</v>
      </c>
      <c r="T1048" s="16">
        <f t="shared" si="231"/>
        <v>1400</v>
      </c>
      <c r="U1048" s="16" t="s">
        <v>1036</v>
      </c>
      <c r="V1048" s="19" t="s">
        <v>1037</v>
      </c>
      <c r="W1048" s="142" t="s">
        <v>1089</v>
      </c>
    </row>
    <row r="1049" spans="1:23" x14ac:dyDescent="0.3">
      <c r="A1049" s="124"/>
      <c r="B1049" s="124"/>
      <c r="C1049" s="124"/>
      <c r="D1049" s="124"/>
      <c r="E1049" s="124"/>
      <c r="F1049" s="124" t="s">
        <v>39</v>
      </c>
      <c r="G1049" s="1"/>
      <c r="H1049" s="1"/>
      <c r="I1049" s="1"/>
      <c r="J1049" s="124">
        <f>SUM(J995:J1048)</f>
        <v>425000</v>
      </c>
      <c r="K1049" s="1"/>
      <c r="L1049" s="1"/>
      <c r="M1049" s="1"/>
      <c r="N1049" s="1"/>
      <c r="O1049" s="1"/>
      <c r="P1049" s="1"/>
      <c r="Q1049" s="1"/>
      <c r="R1049" s="1"/>
      <c r="S1049" s="1"/>
      <c r="T1049" s="1"/>
      <c r="U1049" s="1"/>
      <c r="V1049" s="1"/>
      <c r="W1049" s="142"/>
    </row>
    <row r="1050" spans="1:23" x14ac:dyDescent="0.3">
      <c r="A1050" s="124"/>
      <c r="B1050" s="124"/>
      <c r="C1050" s="124"/>
      <c r="D1050" s="124"/>
      <c r="E1050" s="124"/>
      <c r="F1050" s="124" t="s">
        <v>187</v>
      </c>
      <c r="G1050" s="1"/>
      <c r="H1050" s="1"/>
      <c r="I1050" s="1"/>
      <c r="J1050" s="124">
        <f>J1049*0/100</f>
        <v>0</v>
      </c>
      <c r="K1050" s="1"/>
      <c r="L1050" s="1"/>
      <c r="M1050" s="1"/>
      <c r="N1050" s="1"/>
      <c r="O1050" s="1"/>
      <c r="P1050" s="1"/>
      <c r="Q1050" s="1"/>
      <c r="R1050" s="1"/>
      <c r="S1050" s="1"/>
      <c r="T1050" s="1"/>
      <c r="U1050" s="1"/>
      <c r="V1050" s="1"/>
      <c r="W1050" s="142"/>
    </row>
    <row r="1051" spans="1:23" x14ac:dyDescent="0.3">
      <c r="A1051" s="124"/>
      <c r="B1051" s="124"/>
      <c r="C1051" s="124"/>
      <c r="D1051" s="124"/>
      <c r="E1051" s="124"/>
      <c r="F1051" s="124" t="s">
        <v>41</v>
      </c>
      <c r="G1051" s="1"/>
      <c r="H1051" s="1"/>
      <c r="I1051" s="1"/>
      <c r="J1051" s="124">
        <f>SUM(J1049:J1050)</f>
        <v>425000</v>
      </c>
      <c r="K1051" s="1"/>
      <c r="L1051" s="1"/>
      <c r="M1051" s="1"/>
      <c r="N1051" s="1"/>
      <c r="O1051" s="1"/>
      <c r="P1051" s="1"/>
      <c r="Q1051" s="1"/>
      <c r="R1051" s="1"/>
      <c r="S1051" s="1"/>
      <c r="T1051" s="1">
        <f>SUM(T995:T1050)</f>
        <v>425000</v>
      </c>
      <c r="U1051" s="1"/>
      <c r="V1051" s="1"/>
      <c r="W1051" s="142"/>
    </row>
    <row r="1052" spans="1:23" x14ac:dyDescent="0.3">
      <c r="A1052" s="124"/>
      <c r="B1052" s="124"/>
      <c r="C1052" s="124"/>
      <c r="D1052" s="124"/>
      <c r="E1052" s="124"/>
      <c r="F1052" s="124"/>
      <c r="G1052" s="1"/>
      <c r="H1052" s="1"/>
      <c r="I1052" s="1"/>
      <c r="J1052" s="1"/>
      <c r="K1052" s="1"/>
      <c r="L1052" s="1"/>
      <c r="M1052" s="1"/>
      <c r="N1052" s="1"/>
      <c r="O1052" s="1"/>
      <c r="P1052" s="1"/>
      <c r="Q1052" s="1"/>
      <c r="R1052" s="1"/>
      <c r="S1052" s="1"/>
      <c r="T1052" s="1"/>
      <c r="U1052" s="1"/>
      <c r="V1052" s="1"/>
      <c r="W1052" s="142"/>
    </row>
    <row r="1053" spans="1:23" ht="25.2" x14ac:dyDescent="0.3">
      <c r="A1053" s="16">
        <v>89</v>
      </c>
      <c r="B1053" s="16">
        <v>8100017540</v>
      </c>
      <c r="C1053" s="16" t="s">
        <v>976</v>
      </c>
      <c r="D1053" s="16" t="s">
        <v>43</v>
      </c>
      <c r="E1053" s="16" t="s">
        <v>127</v>
      </c>
      <c r="F1053" s="39" t="s">
        <v>977</v>
      </c>
      <c r="G1053" s="16">
        <v>66</v>
      </c>
      <c r="H1053" s="16" t="s">
        <v>60</v>
      </c>
      <c r="I1053" s="16">
        <v>680</v>
      </c>
      <c r="J1053" s="16">
        <f>G1053*I1053</f>
        <v>44880</v>
      </c>
      <c r="K1053" s="16"/>
      <c r="L1053" s="16"/>
      <c r="M1053" s="16"/>
      <c r="N1053" s="16"/>
      <c r="O1053" s="16">
        <v>66</v>
      </c>
      <c r="P1053" s="16">
        <v>680</v>
      </c>
      <c r="Q1053" s="16">
        <f>O1053*P1053</f>
        <v>44880</v>
      </c>
      <c r="R1053" s="18">
        <v>0</v>
      </c>
      <c r="S1053" s="16">
        <f>Q1053*R1053</f>
        <v>0</v>
      </c>
      <c r="T1053" s="16">
        <f>Q1053+S1053</f>
        <v>44880</v>
      </c>
      <c r="U1053" s="16" t="s">
        <v>1071</v>
      </c>
      <c r="V1053" s="19">
        <v>45661</v>
      </c>
      <c r="W1053" s="142" t="s">
        <v>1218</v>
      </c>
    </row>
    <row r="1054" spans="1:23" ht="25.2" x14ac:dyDescent="0.3">
      <c r="A1054" s="1"/>
      <c r="B1054" s="1"/>
      <c r="C1054" s="1"/>
      <c r="D1054" s="1"/>
      <c r="E1054" s="16" t="s">
        <v>127</v>
      </c>
      <c r="F1054" s="39" t="s">
        <v>978</v>
      </c>
      <c r="G1054" s="16">
        <v>90</v>
      </c>
      <c r="H1054" s="16" t="s">
        <v>60</v>
      </c>
      <c r="I1054" s="16">
        <v>226</v>
      </c>
      <c r="J1054" s="16">
        <f t="shared" ref="J1054:J1063" si="232">G1054*I1054</f>
        <v>20340</v>
      </c>
      <c r="K1054" s="16"/>
      <c r="L1054" s="16"/>
      <c r="M1054" s="16"/>
      <c r="N1054" s="16"/>
      <c r="O1054" s="16">
        <v>90</v>
      </c>
      <c r="P1054" s="16">
        <v>226</v>
      </c>
      <c r="Q1054" s="16">
        <f t="shared" ref="Q1054:Q1063" si="233">O1054*P1054</f>
        <v>20340</v>
      </c>
      <c r="R1054" s="18">
        <v>0</v>
      </c>
      <c r="S1054" s="16">
        <f t="shared" ref="S1054:S1061" si="234">Q1054*R1054</f>
        <v>0</v>
      </c>
      <c r="T1054" s="16">
        <f t="shared" ref="T1054:T1061" si="235">Q1054+S1054</f>
        <v>20340</v>
      </c>
      <c r="U1054" s="16" t="s">
        <v>1071</v>
      </c>
      <c r="V1054" s="19">
        <v>45661</v>
      </c>
      <c r="W1054" s="142" t="s">
        <v>1218</v>
      </c>
    </row>
    <row r="1055" spans="1:23" x14ac:dyDescent="0.3">
      <c r="A1055" s="1"/>
      <c r="B1055" s="1"/>
      <c r="C1055" s="1"/>
      <c r="D1055" s="1"/>
      <c r="E1055" s="16" t="s">
        <v>127</v>
      </c>
      <c r="F1055" s="16" t="s">
        <v>979</v>
      </c>
      <c r="G1055" s="16">
        <v>15</v>
      </c>
      <c r="H1055" s="16" t="s">
        <v>28</v>
      </c>
      <c r="I1055" s="16">
        <v>195</v>
      </c>
      <c r="J1055" s="16">
        <f t="shared" si="232"/>
        <v>2925</v>
      </c>
      <c r="K1055" s="16"/>
      <c r="L1055" s="16"/>
      <c r="M1055" s="16"/>
      <c r="N1055" s="16"/>
      <c r="O1055" s="16">
        <v>15</v>
      </c>
      <c r="P1055" s="16">
        <v>195</v>
      </c>
      <c r="Q1055" s="16">
        <f t="shared" si="233"/>
        <v>2925</v>
      </c>
      <c r="R1055" s="18">
        <v>0</v>
      </c>
      <c r="S1055" s="16">
        <f t="shared" si="234"/>
        <v>0</v>
      </c>
      <c r="T1055" s="16">
        <f t="shared" si="235"/>
        <v>2925</v>
      </c>
      <c r="U1055" s="16" t="s">
        <v>1071</v>
      </c>
      <c r="V1055" s="19">
        <v>45661</v>
      </c>
      <c r="W1055" s="142" t="s">
        <v>1218</v>
      </c>
    </row>
    <row r="1056" spans="1:23" x14ac:dyDescent="0.3">
      <c r="A1056" s="1"/>
      <c r="B1056" s="1"/>
      <c r="C1056" s="1"/>
      <c r="D1056" s="1"/>
      <c r="E1056" s="16" t="s">
        <v>127</v>
      </c>
      <c r="F1056" s="16" t="s">
        <v>980</v>
      </c>
      <c r="G1056" s="16">
        <v>40</v>
      </c>
      <c r="H1056" s="16" t="s">
        <v>28</v>
      </c>
      <c r="I1056" s="16">
        <v>145</v>
      </c>
      <c r="J1056" s="16">
        <f t="shared" si="232"/>
        <v>5800</v>
      </c>
      <c r="K1056" s="16"/>
      <c r="L1056" s="16"/>
      <c r="M1056" s="16"/>
      <c r="N1056" s="16"/>
      <c r="O1056" s="16">
        <v>40</v>
      </c>
      <c r="P1056" s="16">
        <v>145</v>
      </c>
      <c r="Q1056" s="16">
        <f t="shared" si="233"/>
        <v>5800</v>
      </c>
      <c r="R1056" s="18">
        <v>0</v>
      </c>
      <c r="S1056" s="16">
        <f t="shared" si="234"/>
        <v>0</v>
      </c>
      <c r="T1056" s="16">
        <f t="shared" si="235"/>
        <v>5800</v>
      </c>
      <c r="U1056" s="16" t="s">
        <v>1071</v>
      </c>
      <c r="V1056" s="19">
        <v>45661</v>
      </c>
      <c r="W1056" s="142" t="s">
        <v>1218</v>
      </c>
    </row>
    <row r="1057" spans="1:23" x14ac:dyDescent="0.3">
      <c r="A1057" s="1"/>
      <c r="B1057" s="1"/>
      <c r="C1057" s="1"/>
      <c r="D1057" s="1"/>
      <c r="E1057" s="16" t="s">
        <v>127</v>
      </c>
      <c r="F1057" s="16" t="s">
        <v>981</v>
      </c>
      <c r="G1057" s="16">
        <v>40</v>
      </c>
      <c r="H1057" s="16" t="s">
        <v>28</v>
      </c>
      <c r="I1057" s="16">
        <v>780</v>
      </c>
      <c r="J1057" s="16">
        <f t="shared" si="232"/>
        <v>31200</v>
      </c>
      <c r="K1057" s="16"/>
      <c r="L1057" s="16"/>
      <c r="M1057" s="16"/>
      <c r="N1057" s="16"/>
      <c r="O1057" s="16">
        <v>40</v>
      </c>
      <c r="P1057" s="16">
        <v>780</v>
      </c>
      <c r="Q1057" s="16">
        <f t="shared" si="233"/>
        <v>31200</v>
      </c>
      <c r="R1057" s="18">
        <v>0</v>
      </c>
      <c r="S1057" s="16">
        <f t="shared" si="234"/>
        <v>0</v>
      </c>
      <c r="T1057" s="16">
        <f t="shared" si="235"/>
        <v>31200</v>
      </c>
      <c r="U1057" s="16" t="s">
        <v>1071</v>
      </c>
      <c r="V1057" s="19">
        <v>45661</v>
      </c>
      <c r="W1057" s="142" t="s">
        <v>1218</v>
      </c>
    </row>
    <row r="1058" spans="1:23" x14ac:dyDescent="0.3">
      <c r="A1058" s="1"/>
      <c r="B1058" s="1"/>
      <c r="C1058" s="1"/>
      <c r="D1058" s="1"/>
      <c r="E1058" s="16" t="s">
        <v>127</v>
      </c>
      <c r="F1058" s="16" t="s">
        <v>982</v>
      </c>
      <c r="G1058" s="16">
        <v>40</v>
      </c>
      <c r="H1058" s="16" t="s">
        <v>28</v>
      </c>
      <c r="I1058" s="16">
        <v>216</v>
      </c>
      <c r="J1058" s="16">
        <f t="shared" si="232"/>
        <v>8640</v>
      </c>
      <c r="K1058" s="16"/>
      <c r="L1058" s="16"/>
      <c r="M1058" s="16"/>
      <c r="N1058" s="16"/>
      <c r="O1058" s="16">
        <v>40</v>
      </c>
      <c r="P1058" s="16">
        <v>216</v>
      </c>
      <c r="Q1058" s="16">
        <f t="shared" si="233"/>
        <v>8640</v>
      </c>
      <c r="R1058" s="18">
        <v>0</v>
      </c>
      <c r="S1058" s="16">
        <f t="shared" si="234"/>
        <v>0</v>
      </c>
      <c r="T1058" s="16">
        <f t="shared" si="235"/>
        <v>8640</v>
      </c>
      <c r="U1058" s="16" t="s">
        <v>1071</v>
      </c>
      <c r="V1058" s="19">
        <v>45661</v>
      </c>
      <c r="W1058" s="142" t="s">
        <v>1218</v>
      </c>
    </row>
    <row r="1059" spans="1:23" x14ac:dyDescent="0.3">
      <c r="A1059" s="1"/>
      <c r="B1059" s="1"/>
      <c r="C1059" s="1"/>
      <c r="D1059" s="1"/>
      <c r="E1059" s="16" t="s">
        <v>127</v>
      </c>
      <c r="F1059" s="16" t="s">
        <v>983</v>
      </c>
      <c r="G1059" s="16">
        <v>40</v>
      </c>
      <c r="H1059" s="16" t="s">
        <v>28</v>
      </c>
      <c r="I1059" s="16">
        <v>35</v>
      </c>
      <c r="J1059" s="16">
        <f t="shared" si="232"/>
        <v>1400</v>
      </c>
      <c r="K1059" s="16"/>
      <c r="L1059" s="16"/>
      <c r="M1059" s="16"/>
      <c r="N1059" s="16"/>
      <c r="O1059" s="16">
        <v>40</v>
      </c>
      <c r="P1059" s="16">
        <v>35</v>
      </c>
      <c r="Q1059" s="16">
        <f t="shared" si="233"/>
        <v>1400</v>
      </c>
      <c r="R1059" s="18">
        <v>0</v>
      </c>
      <c r="S1059" s="16">
        <f t="shared" si="234"/>
        <v>0</v>
      </c>
      <c r="T1059" s="16">
        <f t="shared" si="235"/>
        <v>1400</v>
      </c>
      <c r="U1059" s="16" t="s">
        <v>1071</v>
      </c>
      <c r="V1059" s="19">
        <v>45661</v>
      </c>
      <c r="W1059" s="142" t="s">
        <v>1218</v>
      </c>
    </row>
    <row r="1060" spans="1:23" ht="25.2" x14ac:dyDescent="0.3">
      <c r="A1060" s="1"/>
      <c r="B1060" s="1"/>
      <c r="C1060" s="1"/>
      <c r="D1060" s="1"/>
      <c r="E1060" s="16" t="s">
        <v>127</v>
      </c>
      <c r="F1060" s="39" t="s">
        <v>984</v>
      </c>
      <c r="G1060" s="16">
        <v>1</v>
      </c>
      <c r="H1060" s="16" t="s">
        <v>985</v>
      </c>
      <c r="I1060" s="16">
        <v>33500</v>
      </c>
      <c r="J1060" s="16">
        <f t="shared" si="232"/>
        <v>33500</v>
      </c>
      <c r="K1060" s="16"/>
      <c r="L1060" s="16"/>
      <c r="M1060" s="16"/>
      <c r="N1060" s="16"/>
      <c r="O1060" s="16">
        <v>1</v>
      </c>
      <c r="P1060" s="16">
        <v>33500</v>
      </c>
      <c r="Q1060" s="16">
        <f t="shared" si="233"/>
        <v>33500</v>
      </c>
      <c r="R1060" s="18">
        <v>0</v>
      </c>
      <c r="S1060" s="16">
        <f t="shared" si="234"/>
        <v>0</v>
      </c>
      <c r="T1060" s="16">
        <f t="shared" si="235"/>
        <v>33500</v>
      </c>
      <c r="U1060" s="16" t="s">
        <v>1071</v>
      </c>
      <c r="V1060" s="19">
        <v>45661</v>
      </c>
      <c r="W1060" s="142" t="s">
        <v>1218</v>
      </c>
    </row>
    <row r="1061" spans="1:23" x14ac:dyDescent="0.3">
      <c r="A1061" s="1"/>
      <c r="B1061" s="1"/>
      <c r="C1061" s="1"/>
      <c r="D1061" s="1"/>
      <c r="E1061" s="16" t="s">
        <v>127</v>
      </c>
      <c r="F1061" s="16" t="s">
        <v>986</v>
      </c>
      <c r="G1061" s="16">
        <v>1</v>
      </c>
      <c r="H1061" s="16" t="s">
        <v>28</v>
      </c>
      <c r="I1061" s="16">
        <v>3550</v>
      </c>
      <c r="J1061" s="16">
        <f t="shared" si="232"/>
        <v>3550</v>
      </c>
      <c r="K1061" s="16"/>
      <c r="L1061" s="16"/>
      <c r="M1061" s="16"/>
      <c r="N1061" s="16"/>
      <c r="O1061" s="16">
        <v>1</v>
      </c>
      <c r="P1061" s="16">
        <v>3550</v>
      </c>
      <c r="Q1061" s="16">
        <f t="shared" si="233"/>
        <v>3550</v>
      </c>
      <c r="R1061" s="18">
        <v>0</v>
      </c>
      <c r="S1061" s="16">
        <f t="shared" si="234"/>
        <v>0</v>
      </c>
      <c r="T1061" s="16">
        <f t="shared" si="235"/>
        <v>3550</v>
      </c>
      <c r="U1061" s="16" t="s">
        <v>1071</v>
      </c>
      <c r="V1061" s="19">
        <v>45661</v>
      </c>
      <c r="W1061" s="142" t="s">
        <v>1218</v>
      </c>
    </row>
    <row r="1062" spans="1:23" x14ac:dyDescent="0.3">
      <c r="A1062" s="1"/>
      <c r="B1062" s="1"/>
      <c r="C1062" s="1"/>
      <c r="D1062" s="1"/>
      <c r="E1062" s="16" t="s">
        <v>123</v>
      </c>
      <c r="F1062" s="16" t="s">
        <v>987</v>
      </c>
      <c r="G1062" s="16">
        <v>1</v>
      </c>
      <c r="H1062" s="16" t="s">
        <v>87</v>
      </c>
      <c r="I1062" s="16">
        <v>105000</v>
      </c>
      <c r="J1062" s="16">
        <f t="shared" si="232"/>
        <v>105000</v>
      </c>
      <c r="K1062" s="16"/>
      <c r="L1062" s="16"/>
      <c r="M1062" s="16"/>
      <c r="N1062" s="16"/>
      <c r="O1062" s="16">
        <v>1</v>
      </c>
      <c r="P1062" s="16">
        <v>105000</v>
      </c>
      <c r="Q1062" s="16">
        <f t="shared" si="233"/>
        <v>105000</v>
      </c>
      <c r="R1062" s="18">
        <v>0</v>
      </c>
      <c r="S1062" s="16">
        <f t="shared" ref="S1062:S1063" si="236">Q1062*R1062</f>
        <v>0</v>
      </c>
      <c r="T1062" s="16">
        <f t="shared" ref="T1062:T1063" si="237">Q1062+S1062</f>
        <v>105000</v>
      </c>
      <c r="U1062" s="97" t="s">
        <v>1404</v>
      </c>
      <c r="V1062" s="110">
        <v>45845</v>
      </c>
      <c r="W1062" s="142" t="s">
        <v>1544</v>
      </c>
    </row>
    <row r="1063" spans="1:23" x14ac:dyDescent="0.3">
      <c r="A1063" s="1"/>
      <c r="B1063" s="1"/>
      <c r="C1063" s="1"/>
      <c r="D1063" s="1"/>
      <c r="E1063" s="16" t="s">
        <v>123</v>
      </c>
      <c r="F1063" s="16" t="s">
        <v>749</v>
      </c>
      <c r="G1063" s="16">
        <v>1</v>
      </c>
      <c r="H1063" s="16" t="s">
        <v>87</v>
      </c>
      <c r="I1063" s="16">
        <v>7500</v>
      </c>
      <c r="J1063" s="16">
        <f t="shared" si="232"/>
        <v>7500</v>
      </c>
      <c r="K1063" s="16"/>
      <c r="L1063" s="16"/>
      <c r="M1063" s="16"/>
      <c r="N1063" s="16"/>
      <c r="O1063" s="16">
        <v>1</v>
      </c>
      <c r="P1063" s="16">
        <v>7500</v>
      </c>
      <c r="Q1063" s="16">
        <f t="shared" si="233"/>
        <v>7500</v>
      </c>
      <c r="R1063" s="18">
        <v>0</v>
      </c>
      <c r="S1063" s="16">
        <f t="shared" si="236"/>
        <v>0</v>
      </c>
      <c r="T1063" s="16">
        <f t="shared" si="237"/>
        <v>7500</v>
      </c>
      <c r="U1063" s="97" t="s">
        <v>1404</v>
      </c>
      <c r="V1063" s="110">
        <v>45845</v>
      </c>
      <c r="W1063" s="142" t="s">
        <v>1544</v>
      </c>
    </row>
    <row r="1064" spans="1:23" x14ac:dyDescent="0.3">
      <c r="A1064" s="1"/>
      <c r="B1064" s="1"/>
      <c r="C1064" s="1"/>
      <c r="D1064" s="1"/>
      <c r="E1064" s="1"/>
      <c r="F1064" s="124" t="s">
        <v>39</v>
      </c>
      <c r="G1064" s="1"/>
      <c r="H1064" s="1"/>
      <c r="I1064" s="1"/>
      <c r="J1064" s="124">
        <f>SUM(J1053:J1063)</f>
        <v>264735</v>
      </c>
      <c r="K1064" s="1"/>
      <c r="L1064" s="1"/>
      <c r="M1064" s="1"/>
      <c r="N1064" s="1"/>
      <c r="O1064" s="1"/>
      <c r="P1064" s="1"/>
      <c r="Q1064" s="1"/>
      <c r="R1064" s="1"/>
      <c r="S1064" s="1"/>
      <c r="T1064" s="1">
        <f>SUM(T1053:T1063)</f>
        <v>264735</v>
      </c>
      <c r="U1064" s="1"/>
      <c r="V1064" s="1"/>
      <c r="W1064" s="142"/>
    </row>
    <row r="1065" spans="1:23" x14ac:dyDescent="0.3">
      <c r="A1065" s="1"/>
      <c r="B1065" s="1"/>
      <c r="C1065" s="1"/>
      <c r="D1065" s="1"/>
      <c r="E1065" s="1"/>
      <c r="F1065" s="124" t="s">
        <v>599</v>
      </c>
      <c r="G1065" s="1"/>
      <c r="H1065" s="1"/>
      <c r="I1065" s="1"/>
      <c r="J1065" s="124">
        <f>J1064*0/100</f>
        <v>0</v>
      </c>
      <c r="K1065" s="1"/>
      <c r="L1065" s="1"/>
      <c r="M1065" s="1"/>
      <c r="N1065" s="1"/>
      <c r="O1065" s="1"/>
      <c r="P1065" s="1"/>
      <c r="Q1065" s="1"/>
      <c r="R1065" s="1"/>
      <c r="S1065" s="1"/>
      <c r="T1065" s="1"/>
      <c r="U1065" s="1"/>
      <c r="V1065" s="1"/>
      <c r="W1065" s="142"/>
    </row>
    <row r="1066" spans="1:23" x14ac:dyDescent="0.3">
      <c r="A1066" s="1"/>
      <c r="B1066" s="1"/>
      <c r="C1066" s="1"/>
      <c r="D1066" s="1"/>
      <c r="E1066" s="1"/>
      <c r="F1066" s="124" t="s">
        <v>41</v>
      </c>
      <c r="G1066" s="1"/>
      <c r="H1066" s="1"/>
      <c r="I1066" s="1"/>
      <c r="J1066" s="124">
        <f>SUM(J1064:J1065)</f>
        <v>264735</v>
      </c>
      <c r="K1066" s="1"/>
      <c r="L1066" s="1"/>
      <c r="M1066" s="1"/>
      <c r="N1066" s="1"/>
      <c r="O1066" s="1"/>
      <c r="P1066" s="1"/>
      <c r="Q1066" s="1"/>
      <c r="R1066" s="1"/>
      <c r="S1066" s="1"/>
      <c r="T1066" s="1"/>
      <c r="U1066" s="1"/>
      <c r="V1066" s="1"/>
      <c r="W1066" s="142"/>
    </row>
    <row r="1067" spans="1:23" ht="25.2" x14ac:dyDescent="0.3">
      <c r="A1067" s="16">
        <v>90</v>
      </c>
      <c r="B1067" s="16">
        <v>9200135420</v>
      </c>
      <c r="C1067" s="16" t="s">
        <v>1053</v>
      </c>
      <c r="D1067" s="16" t="s">
        <v>43</v>
      </c>
      <c r="E1067" s="16" t="s">
        <v>123</v>
      </c>
      <c r="F1067" s="39" t="s">
        <v>1054</v>
      </c>
      <c r="G1067" s="16">
        <v>4</v>
      </c>
      <c r="H1067" s="16" t="s">
        <v>87</v>
      </c>
      <c r="I1067" s="16">
        <v>5880</v>
      </c>
      <c r="J1067" s="16">
        <f>G1067*I1067</f>
        <v>23520</v>
      </c>
      <c r="K1067" s="16">
        <v>31</v>
      </c>
      <c r="L1067" s="16" t="s">
        <v>28</v>
      </c>
      <c r="M1067" s="16" t="s">
        <v>91</v>
      </c>
      <c r="N1067" s="16" t="s">
        <v>1112</v>
      </c>
      <c r="O1067" s="16">
        <v>4</v>
      </c>
      <c r="P1067" s="16">
        <v>5880</v>
      </c>
      <c r="Q1067" s="16">
        <f>O1067*P1067</f>
        <v>23520</v>
      </c>
      <c r="R1067" s="18">
        <v>0</v>
      </c>
      <c r="S1067" s="16">
        <f>P1067*R1067</f>
        <v>0</v>
      </c>
      <c r="T1067" s="16">
        <f>Q1067+S1067</f>
        <v>23520</v>
      </c>
      <c r="U1067" s="16" t="s">
        <v>1450</v>
      </c>
      <c r="V1067" s="19">
        <v>45998</v>
      </c>
      <c r="W1067" s="142" t="s">
        <v>1621</v>
      </c>
    </row>
    <row r="1068" spans="1:23" x14ac:dyDescent="0.3">
      <c r="A1068" s="1"/>
      <c r="B1068" s="1"/>
      <c r="C1068" s="1"/>
      <c r="D1068" s="1"/>
      <c r="E1068" s="16" t="s">
        <v>123</v>
      </c>
      <c r="F1068" s="16" t="s">
        <v>1055</v>
      </c>
      <c r="G1068" s="16">
        <v>4</v>
      </c>
      <c r="H1068" s="16" t="s">
        <v>87</v>
      </c>
      <c r="I1068" s="16">
        <v>6370</v>
      </c>
      <c r="J1068" s="16">
        <f t="shared" ref="J1068:J1070" si="238">G1068*I1068</f>
        <v>25480</v>
      </c>
      <c r="K1068" s="16"/>
      <c r="L1068" s="16"/>
      <c r="M1068" s="16"/>
      <c r="N1068" s="16"/>
      <c r="O1068" s="16">
        <v>4</v>
      </c>
      <c r="P1068" s="16">
        <v>6370</v>
      </c>
      <c r="Q1068" s="16">
        <f t="shared" ref="Q1068:Q1070" si="239">O1068*P1068</f>
        <v>25480</v>
      </c>
      <c r="R1068" s="18">
        <v>0</v>
      </c>
      <c r="S1068" s="16">
        <f t="shared" ref="S1068:S1070" si="240">P1068*R1068</f>
        <v>0</v>
      </c>
      <c r="T1068" s="16">
        <f t="shared" ref="T1068:T1070" si="241">Q1068+S1068</f>
        <v>25480</v>
      </c>
      <c r="U1068" s="16" t="s">
        <v>1450</v>
      </c>
      <c r="V1068" s="19">
        <v>45998</v>
      </c>
      <c r="W1068" s="142" t="s">
        <v>1621</v>
      </c>
    </row>
    <row r="1069" spans="1:23" ht="25.2" x14ac:dyDescent="0.3">
      <c r="A1069" s="1"/>
      <c r="B1069" s="1"/>
      <c r="C1069" s="1"/>
      <c r="D1069" s="101" t="s">
        <v>1581</v>
      </c>
      <c r="E1069" s="101" t="s">
        <v>123</v>
      </c>
      <c r="F1069" s="102" t="s">
        <v>1056</v>
      </c>
      <c r="G1069" s="1">
        <v>2</v>
      </c>
      <c r="H1069" s="1" t="s">
        <v>87</v>
      </c>
      <c r="I1069" s="1">
        <v>5390</v>
      </c>
      <c r="J1069" s="1">
        <f t="shared" si="238"/>
        <v>10780</v>
      </c>
      <c r="K1069" s="1"/>
      <c r="L1069" s="1"/>
      <c r="M1069" s="1"/>
      <c r="N1069" s="1"/>
      <c r="O1069" s="1"/>
      <c r="P1069" s="1"/>
      <c r="Q1069" s="1">
        <f t="shared" si="239"/>
        <v>0</v>
      </c>
      <c r="R1069" s="86">
        <v>0</v>
      </c>
      <c r="S1069" s="1">
        <f t="shared" si="240"/>
        <v>0</v>
      </c>
      <c r="T1069" s="1">
        <f t="shared" si="241"/>
        <v>0</v>
      </c>
      <c r="U1069" s="1"/>
      <c r="V1069" s="1"/>
      <c r="W1069" s="142"/>
    </row>
    <row r="1070" spans="1:23" x14ac:dyDescent="0.3">
      <c r="A1070" s="1"/>
      <c r="B1070" s="1"/>
      <c r="C1070" s="1"/>
      <c r="D1070" s="1"/>
      <c r="E1070" s="16" t="s">
        <v>123</v>
      </c>
      <c r="F1070" s="16" t="s">
        <v>1057</v>
      </c>
      <c r="G1070" s="16">
        <v>2</v>
      </c>
      <c r="H1070" s="16" t="s">
        <v>28</v>
      </c>
      <c r="I1070" s="16">
        <v>1862</v>
      </c>
      <c r="J1070" s="16">
        <f t="shared" si="238"/>
        <v>3724</v>
      </c>
      <c r="K1070" s="16">
        <v>2</v>
      </c>
      <c r="L1070" s="16" t="s">
        <v>28</v>
      </c>
      <c r="M1070" s="16" t="s">
        <v>91</v>
      </c>
      <c r="N1070" s="16" t="s">
        <v>1112</v>
      </c>
      <c r="O1070" s="16">
        <v>2</v>
      </c>
      <c r="P1070" s="16">
        <v>1862</v>
      </c>
      <c r="Q1070" s="16">
        <f t="shared" si="239"/>
        <v>3724</v>
      </c>
      <c r="R1070" s="18">
        <v>0</v>
      </c>
      <c r="S1070" s="16">
        <f t="shared" si="240"/>
        <v>0</v>
      </c>
      <c r="T1070" s="16">
        <f t="shared" si="241"/>
        <v>3724</v>
      </c>
      <c r="U1070" s="16" t="s">
        <v>1450</v>
      </c>
      <c r="V1070" s="19">
        <v>45998</v>
      </c>
      <c r="W1070" s="142" t="s">
        <v>1621</v>
      </c>
    </row>
    <row r="1071" spans="1:23" x14ac:dyDescent="0.3">
      <c r="A1071" s="1"/>
      <c r="B1071" s="1"/>
      <c r="C1071" s="1"/>
      <c r="D1071" s="1"/>
      <c r="E1071" s="1"/>
      <c r="F1071" s="124" t="s">
        <v>39</v>
      </c>
      <c r="G1071" s="1"/>
      <c r="H1071" s="1"/>
      <c r="I1071" s="1"/>
      <c r="J1071" s="124">
        <f>SUM(J1067:J1070)</f>
        <v>63504</v>
      </c>
      <c r="K1071" s="1"/>
      <c r="L1071" s="1"/>
      <c r="M1071" s="1"/>
      <c r="N1071" s="1"/>
      <c r="O1071" s="1"/>
      <c r="P1071" s="1"/>
      <c r="Q1071" s="1"/>
      <c r="R1071" s="1"/>
      <c r="S1071" s="1"/>
      <c r="T1071" s="1"/>
      <c r="U1071" s="1"/>
      <c r="V1071" s="1"/>
      <c r="W1071" s="142"/>
    </row>
    <row r="1072" spans="1:23" x14ac:dyDescent="0.3">
      <c r="A1072" s="1"/>
      <c r="B1072" s="1"/>
      <c r="C1072" s="1"/>
      <c r="D1072" s="1"/>
      <c r="E1072" s="1"/>
      <c r="F1072" s="124" t="s">
        <v>599</v>
      </c>
      <c r="G1072" s="1"/>
      <c r="H1072" s="1"/>
      <c r="I1072" s="1"/>
      <c r="J1072" s="124">
        <f>J1071*0/100</f>
        <v>0</v>
      </c>
      <c r="K1072" s="1"/>
      <c r="L1072" s="1"/>
      <c r="M1072" s="1"/>
      <c r="N1072" s="1"/>
      <c r="O1072" s="1"/>
      <c r="P1072" s="1"/>
      <c r="Q1072" s="1"/>
      <c r="R1072" s="1"/>
      <c r="S1072" s="1"/>
      <c r="T1072" s="1"/>
      <c r="U1072" s="1"/>
      <c r="V1072" s="1"/>
      <c r="W1072" s="142"/>
    </row>
    <row r="1073" spans="1:23" x14ac:dyDescent="0.3">
      <c r="A1073" s="1"/>
      <c r="B1073" s="1"/>
      <c r="C1073" s="1"/>
      <c r="D1073" s="1"/>
      <c r="E1073" s="1"/>
      <c r="F1073" s="124" t="s">
        <v>41</v>
      </c>
      <c r="G1073" s="1"/>
      <c r="H1073" s="1"/>
      <c r="I1073" s="1"/>
      <c r="J1073" s="124">
        <f>SUM(J1071:J1072)</f>
        <v>63504</v>
      </c>
      <c r="K1073" s="1"/>
      <c r="L1073" s="1"/>
      <c r="M1073" s="1"/>
      <c r="N1073" s="1"/>
      <c r="O1073" s="1"/>
      <c r="P1073" s="1"/>
      <c r="Q1073" s="1"/>
      <c r="R1073" s="1"/>
      <c r="S1073" s="1"/>
      <c r="T1073" s="1">
        <f>SUM(T1067:T1072)</f>
        <v>52724</v>
      </c>
      <c r="U1073" s="1"/>
      <c r="V1073" s="1"/>
      <c r="W1073" s="142"/>
    </row>
    <row r="1074" spans="1:23" x14ac:dyDescent="0.3">
      <c r="A1074" s="1"/>
      <c r="B1074" s="1"/>
      <c r="C1074" s="1"/>
      <c r="D1074" s="1"/>
      <c r="E1074" s="1"/>
      <c r="F1074" s="124"/>
      <c r="G1074" s="1"/>
      <c r="H1074" s="1"/>
      <c r="I1074" s="1"/>
      <c r="J1074" s="124"/>
      <c r="K1074" s="1"/>
      <c r="L1074" s="1"/>
      <c r="M1074" s="1"/>
      <c r="N1074" s="1"/>
      <c r="O1074" s="1"/>
      <c r="P1074" s="1"/>
      <c r="Q1074" s="1"/>
      <c r="R1074" s="1"/>
      <c r="S1074" s="1"/>
      <c r="T1074" s="1"/>
      <c r="U1074" s="1"/>
      <c r="V1074" s="1"/>
      <c r="W1074" s="142"/>
    </row>
    <row r="1075" spans="1:23" ht="25.2" x14ac:dyDescent="0.3">
      <c r="A1075" s="16">
        <v>91</v>
      </c>
      <c r="B1075" s="16">
        <v>9200136396</v>
      </c>
      <c r="C1075" s="19">
        <v>45873</v>
      </c>
      <c r="D1075" s="16" t="s">
        <v>43</v>
      </c>
      <c r="E1075" s="16" t="s">
        <v>123</v>
      </c>
      <c r="F1075" s="39" t="s">
        <v>1093</v>
      </c>
      <c r="G1075" s="16">
        <v>72</v>
      </c>
      <c r="H1075" s="16" t="s">
        <v>28</v>
      </c>
      <c r="I1075" s="16">
        <v>2825</v>
      </c>
      <c r="J1075" s="16">
        <f>G1075*I1075</f>
        <v>203400</v>
      </c>
      <c r="K1075" s="16">
        <v>72</v>
      </c>
      <c r="L1075" s="16" t="s">
        <v>28</v>
      </c>
      <c r="M1075" s="16" t="s">
        <v>91</v>
      </c>
      <c r="N1075" s="16" t="s">
        <v>1108</v>
      </c>
      <c r="O1075" s="16">
        <v>70</v>
      </c>
      <c r="P1075" s="16">
        <v>2825</v>
      </c>
      <c r="Q1075" s="16">
        <f>O1075*P1075</f>
        <v>197750</v>
      </c>
      <c r="R1075" s="18">
        <v>0</v>
      </c>
      <c r="S1075" s="16">
        <f>Q1075*R1075</f>
        <v>0</v>
      </c>
      <c r="T1075" s="16">
        <f>Q1075+S1075</f>
        <v>197750</v>
      </c>
      <c r="U1075" s="16" t="s">
        <v>1219</v>
      </c>
      <c r="V1075" s="19" t="s">
        <v>1220</v>
      </c>
      <c r="W1075" s="142" t="s">
        <v>1257</v>
      </c>
    </row>
    <row r="1076" spans="1:23" x14ac:dyDescent="0.3">
      <c r="A1076" s="1"/>
      <c r="B1076" s="1"/>
      <c r="C1076" s="1"/>
      <c r="D1076" s="1"/>
      <c r="E1076" s="1"/>
      <c r="F1076" s="124" t="s">
        <v>39</v>
      </c>
      <c r="G1076" s="124"/>
      <c r="H1076" s="124"/>
      <c r="I1076" s="124"/>
      <c r="J1076" s="124">
        <f>SUM(J1075)</f>
        <v>203400</v>
      </c>
      <c r="K1076" s="85">
        <v>80</v>
      </c>
      <c r="L1076" s="85" t="s">
        <v>28</v>
      </c>
      <c r="M1076" s="85" t="s">
        <v>91</v>
      </c>
      <c r="N1076" s="85" t="s">
        <v>1110</v>
      </c>
      <c r="O1076" s="1"/>
      <c r="P1076" s="1"/>
      <c r="Q1076" s="1"/>
      <c r="R1076" s="1"/>
      <c r="S1076" s="1"/>
      <c r="T1076" s="1"/>
      <c r="U1076" s="1"/>
      <c r="V1076" s="1"/>
      <c r="W1076" s="142"/>
    </row>
    <row r="1077" spans="1:23" x14ac:dyDescent="0.3">
      <c r="A1077" s="1"/>
      <c r="B1077" s="1"/>
      <c r="C1077" s="1"/>
      <c r="D1077" s="1"/>
      <c r="E1077" s="1"/>
      <c r="F1077" s="124" t="s">
        <v>599</v>
      </c>
      <c r="G1077" s="124"/>
      <c r="H1077" s="124"/>
      <c r="I1077" s="124"/>
      <c r="J1077" s="124">
        <f>J1076*0/100</f>
        <v>0</v>
      </c>
      <c r="K1077" s="160" t="s">
        <v>1111</v>
      </c>
      <c r="L1077" s="85"/>
      <c r="M1077" s="85"/>
      <c r="N1077" s="85"/>
      <c r="O1077" s="1"/>
      <c r="P1077" s="1"/>
      <c r="Q1077" s="1"/>
      <c r="R1077" s="1"/>
      <c r="S1077" s="1"/>
      <c r="T1077" s="1"/>
      <c r="U1077" s="1"/>
      <c r="V1077" s="1"/>
      <c r="W1077" s="142"/>
    </row>
    <row r="1078" spans="1:23" x14ac:dyDescent="0.3">
      <c r="A1078" s="1"/>
      <c r="B1078" s="1"/>
      <c r="C1078" s="1"/>
      <c r="D1078" s="1"/>
      <c r="E1078" s="1"/>
      <c r="F1078" s="124" t="s">
        <v>41</v>
      </c>
      <c r="G1078" s="124"/>
      <c r="H1078" s="124"/>
      <c r="I1078" s="124"/>
      <c r="J1078" s="124">
        <f>SUM(J1076:J1077)</f>
        <v>203400</v>
      </c>
      <c r="K1078" s="1"/>
      <c r="L1078" s="1"/>
      <c r="M1078" s="1"/>
      <c r="N1078" s="1"/>
      <c r="O1078" s="1"/>
      <c r="P1078" s="1"/>
      <c r="Q1078" s="1"/>
      <c r="R1078" s="1"/>
      <c r="S1078" s="1"/>
      <c r="T1078" s="1"/>
      <c r="U1078" s="1"/>
      <c r="V1078" s="1"/>
      <c r="W1078" s="142"/>
    </row>
    <row r="1079" spans="1:23" ht="50.4" x14ac:dyDescent="0.3">
      <c r="A1079" s="101">
        <v>92</v>
      </c>
      <c r="B1079" s="101">
        <v>9200136770</v>
      </c>
      <c r="C1079" s="101" t="s">
        <v>1101</v>
      </c>
      <c r="D1079" s="101" t="s">
        <v>300</v>
      </c>
      <c r="E1079" s="101" t="s">
        <v>123</v>
      </c>
      <c r="F1079" s="102" t="s">
        <v>1102</v>
      </c>
      <c r="G1079" s="101">
        <v>30</v>
      </c>
      <c r="H1079" s="101" t="s">
        <v>111</v>
      </c>
      <c r="I1079" s="101">
        <v>1170</v>
      </c>
      <c r="J1079" s="101">
        <f>G1079*I1079</f>
        <v>35100</v>
      </c>
      <c r="K1079" s="1"/>
      <c r="L1079" s="1"/>
      <c r="M1079" s="1"/>
      <c r="N1079" s="1"/>
      <c r="O1079" s="1"/>
      <c r="P1079" s="1"/>
      <c r="Q1079" s="1"/>
      <c r="R1079" s="1"/>
      <c r="S1079" s="1"/>
      <c r="T1079" s="1"/>
      <c r="U1079" s="1"/>
      <c r="V1079" s="1"/>
      <c r="W1079" s="142"/>
    </row>
    <row r="1080" spans="1:23" x14ac:dyDescent="0.3">
      <c r="A1080" s="101"/>
      <c r="B1080" s="101" t="s">
        <v>1959</v>
      </c>
      <c r="C1080" s="101"/>
      <c r="D1080" s="101"/>
      <c r="E1080" s="101"/>
      <c r="F1080" s="180" t="s">
        <v>39</v>
      </c>
      <c r="G1080" s="101"/>
      <c r="H1080" s="101"/>
      <c r="I1080" s="101"/>
      <c r="J1080" s="101">
        <f>SUM(J1079)</f>
        <v>35100</v>
      </c>
      <c r="K1080" s="1"/>
      <c r="L1080" s="1"/>
      <c r="M1080" s="1"/>
      <c r="N1080" s="1"/>
      <c r="O1080" s="1"/>
      <c r="P1080" s="1"/>
      <c r="Q1080" s="1"/>
      <c r="R1080" s="1"/>
      <c r="S1080" s="1"/>
      <c r="T1080" s="1"/>
      <c r="U1080" s="1"/>
      <c r="V1080" s="1"/>
      <c r="W1080" s="142"/>
    </row>
    <row r="1081" spans="1:23" x14ac:dyDescent="0.3">
      <c r="A1081" s="101"/>
      <c r="B1081" s="101"/>
      <c r="C1081" s="101"/>
      <c r="D1081" s="101"/>
      <c r="E1081" s="101"/>
      <c r="F1081" s="180" t="s">
        <v>187</v>
      </c>
      <c r="G1081" s="101"/>
      <c r="H1081" s="101"/>
      <c r="I1081" s="101"/>
      <c r="J1081" s="101">
        <f>J1080*18/100</f>
        <v>6318</v>
      </c>
      <c r="K1081" s="1"/>
      <c r="L1081" s="1"/>
      <c r="M1081" s="1"/>
      <c r="N1081" s="1"/>
      <c r="O1081" s="1"/>
      <c r="P1081" s="1"/>
      <c r="Q1081" s="1"/>
      <c r="R1081" s="1"/>
      <c r="S1081" s="1"/>
      <c r="T1081" s="1"/>
      <c r="U1081" s="1"/>
      <c r="V1081" s="1"/>
      <c r="W1081" s="142"/>
    </row>
    <row r="1082" spans="1:23" x14ac:dyDescent="0.3">
      <c r="A1082" s="101"/>
      <c r="B1082" s="101"/>
      <c r="C1082" s="101"/>
      <c r="D1082" s="101"/>
      <c r="E1082" s="101"/>
      <c r="F1082" s="180" t="s">
        <v>41</v>
      </c>
      <c r="G1082" s="101"/>
      <c r="H1082" s="101"/>
      <c r="I1082" s="101"/>
      <c r="J1082" s="101">
        <f>SUM(J1080:J1081)</f>
        <v>41418</v>
      </c>
      <c r="K1082" s="1"/>
      <c r="L1082" s="1"/>
      <c r="M1082" s="1"/>
      <c r="N1082" s="1"/>
      <c r="O1082" s="1"/>
      <c r="P1082" s="1"/>
      <c r="Q1082" s="1"/>
      <c r="R1082" s="1"/>
      <c r="S1082" s="1"/>
      <c r="T1082" s="1"/>
      <c r="U1082" s="1"/>
      <c r="V1082" s="1"/>
      <c r="W1082" s="142"/>
    </row>
    <row r="1083" spans="1:23" x14ac:dyDescent="0.3">
      <c r="A1083" s="16">
        <v>93</v>
      </c>
      <c r="B1083" s="16">
        <v>8100018253</v>
      </c>
      <c r="C1083" s="19">
        <v>45813</v>
      </c>
      <c r="D1083" s="38" t="s">
        <v>1119</v>
      </c>
      <c r="E1083" s="16" t="s">
        <v>127</v>
      </c>
      <c r="F1083" s="16" t="s">
        <v>1120</v>
      </c>
      <c r="G1083" s="16">
        <v>6</v>
      </c>
      <c r="H1083" s="16" t="s">
        <v>1122</v>
      </c>
      <c r="I1083" s="16">
        <v>1460</v>
      </c>
      <c r="J1083" s="16">
        <f>G1083*I1083</f>
        <v>8760</v>
      </c>
      <c r="K1083" s="16"/>
      <c r="L1083" s="16"/>
      <c r="M1083" s="16"/>
      <c r="N1083" s="16"/>
      <c r="O1083" s="16">
        <v>6</v>
      </c>
      <c r="P1083" s="16">
        <v>1460</v>
      </c>
      <c r="Q1083" s="16">
        <f>O1083*P1083</f>
        <v>8760</v>
      </c>
      <c r="R1083" s="18">
        <v>0.18</v>
      </c>
      <c r="S1083" s="16">
        <f>Q1083*R1083</f>
        <v>1576.8</v>
      </c>
      <c r="T1083" s="16">
        <f>Q1083+S1083</f>
        <v>10336.799999999999</v>
      </c>
      <c r="U1083" s="16" t="s">
        <v>1191</v>
      </c>
      <c r="V1083" s="19">
        <v>45813</v>
      </c>
      <c r="W1083" s="142" t="s">
        <v>1193</v>
      </c>
    </row>
    <row r="1084" spans="1:23" x14ac:dyDescent="0.3">
      <c r="A1084" s="1"/>
      <c r="B1084" s="81" t="s">
        <v>1182</v>
      </c>
      <c r="C1084" s="1"/>
      <c r="D1084" s="1"/>
      <c r="E1084" s="16" t="s">
        <v>127</v>
      </c>
      <c r="F1084" s="16" t="s">
        <v>1121</v>
      </c>
      <c r="G1084" s="16">
        <v>534</v>
      </c>
      <c r="H1084" s="16" t="s">
        <v>1122</v>
      </c>
      <c r="I1084" s="16">
        <v>3025</v>
      </c>
      <c r="J1084" s="16">
        <f t="shared" ref="J1084:J1121" si="242">G1084*I1084</f>
        <v>1615350</v>
      </c>
      <c r="K1084" s="16"/>
      <c r="L1084" s="16"/>
      <c r="M1084" s="16"/>
      <c r="N1084" s="16"/>
      <c r="O1084" s="16">
        <v>534</v>
      </c>
      <c r="P1084" s="16">
        <v>3025</v>
      </c>
      <c r="Q1084" s="16">
        <f t="shared" ref="Q1084:Q1087" si="243">O1084*P1084</f>
        <v>1615350</v>
      </c>
      <c r="R1084" s="18">
        <v>0.18</v>
      </c>
      <c r="S1084" s="16">
        <f t="shared" ref="S1084:S1087" si="244">Q1084*R1084</f>
        <v>290763</v>
      </c>
      <c r="T1084" s="16">
        <f t="shared" ref="T1084:T1087" si="245">Q1084+S1084</f>
        <v>1906113</v>
      </c>
      <c r="U1084" s="16" t="s">
        <v>1191</v>
      </c>
      <c r="V1084" s="19">
        <v>45813</v>
      </c>
      <c r="W1084" s="142" t="s">
        <v>1193</v>
      </c>
    </row>
    <row r="1085" spans="1:23" x14ac:dyDescent="0.3">
      <c r="A1085" s="1"/>
      <c r="B1085" s="1"/>
      <c r="C1085" s="1"/>
      <c r="D1085" s="1"/>
      <c r="E1085" s="16" t="s">
        <v>123</v>
      </c>
      <c r="F1085" s="16" t="s">
        <v>1123</v>
      </c>
      <c r="G1085" s="16">
        <v>4</v>
      </c>
      <c r="H1085" s="16" t="s">
        <v>28</v>
      </c>
      <c r="I1085" s="16">
        <v>9131</v>
      </c>
      <c r="J1085" s="16">
        <f t="shared" si="242"/>
        <v>36524</v>
      </c>
      <c r="K1085" s="16">
        <v>4</v>
      </c>
      <c r="L1085" s="16" t="s">
        <v>28</v>
      </c>
      <c r="M1085" s="16" t="s">
        <v>91</v>
      </c>
      <c r="N1085" s="16" t="s">
        <v>1194</v>
      </c>
      <c r="O1085" s="16">
        <v>4</v>
      </c>
      <c r="P1085" s="16">
        <v>9131</v>
      </c>
      <c r="Q1085" s="16">
        <f t="shared" si="243"/>
        <v>36524</v>
      </c>
      <c r="R1085" s="18">
        <v>0.18</v>
      </c>
      <c r="S1085" s="16">
        <f t="shared" si="244"/>
        <v>6574.32</v>
      </c>
      <c r="T1085" s="16">
        <f t="shared" si="245"/>
        <v>43098.32</v>
      </c>
      <c r="U1085" s="97" t="s">
        <v>1680</v>
      </c>
      <c r="V1085" s="110" t="s">
        <v>1681</v>
      </c>
      <c r="W1085" s="142" t="s">
        <v>1730</v>
      </c>
    </row>
    <row r="1086" spans="1:23" ht="25.2" x14ac:dyDescent="0.3">
      <c r="A1086" s="1"/>
      <c r="B1086" s="1"/>
      <c r="C1086" s="1"/>
      <c r="D1086" s="1" t="s">
        <v>1126</v>
      </c>
      <c r="E1086" s="16" t="s">
        <v>123</v>
      </c>
      <c r="F1086" s="39" t="s">
        <v>1124</v>
      </c>
      <c r="G1086" s="16">
        <v>540</v>
      </c>
      <c r="H1086" s="16" t="s">
        <v>1122</v>
      </c>
      <c r="I1086" s="16">
        <v>65</v>
      </c>
      <c r="J1086" s="16">
        <f t="shared" si="242"/>
        <v>35100</v>
      </c>
      <c r="K1086" s="16"/>
      <c r="L1086" s="16"/>
      <c r="M1086" s="16"/>
      <c r="N1086" s="16"/>
      <c r="O1086" s="16">
        <v>540</v>
      </c>
      <c r="P1086" s="16">
        <v>65</v>
      </c>
      <c r="Q1086" s="16">
        <f t="shared" si="243"/>
        <v>35100</v>
      </c>
      <c r="R1086" s="18">
        <v>0.18</v>
      </c>
      <c r="S1086" s="16">
        <f t="shared" si="244"/>
        <v>6318</v>
      </c>
      <c r="T1086" s="16">
        <f t="shared" si="245"/>
        <v>41418</v>
      </c>
      <c r="U1086" s="97" t="s">
        <v>1680</v>
      </c>
      <c r="V1086" s="110" t="s">
        <v>1681</v>
      </c>
      <c r="W1086" s="142" t="s">
        <v>1730</v>
      </c>
    </row>
    <row r="1087" spans="1:23" ht="25.2" x14ac:dyDescent="0.3">
      <c r="A1087" s="1"/>
      <c r="B1087" s="1"/>
      <c r="C1087" s="1"/>
      <c r="D1087" s="1"/>
      <c r="E1087" s="16" t="s">
        <v>123</v>
      </c>
      <c r="F1087" s="39" t="s">
        <v>1125</v>
      </c>
      <c r="G1087" s="16">
        <v>1</v>
      </c>
      <c r="H1087" s="16" t="s">
        <v>87</v>
      </c>
      <c r="I1087" s="16">
        <v>238956</v>
      </c>
      <c r="J1087" s="16">
        <f t="shared" si="242"/>
        <v>238956</v>
      </c>
      <c r="K1087" s="16">
        <v>400</v>
      </c>
      <c r="L1087" s="16" t="s">
        <v>141</v>
      </c>
      <c r="M1087" s="16" t="s">
        <v>91</v>
      </c>
      <c r="N1087" s="16" t="s">
        <v>1194</v>
      </c>
      <c r="O1087" s="16">
        <v>1</v>
      </c>
      <c r="P1087" s="16">
        <v>238956</v>
      </c>
      <c r="Q1087" s="16">
        <f t="shared" si="243"/>
        <v>238956</v>
      </c>
      <c r="R1087" s="18">
        <v>0.18</v>
      </c>
      <c r="S1087" s="16">
        <f t="shared" si="244"/>
        <v>43012.08</v>
      </c>
      <c r="T1087" s="16">
        <f t="shared" si="245"/>
        <v>281968.08</v>
      </c>
      <c r="U1087" s="97" t="s">
        <v>1680</v>
      </c>
      <c r="V1087" s="110" t="s">
        <v>1681</v>
      </c>
      <c r="W1087" s="142" t="s">
        <v>1730</v>
      </c>
    </row>
    <row r="1088" spans="1:23" x14ac:dyDescent="0.3">
      <c r="A1088" s="1"/>
      <c r="B1088" s="1"/>
      <c r="C1088" s="1"/>
      <c r="D1088" s="1"/>
      <c r="E1088" s="1"/>
      <c r="F1088" s="124" t="s">
        <v>39</v>
      </c>
      <c r="G1088" s="1"/>
      <c r="H1088" s="1"/>
      <c r="I1088" s="1"/>
      <c r="J1088" s="1">
        <f>SUM(J1083:J1087)</f>
        <v>1934690</v>
      </c>
      <c r="K1088" s="1"/>
      <c r="L1088" s="1"/>
      <c r="M1088" s="1"/>
      <c r="N1088" s="1"/>
      <c r="O1088" s="1"/>
      <c r="P1088" s="1"/>
      <c r="Q1088" s="1"/>
      <c r="R1088" s="1"/>
      <c r="S1088" s="1"/>
      <c r="T1088" s="1"/>
      <c r="U1088" s="1"/>
      <c r="V1088" s="1"/>
      <c r="W1088" s="142"/>
    </row>
    <row r="1089" spans="1:23" x14ac:dyDescent="0.3">
      <c r="A1089" s="1"/>
      <c r="B1089" s="1"/>
      <c r="C1089" s="1"/>
      <c r="D1089" s="1"/>
      <c r="E1089" s="1"/>
      <c r="F1089" s="124" t="s">
        <v>187</v>
      </c>
      <c r="G1089" s="1"/>
      <c r="H1089" s="1"/>
      <c r="I1089" s="1"/>
      <c r="J1089" s="1">
        <f>J1088*18/100</f>
        <v>348244.2</v>
      </c>
      <c r="K1089" s="1"/>
      <c r="L1089" s="1"/>
      <c r="M1089" s="1"/>
      <c r="N1089" s="1"/>
      <c r="O1089" s="1"/>
      <c r="P1089" s="1"/>
      <c r="Q1089" s="1"/>
      <c r="R1089" s="1"/>
      <c r="S1089" s="1"/>
      <c r="T1089" s="1"/>
      <c r="U1089" s="1"/>
      <c r="V1089" s="1"/>
      <c r="W1089" s="142"/>
    </row>
    <row r="1090" spans="1:23" x14ac:dyDescent="0.3">
      <c r="A1090" s="1"/>
      <c r="B1090" s="1"/>
      <c r="C1090" s="1"/>
      <c r="D1090" s="1"/>
      <c r="E1090" s="1"/>
      <c r="F1090" s="124" t="s">
        <v>41</v>
      </c>
      <c r="G1090" s="1"/>
      <c r="H1090" s="1"/>
      <c r="I1090" s="1"/>
      <c r="J1090" s="1">
        <f>SUM(J1088:J1089)</f>
        <v>2282934.2000000002</v>
      </c>
      <c r="K1090" s="1"/>
      <c r="L1090" s="1"/>
      <c r="M1090" s="1"/>
      <c r="N1090" s="1"/>
      <c r="O1090" s="1"/>
      <c r="P1090" s="1"/>
      <c r="Q1090" s="1"/>
      <c r="R1090" s="1"/>
      <c r="S1090" s="1"/>
      <c r="T1090" s="1">
        <f>SUM(T1083:T1089)</f>
        <v>2282934.2000000002</v>
      </c>
      <c r="U1090" s="1"/>
      <c r="V1090" s="1"/>
      <c r="W1090" s="142"/>
    </row>
    <row r="1091" spans="1:23" x14ac:dyDescent="0.3">
      <c r="A1091" s="1"/>
      <c r="B1091" s="1"/>
      <c r="C1091" s="1"/>
      <c r="D1091" s="1"/>
      <c r="E1091" s="1"/>
      <c r="F1091" s="124"/>
      <c r="G1091" s="1"/>
      <c r="H1091" s="1"/>
      <c r="I1091" s="1"/>
      <c r="J1091" s="1"/>
      <c r="K1091" s="1"/>
      <c r="L1091" s="1"/>
      <c r="M1091" s="1"/>
      <c r="N1091" s="1"/>
      <c r="O1091" s="1"/>
      <c r="P1091" s="1"/>
      <c r="Q1091" s="1"/>
      <c r="R1091" s="1"/>
      <c r="S1091" s="1"/>
      <c r="T1091" s="1"/>
      <c r="U1091" s="1"/>
      <c r="V1091" s="1"/>
      <c r="W1091" s="142"/>
    </row>
    <row r="1092" spans="1:23" x14ac:dyDescent="0.3">
      <c r="A1092" s="16">
        <v>94</v>
      </c>
      <c r="B1092" s="16">
        <v>8600056318</v>
      </c>
      <c r="C1092" s="16" t="s">
        <v>1153</v>
      </c>
      <c r="D1092" s="16" t="s">
        <v>43</v>
      </c>
      <c r="E1092" s="16" t="s">
        <v>127</v>
      </c>
      <c r="F1092" s="16" t="s">
        <v>938</v>
      </c>
      <c r="G1092" s="16">
        <v>50</v>
      </c>
      <c r="H1092" s="16" t="s">
        <v>28</v>
      </c>
      <c r="I1092" s="16">
        <v>1898</v>
      </c>
      <c r="J1092" s="16">
        <f t="shared" si="242"/>
        <v>94900</v>
      </c>
      <c r="K1092" s="16"/>
      <c r="L1092" s="16"/>
      <c r="M1092" s="16"/>
      <c r="N1092" s="16"/>
      <c r="O1092" s="16">
        <v>50</v>
      </c>
      <c r="P1092" s="16">
        <v>1898</v>
      </c>
      <c r="Q1092" s="16">
        <f>O1092*P1092</f>
        <v>94900</v>
      </c>
      <c r="R1092" s="18">
        <v>0</v>
      </c>
      <c r="S1092" s="16">
        <f>Q1092*R1092</f>
        <v>0</v>
      </c>
      <c r="T1092" s="16">
        <f>Q1092+S1092</f>
        <v>94900</v>
      </c>
      <c r="U1092" s="16" t="s">
        <v>1192</v>
      </c>
      <c r="V1092" s="19">
        <v>45813</v>
      </c>
      <c r="W1092" s="142" t="s">
        <v>1256</v>
      </c>
    </row>
    <row r="1093" spans="1:23" x14ac:dyDescent="0.3">
      <c r="A1093" s="1"/>
      <c r="B1093" s="1"/>
      <c r="C1093" s="1"/>
      <c r="D1093" s="1"/>
      <c r="E1093" s="16" t="s">
        <v>127</v>
      </c>
      <c r="F1093" s="16" t="s">
        <v>1128</v>
      </c>
      <c r="G1093" s="16">
        <v>5</v>
      </c>
      <c r="H1093" s="16" t="s">
        <v>28</v>
      </c>
      <c r="I1093" s="16">
        <v>9750</v>
      </c>
      <c r="J1093" s="16">
        <f t="shared" si="242"/>
        <v>48750</v>
      </c>
      <c r="K1093" s="16"/>
      <c r="L1093" s="16"/>
      <c r="M1093" s="16"/>
      <c r="N1093" s="16"/>
      <c r="O1093" s="16">
        <v>5</v>
      </c>
      <c r="P1093" s="16">
        <v>9750</v>
      </c>
      <c r="Q1093" s="16">
        <f t="shared" ref="Q1093:Q1121" si="246">O1093*P1093</f>
        <v>48750</v>
      </c>
      <c r="R1093" s="18">
        <v>0</v>
      </c>
      <c r="S1093" s="16">
        <f t="shared" ref="S1093:S1121" si="247">Q1093*R1093</f>
        <v>0</v>
      </c>
      <c r="T1093" s="16">
        <f t="shared" ref="T1093:T1121" si="248">Q1093+S1093</f>
        <v>48750</v>
      </c>
      <c r="U1093" s="16" t="s">
        <v>1192</v>
      </c>
      <c r="V1093" s="19">
        <v>45813</v>
      </c>
      <c r="W1093" s="142" t="s">
        <v>1256</v>
      </c>
    </row>
    <row r="1094" spans="1:23" x14ac:dyDescent="0.3">
      <c r="A1094" s="1"/>
      <c r="B1094" s="1"/>
      <c r="C1094" s="1"/>
      <c r="D1094" s="1"/>
      <c r="E1094" s="16" t="s">
        <v>127</v>
      </c>
      <c r="F1094" s="16" t="s">
        <v>1129</v>
      </c>
      <c r="G1094" s="16">
        <v>10</v>
      </c>
      <c r="H1094" s="16" t="s">
        <v>28</v>
      </c>
      <c r="I1094" s="16">
        <v>685</v>
      </c>
      <c r="J1094" s="16">
        <f t="shared" si="242"/>
        <v>6850</v>
      </c>
      <c r="K1094" s="16"/>
      <c r="L1094" s="16"/>
      <c r="M1094" s="16"/>
      <c r="N1094" s="16"/>
      <c r="O1094" s="16">
        <v>10</v>
      </c>
      <c r="P1094" s="16">
        <v>685</v>
      </c>
      <c r="Q1094" s="16">
        <f t="shared" si="246"/>
        <v>6850</v>
      </c>
      <c r="R1094" s="18">
        <v>0</v>
      </c>
      <c r="S1094" s="16">
        <f t="shared" si="247"/>
        <v>0</v>
      </c>
      <c r="T1094" s="16">
        <f t="shared" si="248"/>
        <v>6850</v>
      </c>
      <c r="U1094" s="16" t="s">
        <v>1192</v>
      </c>
      <c r="V1094" s="19">
        <v>45813</v>
      </c>
      <c r="W1094" s="142" t="s">
        <v>1256</v>
      </c>
    </row>
    <row r="1095" spans="1:23" x14ac:dyDescent="0.3">
      <c r="A1095" s="1"/>
      <c r="B1095" s="1"/>
      <c r="C1095" s="1"/>
      <c r="D1095" s="1"/>
      <c r="E1095" s="16" t="s">
        <v>127</v>
      </c>
      <c r="F1095" s="16" t="s">
        <v>924</v>
      </c>
      <c r="G1095" s="16">
        <v>15</v>
      </c>
      <c r="H1095" s="16" t="s">
        <v>28</v>
      </c>
      <c r="I1095" s="16">
        <v>4490</v>
      </c>
      <c r="J1095" s="16">
        <f t="shared" si="242"/>
        <v>67350</v>
      </c>
      <c r="K1095" s="16"/>
      <c r="L1095" s="16"/>
      <c r="M1095" s="16"/>
      <c r="N1095" s="16"/>
      <c r="O1095" s="16">
        <v>15</v>
      </c>
      <c r="P1095" s="16">
        <v>4490</v>
      </c>
      <c r="Q1095" s="16">
        <f t="shared" si="246"/>
        <v>67350</v>
      </c>
      <c r="R1095" s="18">
        <v>0</v>
      </c>
      <c r="S1095" s="16">
        <f t="shared" si="247"/>
        <v>0</v>
      </c>
      <c r="T1095" s="16">
        <f t="shared" si="248"/>
        <v>67350</v>
      </c>
      <c r="U1095" s="16" t="s">
        <v>1192</v>
      </c>
      <c r="V1095" s="19">
        <v>45813</v>
      </c>
      <c r="W1095" s="142" t="s">
        <v>1256</v>
      </c>
    </row>
    <row r="1096" spans="1:23" x14ac:dyDescent="0.3">
      <c r="A1096" s="1"/>
      <c r="B1096" s="1"/>
      <c r="C1096" s="1"/>
      <c r="D1096" s="1"/>
      <c r="E1096" s="16" t="s">
        <v>127</v>
      </c>
      <c r="F1096" s="39" t="s">
        <v>926</v>
      </c>
      <c r="G1096" s="16">
        <v>10</v>
      </c>
      <c r="H1096" s="16" t="s">
        <v>28</v>
      </c>
      <c r="I1096" s="16">
        <v>4490</v>
      </c>
      <c r="J1096" s="16">
        <f t="shared" si="242"/>
        <v>44900</v>
      </c>
      <c r="K1096" s="16"/>
      <c r="L1096" s="16"/>
      <c r="M1096" s="16"/>
      <c r="N1096" s="16"/>
      <c r="O1096" s="16">
        <v>10</v>
      </c>
      <c r="P1096" s="16">
        <v>4490</v>
      </c>
      <c r="Q1096" s="16">
        <f t="shared" si="246"/>
        <v>44900</v>
      </c>
      <c r="R1096" s="18">
        <v>0</v>
      </c>
      <c r="S1096" s="16">
        <f t="shared" si="247"/>
        <v>0</v>
      </c>
      <c r="T1096" s="16">
        <f t="shared" si="248"/>
        <v>44900</v>
      </c>
      <c r="U1096" s="16" t="s">
        <v>1192</v>
      </c>
      <c r="V1096" s="19">
        <v>45813</v>
      </c>
      <c r="W1096" s="142" t="s">
        <v>1256</v>
      </c>
    </row>
    <row r="1097" spans="1:23" x14ac:dyDescent="0.3">
      <c r="A1097" s="1"/>
      <c r="B1097" s="1"/>
      <c r="C1097" s="1"/>
      <c r="D1097" s="1"/>
      <c r="E1097" s="16" t="s">
        <v>127</v>
      </c>
      <c r="F1097" s="16" t="s">
        <v>925</v>
      </c>
      <c r="G1097" s="16">
        <v>5</v>
      </c>
      <c r="H1097" s="16" t="s">
        <v>28</v>
      </c>
      <c r="I1097" s="16">
        <v>7963</v>
      </c>
      <c r="J1097" s="16">
        <f t="shared" si="242"/>
        <v>39815</v>
      </c>
      <c r="K1097" s="16"/>
      <c r="L1097" s="16"/>
      <c r="M1097" s="16"/>
      <c r="N1097" s="16"/>
      <c r="O1097" s="16">
        <v>5</v>
      </c>
      <c r="P1097" s="16">
        <v>7963</v>
      </c>
      <c r="Q1097" s="16">
        <f t="shared" si="246"/>
        <v>39815</v>
      </c>
      <c r="R1097" s="18">
        <v>0</v>
      </c>
      <c r="S1097" s="16">
        <f t="shared" si="247"/>
        <v>0</v>
      </c>
      <c r="T1097" s="16">
        <f t="shared" si="248"/>
        <v>39815</v>
      </c>
      <c r="U1097" s="16" t="s">
        <v>1192</v>
      </c>
      <c r="V1097" s="19">
        <v>45813</v>
      </c>
      <c r="W1097" s="142" t="s">
        <v>1256</v>
      </c>
    </row>
    <row r="1098" spans="1:23" x14ac:dyDescent="0.3">
      <c r="A1098" s="1"/>
      <c r="B1098" s="1"/>
      <c r="C1098" s="1"/>
      <c r="D1098" s="1"/>
      <c r="E1098" s="16" t="s">
        <v>127</v>
      </c>
      <c r="F1098" s="16" t="s">
        <v>1130</v>
      </c>
      <c r="G1098" s="16">
        <v>10</v>
      </c>
      <c r="H1098" s="16" t="s">
        <v>28</v>
      </c>
      <c r="I1098" s="16">
        <v>4730</v>
      </c>
      <c r="J1098" s="16">
        <f t="shared" si="242"/>
        <v>47300</v>
      </c>
      <c r="K1098" s="16"/>
      <c r="L1098" s="16"/>
      <c r="M1098" s="16"/>
      <c r="N1098" s="16"/>
      <c r="O1098" s="16">
        <v>10</v>
      </c>
      <c r="P1098" s="16">
        <v>4730</v>
      </c>
      <c r="Q1098" s="16">
        <f t="shared" si="246"/>
        <v>47300</v>
      </c>
      <c r="R1098" s="18">
        <v>0</v>
      </c>
      <c r="S1098" s="16">
        <f t="shared" si="247"/>
        <v>0</v>
      </c>
      <c r="T1098" s="16">
        <f t="shared" si="248"/>
        <v>47300</v>
      </c>
      <c r="U1098" s="16" t="s">
        <v>1192</v>
      </c>
      <c r="V1098" s="19">
        <v>45813</v>
      </c>
      <c r="W1098" s="142" t="s">
        <v>1256</v>
      </c>
    </row>
    <row r="1099" spans="1:23" x14ac:dyDescent="0.3">
      <c r="A1099" s="1"/>
      <c r="B1099" s="1"/>
      <c r="C1099" s="1"/>
      <c r="D1099" s="1"/>
      <c r="E1099" s="16" t="s">
        <v>127</v>
      </c>
      <c r="F1099" s="16" t="s">
        <v>927</v>
      </c>
      <c r="G1099" s="16">
        <v>5</v>
      </c>
      <c r="H1099" s="16" t="s">
        <v>28</v>
      </c>
      <c r="I1099" s="16">
        <v>6727</v>
      </c>
      <c r="J1099" s="16">
        <f t="shared" si="242"/>
        <v>33635</v>
      </c>
      <c r="K1099" s="16"/>
      <c r="L1099" s="16"/>
      <c r="M1099" s="16"/>
      <c r="N1099" s="16"/>
      <c r="O1099" s="16">
        <v>5</v>
      </c>
      <c r="P1099" s="16">
        <v>6727</v>
      </c>
      <c r="Q1099" s="16">
        <f t="shared" si="246"/>
        <v>33635</v>
      </c>
      <c r="R1099" s="18">
        <v>0</v>
      </c>
      <c r="S1099" s="16">
        <f t="shared" si="247"/>
        <v>0</v>
      </c>
      <c r="T1099" s="16">
        <f t="shared" si="248"/>
        <v>33635</v>
      </c>
      <c r="U1099" s="16" t="s">
        <v>1192</v>
      </c>
      <c r="V1099" s="19">
        <v>45813</v>
      </c>
      <c r="W1099" s="142" t="s">
        <v>1256</v>
      </c>
    </row>
    <row r="1100" spans="1:23" x14ac:dyDescent="0.3">
      <c r="A1100" s="1"/>
      <c r="B1100" s="1"/>
      <c r="C1100" s="1"/>
      <c r="D1100" s="1"/>
      <c r="E1100" s="16" t="s">
        <v>127</v>
      </c>
      <c r="F1100" s="16" t="s">
        <v>1131</v>
      </c>
      <c r="G1100" s="16">
        <v>5</v>
      </c>
      <c r="H1100" s="16" t="s">
        <v>28</v>
      </c>
      <c r="I1100" s="16">
        <v>5520</v>
      </c>
      <c r="J1100" s="16">
        <f t="shared" si="242"/>
        <v>27600</v>
      </c>
      <c r="K1100" s="16"/>
      <c r="L1100" s="16"/>
      <c r="M1100" s="16"/>
      <c r="N1100" s="16"/>
      <c r="O1100" s="16">
        <v>5</v>
      </c>
      <c r="P1100" s="16">
        <v>5520</v>
      </c>
      <c r="Q1100" s="16">
        <f t="shared" si="246"/>
        <v>27600</v>
      </c>
      <c r="R1100" s="18">
        <v>0</v>
      </c>
      <c r="S1100" s="16">
        <f t="shared" si="247"/>
        <v>0</v>
      </c>
      <c r="T1100" s="16">
        <f t="shared" si="248"/>
        <v>27600</v>
      </c>
      <c r="U1100" s="16" t="s">
        <v>1192</v>
      </c>
      <c r="V1100" s="19">
        <v>45813</v>
      </c>
      <c r="W1100" s="142" t="s">
        <v>1256</v>
      </c>
    </row>
    <row r="1101" spans="1:23" x14ac:dyDescent="0.3">
      <c r="A1101" s="1"/>
      <c r="B1101" s="1"/>
      <c r="C1101" s="1"/>
      <c r="D1101" s="1"/>
      <c r="E1101" s="16" t="s">
        <v>127</v>
      </c>
      <c r="F1101" s="16" t="s">
        <v>1132</v>
      </c>
      <c r="G1101" s="16">
        <v>5</v>
      </c>
      <c r="H1101" s="16" t="s">
        <v>28</v>
      </c>
      <c r="I1101" s="16">
        <v>4620</v>
      </c>
      <c r="J1101" s="16">
        <f t="shared" si="242"/>
        <v>23100</v>
      </c>
      <c r="K1101" s="16"/>
      <c r="L1101" s="16"/>
      <c r="M1101" s="16"/>
      <c r="N1101" s="16"/>
      <c r="O1101" s="16">
        <v>5</v>
      </c>
      <c r="P1101" s="16">
        <v>4620</v>
      </c>
      <c r="Q1101" s="16">
        <f t="shared" si="246"/>
        <v>23100</v>
      </c>
      <c r="R1101" s="18">
        <v>0</v>
      </c>
      <c r="S1101" s="16">
        <f t="shared" si="247"/>
        <v>0</v>
      </c>
      <c r="T1101" s="16">
        <f t="shared" si="248"/>
        <v>23100</v>
      </c>
      <c r="U1101" s="16" t="s">
        <v>1192</v>
      </c>
      <c r="V1101" s="19">
        <v>45813</v>
      </c>
      <c r="W1101" s="142" t="s">
        <v>1256</v>
      </c>
    </row>
    <row r="1102" spans="1:23" x14ac:dyDescent="0.3">
      <c r="A1102" s="1"/>
      <c r="B1102" s="1"/>
      <c r="C1102" s="1"/>
      <c r="D1102" s="1"/>
      <c r="E1102" s="16" t="s">
        <v>127</v>
      </c>
      <c r="F1102" s="16" t="s">
        <v>1133</v>
      </c>
      <c r="G1102" s="16">
        <v>5</v>
      </c>
      <c r="H1102" s="16" t="s">
        <v>28</v>
      </c>
      <c r="I1102" s="16">
        <v>264</v>
      </c>
      <c r="J1102" s="16">
        <f t="shared" si="242"/>
        <v>1320</v>
      </c>
      <c r="K1102" s="16"/>
      <c r="L1102" s="16"/>
      <c r="M1102" s="16"/>
      <c r="N1102" s="16"/>
      <c r="O1102" s="16">
        <v>5</v>
      </c>
      <c r="P1102" s="16">
        <v>264</v>
      </c>
      <c r="Q1102" s="16">
        <f t="shared" si="246"/>
        <v>1320</v>
      </c>
      <c r="R1102" s="18">
        <v>0</v>
      </c>
      <c r="S1102" s="16">
        <f t="shared" si="247"/>
        <v>0</v>
      </c>
      <c r="T1102" s="16">
        <f t="shared" si="248"/>
        <v>1320</v>
      </c>
      <c r="U1102" s="16" t="s">
        <v>1192</v>
      </c>
      <c r="V1102" s="19">
        <v>45813</v>
      </c>
      <c r="W1102" s="142" t="s">
        <v>1256</v>
      </c>
    </row>
    <row r="1103" spans="1:23" x14ac:dyDescent="0.3">
      <c r="A1103" s="1"/>
      <c r="B1103" s="1"/>
      <c r="C1103" s="1"/>
      <c r="D1103" s="1"/>
      <c r="E1103" s="16" t="s">
        <v>127</v>
      </c>
      <c r="F1103" s="16" t="s">
        <v>1134</v>
      </c>
      <c r="G1103" s="16">
        <v>15</v>
      </c>
      <c r="H1103" s="16" t="s">
        <v>28</v>
      </c>
      <c r="I1103" s="16">
        <v>46</v>
      </c>
      <c r="J1103" s="16">
        <f t="shared" si="242"/>
        <v>690</v>
      </c>
      <c r="K1103" s="16"/>
      <c r="L1103" s="16"/>
      <c r="M1103" s="16"/>
      <c r="N1103" s="16"/>
      <c r="O1103" s="16">
        <v>15</v>
      </c>
      <c r="P1103" s="16">
        <v>46</v>
      </c>
      <c r="Q1103" s="16">
        <f t="shared" si="246"/>
        <v>690</v>
      </c>
      <c r="R1103" s="18">
        <v>0</v>
      </c>
      <c r="S1103" s="16">
        <f t="shared" si="247"/>
        <v>0</v>
      </c>
      <c r="T1103" s="16">
        <f t="shared" si="248"/>
        <v>690</v>
      </c>
      <c r="U1103" s="16" t="s">
        <v>1192</v>
      </c>
      <c r="V1103" s="19">
        <v>45813</v>
      </c>
      <c r="W1103" s="142" t="s">
        <v>1256</v>
      </c>
    </row>
    <row r="1104" spans="1:23" x14ac:dyDescent="0.3">
      <c r="A1104" s="1"/>
      <c r="B1104" s="1"/>
      <c r="C1104" s="1"/>
      <c r="D1104" s="1"/>
      <c r="E1104" s="16" t="s">
        <v>127</v>
      </c>
      <c r="F1104" s="16" t="s">
        <v>1135</v>
      </c>
      <c r="G1104" s="16">
        <v>10</v>
      </c>
      <c r="H1104" s="16" t="s">
        <v>28</v>
      </c>
      <c r="I1104" s="16">
        <v>107</v>
      </c>
      <c r="J1104" s="16">
        <f t="shared" si="242"/>
        <v>1070</v>
      </c>
      <c r="K1104" s="16"/>
      <c r="L1104" s="16"/>
      <c r="M1104" s="16"/>
      <c r="N1104" s="16"/>
      <c r="O1104" s="16">
        <v>10</v>
      </c>
      <c r="P1104" s="16">
        <v>107</v>
      </c>
      <c r="Q1104" s="16">
        <f t="shared" si="246"/>
        <v>1070</v>
      </c>
      <c r="R1104" s="18">
        <v>0</v>
      </c>
      <c r="S1104" s="16">
        <f t="shared" si="247"/>
        <v>0</v>
      </c>
      <c r="T1104" s="16">
        <f t="shared" si="248"/>
        <v>1070</v>
      </c>
      <c r="U1104" s="16" t="s">
        <v>1192</v>
      </c>
      <c r="V1104" s="19">
        <v>45813</v>
      </c>
      <c r="W1104" s="142" t="s">
        <v>1256</v>
      </c>
    </row>
    <row r="1105" spans="1:23" x14ac:dyDescent="0.3">
      <c r="A1105" s="1"/>
      <c r="B1105" s="1"/>
      <c r="C1105" s="1"/>
      <c r="D1105" s="1"/>
      <c r="E1105" s="16" t="s">
        <v>127</v>
      </c>
      <c r="F1105" s="16" t="s">
        <v>1136</v>
      </c>
      <c r="G1105" s="16">
        <v>15</v>
      </c>
      <c r="H1105" s="16" t="s">
        <v>28</v>
      </c>
      <c r="I1105" s="16">
        <v>87</v>
      </c>
      <c r="J1105" s="16">
        <f t="shared" si="242"/>
        <v>1305</v>
      </c>
      <c r="K1105" s="16"/>
      <c r="L1105" s="16"/>
      <c r="M1105" s="16"/>
      <c r="N1105" s="16"/>
      <c r="O1105" s="16">
        <v>15</v>
      </c>
      <c r="P1105" s="16">
        <v>87</v>
      </c>
      <c r="Q1105" s="16">
        <f t="shared" si="246"/>
        <v>1305</v>
      </c>
      <c r="R1105" s="18">
        <v>0</v>
      </c>
      <c r="S1105" s="16">
        <f t="shared" si="247"/>
        <v>0</v>
      </c>
      <c r="T1105" s="16">
        <f t="shared" si="248"/>
        <v>1305</v>
      </c>
      <c r="U1105" s="16" t="s">
        <v>1192</v>
      </c>
      <c r="V1105" s="19">
        <v>45813</v>
      </c>
      <c r="W1105" s="142" t="s">
        <v>1256</v>
      </c>
    </row>
    <row r="1106" spans="1:23" x14ac:dyDescent="0.3">
      <c r="A1106" s="1"/>
      <c r="B1106" s="1"/>
      <c r="C1106" s="1"/>
      <c r="D1106" s="1"/>
      <c r="E1106" s="16" t="s">
        <v>127</v>
      </c>
      <c r="F1106" s="16" t="s">
        <v>1137</v>
      </c>
      <c r="G1106" s="16">
        <v>10</v>
      </c>
      <c r="H1106" s="16" t="s">
        <v>28</v>
      </c>
      <c r="I1106" s="16">
        <v>52</v>
      </c>
      <c r="J1106" s="16">
        <f t="shared" si="242"/>
        <v>520</v>
      </c>
      <c r="K1106" s="16"/>
      <c r="L1106" s="16"/>
      <c r="M1106" s="16"/>
      <c r="N1106" s="16"/>
      <c r="O1106" s="16">
        <v>10</v>
      </c>
      <c r="P1106" s="16">
        <v>52</v>
      </c>
      <c r="Q1106" s="16">
        <f t="shared" si="246"/>
        <v>520</v>
      </c>
      <c r="R1106" s="18">
        <v>0</v>
      </c>
      <c r="S1106" s="16">
        <f t="shared" si="247"/>
        <v>0</v>
      </c>
      <c r="T1106" s="16">
        <f t="shared" si="248"/>
        <v>520</v>
      </c>
      <c r="U1106" s="16" t="s">
        <v>1192</v>
      </c>
      <c r="V1106" s="19">
        <v>45813</v>
      </c>
      <c r="W1106" s="142" t="s">
        <v>1256</v>
      </c>
    </row>
    <row r="1107" spans="1:23" x14ac:dyDescent="0.3">
      <c r="A1107" s="1"/>
      <c r="B1107" s="1"/>
      <c r="C1107" s="1"/>
      <c r="D1107" s="1"/>
      <c r="E1107" s="16" t="s">
        <v>127</v>
      </c>
      <c r="F1107" s="16" t="s">
        <v>1138</v>
      </c>
      <c r="G1107" s="16">
        <v>10</v>
      </c>
      <c r="H1107" s="16" t="s">
        <v>28</v>
      </c>
      <c r="I1107" s="16">
        <v>87</v>
      </c>
      <c r="J1107" s="16">
        <f t="shared" si="242"/>
        <v>870</v>
      </c>
      <c r="K1107" s="16"/>
      <c r="L1107" s="16"/>
      <c r="M1107" s="16"/>
      <c r="N1107" s="16"/>
      <c r="O1107" s="16">
        <v>10</v>
      </c>
      <c r="P1107" s="16">
        <v>87</v>
      </c>
      <c r="Q1107" s="16">
        <f t="shared" si="246"/>
        <v>870</v>
      </c>
      <c r="R1107" s="18">
        <v>0</v>
      </c>
      <c r="S1107" s="16">
        <f t="shared" si="247"/>
        <v>0</v>
      </c>
      <c r="T1107" s="16">
        <f t="shared" si="248"/>
        <v>870</v>
      </c>
      <c r="U1107" s="16" t="s">
        <v>1192</v>
      </c>
      <c r="V1107" s="19">
        <v>45813</v>
      </c>
      <c r="W1107" s="142" t="s">
        <v>1256</v>
      </c>
    </row>
    <row r="1108" spans="1:23" x14ac:dyDescent="0.3">
      <c r="A1108" s="1"/>
      <c r="B1108" s="1"/>
      <c r="C1108" s="1"/>
      <c r="D1108" s="1"/>
      <c r="E1108" s="16" t="s">
        <v>127</v>
      </c>
      <c r="F1108" s="16" t="s">
        <v>1139</v>
      </c>
      <c r="G1108" s="16">
        <v>3</v>
      </c>
      <c r="H1108" s="16"/>
      <c r="I1108" s="16">
        <v>367</v>
      </c>
      <c r="J1108" s="16">
        <f t="shared" si="242"/>
        <v>1101</v>
      </c>
      <c r="K1108" s="16"/>
      <c r="L1108" s="16"/>
      <c r="M1108" s="16"/>
      <c r="N1108" s="16"/>
      <c r="O1108" s="16">
        <v>3</v>
      </c>
      <c r="P1108" s="16">
        <v>367</v>
      </c>
      <c r="Q1108" s="16">
        <f t="shared" si="246"/>
        <v>1101</v>
      </c>
      <c r="R1108" s="18">
        <v>0</v>
      </c>
      <c r="S1108" s="16">
        <f t="shared" si="247"/>
        <v>0</v>
      </c>
      <c r="T1108" s="16">
        <f t="shared" si="248"/>
        <v>1101</v>
      </c>
      <c r="U1108" s="16" t="s">
        <v>1192</v>
      </c>
      <c r="V1108" s="19">
        <v>45813</v>
      </c>
      <c r="W1108" s="142" t="s">
        <v>1256</v>
      </c>
    </row>
    <row r="1109" spans="1:23" x14ac:dyDescent="0.3">
      <c r="A1109" s="1"/>
      <c r="B1109" s="1"/>
      <c r="C1109" s="1"/>
      <c r="D1109" s="1"/>
      <c r="E1109" s="16" t="s">
        <v>127</v>
      </c>
      <c r="F1109" s="16" t="s">
        <v>1140</v>
      </c>
      <c r="G1109" s="16">
        <v>2</v>
      </c>
      <c r="H1109" s="16" t="s">
        <v>28</v>
      </c>
      <c r="I1109" s="16">
        <v>28</v>
      </c>
      <c r="J1109" s="16">
        <f t="shared" si="242"/>
        <v>56</v>
      </c>
      <c r="K1109" s="16"/>
      <c r="L1109" s="16"/>
      <c r="M1109" s="16"/>
      <c r="N1109" s="16"/>
      <c r="O1109" s="16">
        <v>2</v>
      </c>
      <c r="P1109" s="16">
        <v>28</v>
      </c>
      <c r="Q1109" s="16">
        <f t="shared" si="246"/>
        <v>56</v>
      </c>
      <c r="R1109" s="18">
        <v>0</v>
      </c>
      <c r="S1109" s="16">
        <f t="shared" si="247"/>
        <v>0</v>
      </c>
      <c r="T1109" s="16">
        <f t="shared" si="248"/>
        <v>56</v>
      </c>
      <c r="U1109" s="16" t="s">
        <v>1192</v>
      </c>
      <c r="V1109" s="19">
        <v>45813</v>
      </c>
      <c r="W1109" s="142" t="s">
        <v>1256</v>
      </c>
    </row>
    <row r="1110" spans="1:23" x14ac:dyDescent="0.3">
      <c r="A1110" s="1"/>
      <c r="B1110" s="1"/>
      <c r="C1110" s="1"/>
      <c r="D1110" s="1"/>
      <c r="E1110" s="16" t="s">
        <v>127</v>
      </c>
      <c r="F1110" s="39" t="s">
        <v>1141</v>
      </c>
      <c r="G1110" s="16">
        <v>2</v>
      </c>
      <c r="H1110" s="16" t="s">
        <v>28</v>
      </c>
      <c r="I1110" s="16">
        <v>1943</v>
      </c>
      <c r="J1110" s="16">
        <f t="shared" si="242"/>
        <v>3886</v>
      </c>
      <c r="K1110" s="16"/>
      <c r="L1110" s="16"/>
      <c r="M1110" s="16"/>
      <c r="N1110" s="16"/>
      <c r="O1110" s="16">
        <v>2</v>
      </c>
      <c r="P1110" s="16">
        <v>1943</v>
      </c>
      <c r="Q1110" s="16">
        <f t="shared" si="246"/>
        <v>3886</v>
      </c>
      <c r="R1110" s="18">
        <v>0</v>
      </c>
      <c r="S1110" s="16">
        <f t="shared" si="247"/>
        <v>0</v>
      </c>
      <c r="T1110" s="16">
        <f t="shared" si="248"/>
        <v>3886</v>
      </c>
      <c r="U1110" s="16" t="s">
        <v>1192</v>
      </c>
      <c r="V1110" s="19">
        <v>45813</v>
      </c>
      <c r="W1110" s="142" t="s">
        <v>1256</v>
      </c>
    </row>
    <row r="1111" spans="1:23" x14ac:dyDescent="0.3">
      <c r="A1111" s="1"/>
      <c r="B1111" s="1"/>
      <c r="C1111" s="1"/>
      <c r="D1111" s="1"/>
      <c r="E1111" s="16" t="s">
        <v>127</v>
      </c>
      <c r="F1111" s="16" t="s">
        <v>1142</v>
      </c>
      <c r="G1111" s="16">
        <v>10</v>
      </c>
      <c r="H1111" s="16" t="s">
        <v>28</v>
      </c>
      <c r="I1111" s="16">
        <v>50</v>
      </c>
      <c r="J1111" s="16">
        <f t="shared" si="242"/>
        <v>500</v>
      </c>
      <c r="K1111" s="16"/>
      <c r="L1111" s="16"/>
      <c r="M1111" s="16"/>
      <c r="N1111" s="16"/>
      <c r="O1111" s="16">
        <v>10</v>
      </c>
      <c r="P1111" s="16">
        <v>50</v>
      </c>
      <c r="Q1111" s="16">
        <f t="shared" si="246"/>
        <v>500</v>
      </c>
      <c r="R1111" s="18">
        <v>0</v>
      </c>
      <c r="S1111" s="16">
        <f t="shared" si="247"/>
        <v>0</v>
      </c>
      <c r="T1111" s="16">
        <f t="shared" si="248"/>
        <v>500</v>
      </c>
      <c r="U1111" s="16" t="s">
        <v>1192</v>
      </c>
      <c r="V1111" s="19">
        <v>45813</v>
      </c>
      <c r="W1111" s="142" t="s">
        <v>1256</v>
      </c>
    </row>
    <row r="1112" spans="1:23" x14ac:dyDescent="0.3">
      <c r="A1112" s="1"/>
      <c r="B1112" s="1"/>
      <c r="C1112" s="1"/>
      <c r="D1112" s="1"/>
      <c r="E1112" s="16" t="s">
        <v>127</v>
      </c>
      <c r="F1112" s="16" t="s">
        <v>1143</v>
      </c>
      <c r="G1112" s="16">
        <v>10</v>
      </c>
      <c r="H1112" s="16" t="s">
        <v>28</v>
      </c>
      <c r="I1112" s="16">
        <v>39</v>
      </c>
      <c r="J1112" s="16">
        <f t="shared" si="242"/>
        <v>390</v>
      </c>
      <c r="K1112" s="16"/>
      <c r="L1112" s="16"/>
      <c r="M1112" s="16"/>
      <c r="N1112" s="16"/>
      <c r="O1112" s="16">
        <v>10</v>
      </c>
      <c r="P1112" s="16">
        <v>39</v>
      </c>
      <c r="Q1112" s="16">
        <f t="shared" si="246"/>
        <v>390</v>
      </c>
      <c r="R1112" s="18">
        <v>0</v>
      </c>
      <c r="S1112" s="16">
        <f t="shared" si="247"/>
        <v>0</v>
      </c>
      <c r="T1112" s="16">
        <f t="shared" si="248"/>
        <v>390</v>
      </c>
      <c r="U1112" s="16" t="s">
        <v>1192</v>
      </c>
      <c r="V1112" s="19">
        <v>45813</v>
      </c>
      <c r="W1112" s="142" t="s">
        <v>1256</v>
      </c>
    </row>
    <row r="1113" spans="1:23" x14ac:dyDescent="0.3">
      <c r="A1113" s="1"/>
      <c r="B1113" s="1"/>
      <c r="C1113" s="1"/>
      <c r="D1113" s="1"/>
      <c r="E1113" s="16" t="s">
        <v>127</v>
      </c>
      <c r="F1113" s="16" t="s">
        <v>1144</v>
      </c>
      <c r="G1113" s="16">
        <v>10</v>
      </c>
      <c r="H1113" s="16" t="s">
        <v>28</v>
      </c>
      <c r="I1113" s="16">
        <v>33</v>
      </c>
      <c r="J1113" s="16">
        <f t="shared" si="242"/>
        <v>330</v>
      </c>
      <c r="K1113" s="16"/>
      <c r="L1113" s="16"/>
      <c r="M1113" s="16"/>
      <c r="N1113" s="16"/>
      <c r="O1113" s="16">
        <v>10</v>
      </c>
      <c r="P1113" s="16">
        <v>33</v>
      </c>
      <c r="Q1113" s="16">
        <f t="shared" si="246"/>
        <v>330</v>
      </c>
      <c r="R1113" s="18">
        <v>0</v>
      </c>
      <c r="S1113" s="16">
        <f t="shared" si="247"/>
        <v>0</v>
      </c>
      <c r="T1113" s="16">
        <f t="shared" si="248"/>
        <v>330</v>
      </c>
      <c r="U1113" s="16" t="s">
        <v>1192</v>
      </c>
      <c r="V1113" s="19">
        <v>45813</v>
      </c>
      <c r="W1113" s="142" t="s">
        <v>1256</v>
      </c>
    </row>
    <row r="1114" spans="1:23" x14ac:dyDescent="0.3">
      <c r="A1114" s="1"/>
      <c r="B1114" s="1"/>
      <c r="C1114" s="1"/>
      <c r="D1114" s="1"/>
      <c r="E1114" s="16" t="s">
        <v>127</v>
      </c>
      <c r="F1114" s="39" t="s">
        <v>1145</v>
      </c>
      <c r="G1114" s="16">
        <v>8</v>
      </c>
      <c r="H1114" s="16" t="s">
        <v>28</v>
      </c>
      <c r="I1114" s="16">
        <v>578</v>
      </c>
      <c r="J1114" s="16">
        <f t="shared" si="242"/>
        <v>4624</v>
      </c>
      <c r="K1114" s="16"/>
      <c r="L1114" s="16"/>
      <c r="M1114" s="16"/>
      <c r="N1114" s="16"/>
      <c r="O1114" s="16">
        <v>8</v>
      </c>
      <c r="P1114" s="16">
        <v>578</v>
      </c>
      <c r="Q1114" s="16">
        <f t="shared" si="246"/>
        <v>4624</v>
      </c>
      <c r="R1114" s="18">
        <v>0</v>
      </c>
      <c r="S1114" s="16">
        <f t="shared" si="247"/>
        <v>0</v>
      </c>
      <c r="T1114" s="16">
        <f t="shared" si="248"/>
        <v>4624</v>
      </c>
      <c r="U1114" s="16" t="s">
        <v>1192</v>
      </c>
      <c r="V1114" s="19">
        <v>45813</v>
      </c>
      <c r="W1114" s="142" t="s">
        <v>1256</v>
      </c>
    </row>
    <row r="1115" spans="1:23" x14ac:dyDescent="0.3">
      <c r="A1115" s="1"/>
      <c r="B1115" s="1"/>
      <c r="C1115" s="1"/>
      <c r="D1115" s="1"/>
      <c r="E1115" s="16" t="s">
        <v>127</v>
      </c>
      <c r="F1115" s="16" t="s">
        <v>1146</v>
      </c>
      <c r="G1115" s="16">
        <v>10</v>
      </c>
      <c r="H1115" s="16" t="s">
        <v>28</v>
      </c>
      <c r="I1115" s="16">
        <v>28</v>
      </c>
      <c r="J1115" s="16">
        <f t="shared" si="242"/>
        <v>280</v>
      </c>
      <c r="K1115" s="16"/>
      <c r="L1115" s="16"/>
      <c r="M1115" s="16"/>
      <c r="N1115" s="16"/>
      <c r="O1115" s="16">
        <v>10</v>
      </c>
      <c r="P1115" s="16">
        <v>28</v>
      </c>
      <c r="Q1115" s="16">
        <f t="shared" si="246"/>
        <v>280</v>
      </c>
      <c r="R1115" s="18">
        <v>0</v>
      </c>
      <c r="S1115" s="16">
        <f t="shared" si="247"/>
        <v>0</v>
      </c>
      <c r="T1115" s="16">
        <f t="shared" si="248"/>
        <v>280</v>
      </c>
      <c r="U1115" s="16" t="s">
        <v>1192</v>
      </c>
      <c r="V1115" s="19">
        <v>45813</v>
      </c>
      <c r="W1115" s="142" t="s">
        <v>1256</v>
      </c>
    </row>
    <row r="1116" spans="1:23" x14ac:dyDescent="0.3">
      <c r="A1116" s="1"/>
      <c r="B1116" s="1"/>
      <c r="C1116" s="1"/>
      <c r="D1116" s="1"/>
      <c r="E1116" s="16" t="s">
        <v>127</v>
      </c>
      <c r="F1116" s="16" t="s">
        <v>1147</v>
      </c>
      <c r="G1116" s="16">
        <v>10</v>
      </c>
      <c r="H1116" s="16" t="s">
        <v>28</v>
      </c>
      <c r="I1116" s="16">
        <v>39</v>
      </c>
      <c r="J1116" s="16">
        <f t="shared" si="242"/>
        <v>390</v>
      </c>
      <c r="K1116" s="16"/>
      <c r="L1116" s="16"/>
      <c r="M1116" s="16"/>
      <c r="N1116" s="16"/>
      <c r="O1116" s="16">
        <v>10</v>
      </c>
      <c r="P1116" s="16">
        <v>39</v>
      </c>
      <c r="Q1116" s="16">
        <f t="shared" si="246"/>
        <v>390</v>
      </c>
      <c r="R1116" s="18">
        <v>0</v>
      </c>
      <c r="S1116" s="16">
        <f t="shared" si="247"/>
        <v>0</v>
      </c>
      <c r="T1116" s="16">
        <f t="shared" si="248"/>
        <v>390</v>
      </c>
      <c r="U1116" s="16" t="s">
        <v>1192</v>
      </c>
      <c r="V1116" s="19">
        <v>45813</v>
      </c>
      <c r="W1116" s="142" t="s">
        <v>1256</v>
      </c>
    </row>
    <row r="1117" spans="1:23" x14ac:dyDescent="0.3">
      <c r="A1117" s="1"/>
      <c r="B1117" s="1"/>
      <c r="C1117" s="1"/>
      <c r="D1117" s="1"/>
      <c r="E1117" s="16" t="s">
        <v>127</v>
      </c>
      <c r="F1117" s="16" t="s">
        <v>1148</v>
      </c>
      <c r="G1117" s="16">
        <v>10</v>
      </c>
      <c r="H1117" s="16" t="s">
        <v>28</v>
      </c>
      <c r="I1117" s="16">
        <v>199</v>
      </c>
      <c r="J1117" s="16">
        <f t="shared" si="242"/>
        <v>1990</v>
      </c>
      <c r="K1117" s="16"/>
      <c r="L1117" s="16"/>
      <c r="M1117" s="16"/>
      <c r="N1117" s="16"/>
      <c r="O1117" s="16">
        <v>10</v>
      </c>
      <c r="P1117" s="16">
        <v>199</v>
      </c>
      <c r="Q1117" s="16">
        <f t="shared" si="246"/>
        <v>1990</v>
      </c>
      <c r="R1117" s="18">
        <v>0</v>
      </c>
      <c r="S1117" s="16">
        <f t="shared" si="247"/>
        <v>0</v>
      </c>
      <c r="T1117" s="16">
        <f t="shared" si="248"/>
        <v>1990</v>
      </c>
      <c r="U1117" s="16" t="s">
        <v>1192</v>
      </c>
      <c r="V1117" s="19">
        <v>45813</v>
      </c>
      <c r="W1117" s="142" t="s">
        <v>1256</v>
      </c>
    </row>
    <row r="1118" spans="1:23" x14ac:dyDescent="0.3">
      <c r="A1118" s="1"/>
      <c r="B1118" s="1"/>
      <c r="C1118" s="1"/>
      <c r="D1118" s="1"/>
      <c r="E1118" s="16" t="s">
        <v>127</v>
      </c>
      <c r="F1118" s="16" t="s">
        <v>1149</v>
      </c>
      <c r="G1118" s="16">
        <v>8</v>
      </c>
      <c r="H1118" s="16" t="s">
        <v>28</v>
      </c>
      <c r="I1118" s="16">
        <v>189</v>
      </c>
      <c r="J1118" s="16">
        <f t="shared" si="242"/>
        <v>1512</v>
      </c>
      <c r="K1118" s="16"/>
      <c r="L1118" s="16"/>
      <c r="M1118" s="16"/>
      <c r="N1118" s="16"/>
      <c r="O1118" s="16">
        <v>8</v>
      </c>
      <c r="P1118" s="16">
        <v>189</v>
      </c>
      <c r="Q1118" s="16">
        <f t="shared" si="246"/>
        <v>1512</v>
      </c>
      <c r="R1118" s="18">
        <v>0</v>
      </c>
      <c r="S1118" s="16">
        <f t="shared" si="247"/>
        <v>0</v>
      </c>
      <c r="T1118" s="16">
        <f t="shared" si="248"/>
        <v>1512</v>
      </c>
      <c r="U1118" s="16" t="s">
        <v>1192</v>
      </c>
      <c r="V1118" s="19">
        <v>45813</v>
      </c>
      <c r="W1118" s="142" t="s">
        <v>1256</v>
      </c>
    </row>
    <row r="1119" spans="1:23" x14ac:dyDescent="0.3">
      <c r="A1119" s="1"/>
      <c r="B1119" s="1"/>
      <c r="C1119" s="1"/>
      <c r="D1119" s="1"/>
      <c r="E1119" s="16" t="s">
        <v>127</v>
      </c>
      <c r="F1119" s="16" t="s">
        <v>1150</v>
      </c>
      <c r="G1119" s="16">
        <v>2</v>
      </c>
      <c r="H1119" s="16" t="s">
        <v>28</v>
      </c>
      <c r="I1119" s="16">
        <v>2520</v>
      </c>
      <c r="J1119" s="16">
        <f t="shared" si="242"/>
        <v>5040</v>
      </c>
      <c r="K1119" s="16"/>
      <c r="L1119" s="16"/>
      <c r="M1119" s="16"/>
      <c r="N1119" s="16"/>
      <c r="O1119" s="16">
        <v>2</v>
      </c>
      <c r="P1119" s="16">
        <v>2520</v>
      </c>
      <c r="Q1119" s="16">
        <f t="shared" si="246"/>
        <v>5040</v>
      </c>
      <c r="R1119" s="18">
        <v>0</v>
      </c>
      <c r="S1119" s="16">
        <f t="shared" si="247"/>
        <v>0</v>
      </c>
      <c r="T1119" s="16">
        <f t="shared" si="248"/>
        <v>5040</v>
      </c>
      <c r="U1119" s="16" t="s">
        <v>1192</v>
      </c>
      <c r="V1119" s="19">
        <v>45813</v>
      </c>
      <c r="W1119" s="142" t="s">
        <v>1256</v>
      </c>
    </row>
    <row r="1120" spans="1:23" x14ac:dyDescent="0.3">
      <c r="A1120" s="1"/>
      <c r="B1120" s="1"/>
      <c r="C1120" s="1"/>
      <c r="D1120" s="1"/>
      <c r="E1120" s="16" t="s">
        <v>127</v>
      </c>
      <c r="F1120" s="16" t="s">
        <v>1151</v>
      </c>
      <c r="G1120" s="16">
        <v>2</v>
      </c>
      <c r="H1120" s="16" t="s">
        <v>28</v>
      </c>
      <c r="I1120" s="16">
        <v>683</v>
      </c>
      <c r="J1120" s="16">
        <f t="shared" si="242"/>
        <v>1366</v>
      </c>
      <c r="K1120" s="16"/>
      <c r="L1120" s="16"/>
      <c r="M1120" s="16"/>
      <c r="N1120" s="16"/>
      <c r="O1120" s="16">
        <v>2</v>
      </c>
      <c r="P1120" s="16">
        <v>683</v>
      </c>
      <c r="Q1120" s="16">
        <f t="shared" si="246"/>
        <v>1366</v>
      </c>
      <c r="R1120" s="18">
        <v>0</v>
      </c>
      <c r="S1120" s="16">
        <f t="shared" si="247"/>
        <v>0</v>
      </c>
      <c r="T1120" s="16">
        <f t="shared" si="248"/>
        <v>1366</v>
      </c>
      <c r="U1120" s="16" t="s">
        <v>1192</v>
      </c>
      <c r="V1120" s="19">
        <v>45813</v>
      </c>
      <c r="W1120" s="142" t="s">
        <v>1256</v>
      </c>
    </row>
    <row r="1121" spans="1:23" x14ac:dyDescent="0.3">
      <c r="A1121" s="1"/>
      <c r="B1121" s="1"/>
      <c r="C1121" s="1"/>
      <c r="D1121" s="1"/>
      <c r="E1121" s="16" t="s">
        <v>127</v>
      </c>
      <c r="F1121" s="16" t="s">
        <v>1152</v>
      </c>
      <c r="G1121" s="16">
        <v>1</v>
      </c>
      <c r="H1121" s="16" t="s">
        <v>28</v>
      </c>
      <c r="I1121" s="16">
        <v>2560</v>
      </c>
      <c r="J1121" s="16">
        <f t="shared" si="242"/>
        <v>2560</v>
      </c>
      <c r="K1121" s="16"/>
      <c r="L1121" s="16"/>
      <c r="M1121" s="16"/>
      <c r="N1121" s="16"/>
      <c r="O1121" s="16">
        <v>1</v>
      </c>
      <c r="P1121" s="16">
        <v>2560</v>
      </c>
      <c r="Q1121" s="16">
        <f t="shared" si="246"/>
        <v>2560</v>
      </c>
      <c r="R1121" s="18">
        <v>0</v>
      </c>
      <c r="S1121" s="16">
        <f t="shared" si="247"/>
        <v>0</v>
      </c>
      <c r="T1121" s="16">
        <f t="shared" si="248"/>
        <v>2560</v>
      </c>
      <c r="U1121" s="16" t="s">
        <v>1192</v>
      </c>
      <c r="V1121" s="19">
        <v>45813</v>
      </c>
      <c r="W1121" s="142" t="s">
        <v>1256</v>
      </c>
    </row>
    <row r="1122" spans="1:23" x14ac:dyDescent="0.3">
      <c r="A1122" s="1"/>
      <c r="B1122" s="1"/>
      <c r="C1122" s="1"/>
      <c r="D1122" s="1"/>
      <c r="E1122" s="1"/>
      <c r="F1122" s="124" t="s">
        <v>39</v>
      </c>
      <c r="G1122" s="1"/>
      <c r="H1122" s="1"/>
      <c r="I1122" s="1"/>
      <c r="J1122" s="124">
        <f>SUM(J1092:J1121)</f>
        <v>464000</v>
      </c>
      <c r="K1122" s="1"/>
      <c r="L1122" s="1"/>
      <c r="M1122" s="1"/>
      <c r="N1122" s="1"/>
      <c r="O1122" s="1"/>
      <c r="P1122" s="1"/>
      <c r="Q1122" s="1"/>
      <c r="R1122" s="1"/>
      <c r="S1122" s="1"/>
      <c r="T1122" s="1"/>
      <c r="U1122" s="1"/>
      <c r="V1122" s="1"/>
      <c r="W1122" s="142"/>
    </row>
    <row r="1123" spans="1:23" x14ac:dyDescent="0.3">
      <c r="A1123" s="1"/>
      <c r="B1123" s="1"/>
      <c r="C1123" s="1"/>
      <c r="D1123" s="1"/>
      <c r="E1123" s="1"/>
      <c r="F1123" s="124" t="s">
        <v>599</v>
      </c>
      <c r="G1123" s="1"/>
      <c r="H1123" s="1"/>
      <c r="I1123" s="1"/>
      <c r="J1123" s="124">
        <f>J1122*0/100</f>
        <v>0</v>
      </c>
      <c r="K1123" s="1"/>
      <c r="L1123" s="1"/>
      <c r="M1123" s="1"/>
      <c r="N1123" s="1"/>
      <c r="O1123" s="1"/>
      <c r="P1123" s="1"/>
      <c r="Q1123" s="1"/>
      <c r="R1123" s="1"/>
      <c r="S1123" s="1"/>
      <c r="T1123" s="1"/>
      <c r="U1123" s="1"/>
      <c r="V1123" s="1"/>
      <c r="W1123" s="142"/>
    </row>
    <row r="1124" spans="1:23" x14ac:dyDescent="0.3">
      <c r="A1124" s="1"/>
      <c r="B1124" s="1"/>
      <c r="C1124" s="1"/>
      <c r="D1124" s="1"/>
      <c r="E1124" s="1"/>
      <c r="F1124" s="124" t="s">
        <v>41</v>
      </c>
      <c r="G1124" s="1"/>
      <c r="H1124" s="1"/>
      <c r="I1124" s="1"/>
      <c r="J1124" s="124">
        <f>SUM(J1122:J1123)</f>
        <v>464000</v>
      </c>
      <c r="K1124" s="1"/>
      <c r="L1124" s="1"/>
      <c r="M1124" s="1"/>
      <c r="N1124" s="1"/>
      <c r="O1124" s="1"/>
      <c r="P1124" s="1"/>
      <c r="Q1124" s="1">
        <f>SUM(Q1092:Q1123)</f>
        <v>464000</v>
      </c>
      <c r="R1124" s="1"/>
      <c r="S1124" s="1"/>
      <c r="T1124" s="1">
        <f>SUM(T1092:T1123)</f>
        <v>464000</v>
      </c>
      <c r="U1124" s="1"/>
      <c r="V1124" s="1"/>
      <c r="W1124" s="142"/>
    </row>
    <row r="1125" spans="1:23" x14ac:dyDescent="0.3">
      <c r="A1125" s="1"/>
      <c r="B1125" s="1"/>
      <c r="C1125" s="1"/>
      <c r="D1125" s="1"/>
      <c r="E1125" s="1"/>
      <c r="F1125" s="124"/>
      <c r="G1125" s="1"/>
      <c r="H1125" s="1"/>
      <c r="I1125" s="1"/>
      <c r="J1125" s="124"/>
      <c r="K1125" s="1"/>
      <c r="L1125" s="1"/>
      <c r="M1125" s="1"/>
      <c r="N1125" s="1"/>
      <c r="O1125" s="1"/>
      <c r="P1125" s="1"/>
      <c r="Q1125" s="1"/>
      <c r="R1125" s="1"/>
      <c r="S1125" s="1"/>
      <c r="T1125" s="1"/>
      <c r="U1125" s="1"/>
      <c r="V1125" s="1"/>
      <c r="W1125" s="142"/>
    </row>
    <row r="1126" spans="1:23" x14ac:dyDescent="0.3">
      <c r="A1126" s="16">
        <v>94</v>
      </c>
      <c r="B1126" s="16">
        <v>8100018338</v>
      </c>
      <c r="C1126" s="19">
        <v>45782</v>
      </c>
      <c r="D1126" s="16" t="s">
        <v>43</v>
      </c>
      <c r="E1126" s="16" t="s">
        <v>127</v>
      </c>
      <c r="F1126" s="16" t="s">
        <v>1157</v>
      </c>
      <c r="G1126" s="16">
        <v>1</v>
      </c>
      <c r="H1126" s="16" t="s">
        <v>28</v>
      </c>
      <c r="I1126" s="16">
        <v>3800</v>
      </c>
      <c r="J1126" s="16">
        <f>G1126*I1126</f>
        <v>3800</v>
      </c>
      <c r="K1126" s="16">
        <v>1</v>
      </c>
      <c r="L1126" s="16" t="s">
        <v>28</v>
      </c>
      <c r="M1126" s="16" t="s">
        <v>91</v>
      </c>
      <c r="N1126" s="16" t="s">
        <v>1172</v>
      </c>
      <c r="O1126" s="16">
        <v>1</v>
      </c>
      <c r="P1126" s="16">
        <v>3800</v>
      </c>
      <c r="Q1126" s="16">
        <f>O1126*P1126</f>
        <v>3800</v>
      </c>
      <c r="R1126" s="18">
        <v>0</v>
      </c>
      <c r="S1126" s="16">
        <f>Q1126*R1126</f>
        <v>0</v>
      </c>
      <c r="T1126" s="16">
        <f>Q1126+S1126</f>
        <v>3800</v>
      </c>
      <c r="U1126" s="16" t="s">
        <v>1451</v>
      </c>
      <c r="V1126" s="19">
        <v>45998</v>
      </c>
      <c r="W1126" s="142" t="s">
        <v>1621</v>
      </c>
    </row>
    <row r="1127" spans="1:23" x14ac:dyDescent="0.3">
      <c r="A1127" s="1"/>
      <c r="B1127" s="81" t="s">
        <v>1181</v>
      </c>
      <c r="C1127" s="1"/>
      <c r="D1127" s="1"/>
      <c r="E1127" s="16" t="s">
        <v>127</v>
      </c>
      <c r="F1127" s="16" t="s">
        <v>1158</v>
      </c>
      <c r="G1127" s="16">
        <v>1</v>
      </c>
      <c r="H1127" s="16" t="s">
        <v>28</v>
      </c>
      <c r="I1127" s="16">
        <v>2660</v>
      </c>
      <c r="J1127" s="16">
        <f t="shared" ref="J1127:J1138" si="249">G1127*I1127</f>
        <v>2660</v>
      </c>
      <c r="K1127" s="16">
        <v>1</v>
      </c>
      <c r="L1127" s="16" t="s">
        <v>28</v>
      </c>
      <c r="M1127" s="16" t="s">
        <v>91</v>
      </c>
      <c r="N1127" s="16" t="s">
        <v>1172</v>
      </c>
      <c r="O1127" s="16">
        <v>1</v>
      </c>
      <c r="P1127" s="16">
        <v>2660</v>
      </c>
      <c r="Q1127" s="16">
        <f t="shared" ref="Q1127:Q1138" si="250">O1127*P1127</f>
        <v>2660</v>
      </c>
      <c r="R1127" s="18">
        <v>0</v>
      </c>
      <c r="S1127" s="16">
        <f t="shared" ref="S1127:S1138" si="251">Q1127*R1127</f>
        <v>0</v>
      </c>
      <c r="T1127" s="16">
        <f t="shared" ref="T1127:T1138" si="252">Q1127+S1127</f>
        <v>2660</v>
      </c>
      <c r="U1127" s="16" t="s">
        <v>1451</v>
      </c>
      <c r="V1127" s="19">
        <v>45998</v>
      </c>
      <c r="W1127" s="142" t="s">
        <v>1621</v>
      </c>
    </row>
    <row r="1128" spans="1:23" ht="25.2" x14ac:dyDescent="0.3">
      <c r="A1128" s="1"/>
      <c r="B1128" s="1"/>
      <c r="C1128" s="1"/>
      <c r="D1128" s="1"/>
      <c r="E1128" s="16" t="s">
        <v>123</v>
      </c>
      <c r="F1128" s="39" t="s">
        <v>1159</v>
      </c>
      <c r="G1128" s="16">
        <v>6</v>
      </c>
      <c r="H1128" s="16" t="s">
        <v>28</v>
      </c>
      <c r="I1128" s="16">
        <v>1885</v>
      </c>
      <c r="J1128" s="16">
        <f t="shared" si="249"/>
        <v>11310</v>
      </c>
      <c r="K1128" s="16">
        <v>3</v>
      </c>
      <c r="L1128" s="16" t="s">
        <v>28</v>
      </c>
      <c r="M1128" s="16" t="s">
        <v>91</v>
      </c>
      <c r="N1128" s="16" t="s">
        <v>1173</v>
      </c>
      <c r="O1128" s="16">
        <v>6</v>
      </c>
      <c r="P1128" s="16">
        <v>1885</v>
      </c>
      <c r="Q1128" s="16">
        <f t="shared" si="250"/>
        <v>11310</v>
      </c>
      <c r="R1128" s="18">
        <v>0</v>
      </c>
      <c r="S1128" s="16">
        <f t="shared" si="251"/>
        <v>0</v>
      </c>
      <c r="T1128" s="16">
        <f t="shared" si="252"/>
        <v>11310</v>
      </c>
      <c r="U1128" s="16" t="s">
        <v>1451</v>
      </c>
      <c r="V1128" s="19">
        <v>45998</v>
      </c>
      <c r="W1128" s="142" t="s">
        <v>1621</v>
      </c>
    </row>
    <row r="1129" spans="1:23" ht="25.2" x14ac:dyDescent="0.3">
      <c r="A1129" s="1"/>
      <c r="B1129" s="1"/>
      <c r="C1129" s="1"/>
      <c r="D1129" s="1"/>
      <c r="E1129" s="16" t="s">
        <v>123</v>
      </c>
      <c r="F1129" s="39" t="s">
        <v>1160</v>
      </c>
      <c r="G1129" s="16">
        <v>3</v>
      </c>
      <c r="H1129" s="16" t="s">
        <v>28</v>
      </c>
      <c r="I1129" s="16">
        <v>1405</v>
      </c>
      <c r="J1129" s="16">
        <f t="shared" si="249"/>
        <v>4215</v>
      </c>
      <c r="K1129" s="16">
        <v>1</v>
      </c>
      <c r="L1129" s="16" t="s">
        <v>28</v>
      </c>
      <c r="M1129" s="16" t="s">
        <v>91</v>
      </c>
      <c r="N1129" s="16" t="s">
        <v>1173</v>
      </c>
      <c r="O1129" s="16">
        <v>3</v>
      </c>
      <c r="P1129" s="16">
        <v>1405</v>
      </c>
      <c r="Q1129" s="16">
        <f t="shared" si="250"/>
        <v>4215</v>
      </c>
      <c r="R1129" s="18">
        <v>0</v>
      </c>
      <c r="S1129" s="16">
        <f t="shared" si="251"/>
        <v>0</v>
      </c>
      <c r="T1129" s="16">
        <f t="shared" si="252"/>
        <v>4215</v>
      </c>
      <c r="U1129" s="16" t="s">
        <v>1451</v>
      </c>
      <c r="V1129" s="19">
        <v>45998</v>
      </c>
      <c r="W1129" s="142" t="s">
        <v>1621</v>
      </c>
    </row>
    <row r="1130" spans="1:23" ht="25.2" x14ac:dyDescent="0.3">
      <c r="A1130" s="1"/>
      <c r="B1130" s="1"/>
      <c r="C1130" s="1"/>
      <c r="D1130" s="1"/>
      <c r="E1130" s="16" t="s">
        <v>123</v>
      </c>
      <c r="F1130" s="39" t="s">
        <v>1161</v>
      </c>
      <c r="G1130" s="16">
        <v>2</v>
      </c>
      <c r="H1130" s="16" t="s">
        <v>28</v>
      </c>
      <c r="I1130" s="16">
        <v>3325</v>
      </c>
      <c r="J1130" s="16">
        <f t="shared" si="249"/>
        <v>6650</v>
      </c>
      <c r="K1130" s="16">
        <v>1</v>
      </c>
      <c r="L1130" s="16" t="s">
        <v>28</v>
      </c>
      <c r="M1130" s="16" t="s">
        <v>91</v>
      </c>
      <c r="N1130" s="16" t="s">
        <v>1173</v>
      </c>
      <c r="O1130" s="16">
        <v>2</v>
      </c>
      <c r="P1130" s="16">
        <v>3325</v>
      </c>
      <c r="Q1130" s="16">
        <f t="shared" si="250"/>
        <v>6650</v>
      </c>
      <c r="R1130" s="18">
        <v>0</v>
      </c>
      <c r="S1130" s="16">
        <f t="shared" si="251"/>
        <v>0</v>
      </c>
      <c r="T1130" s="16">
        <f t="shared" si="252"/>
        <v>6650</v>
      </c>
      <c r="U1130" s="16" t="s">
        <v>1451</v>
      </c>
      <c r="V1130" s="19">
        <v>45998</v>
      </c>
      <c r="W1130" s="142" t="s">
        <v>1621</v>
      </c>
    </row>
    <row r="1131" spans="1:23" x14ac:dyDescent="0.3">
      <c r="A1131" s="1"/>
      <c r="B1131" s="1"/>
      <c r="C1131" s="1"/>
      <c r="D1131" s="1"/>
      <c r="E1131" s="16" t="s">
        <v>123</v>
      </c>
      <c r="F1131" s="16" t="s">
        <v>1162</v>
      </c>
      <c r="G1131" s="16">
        <v>4</v>
      </c>
      <c r="H1131" s="16" t="s">
        <v>28</v>
      </c>
      <c r="I1131" s="16">
        <v>1985</v>
      </c>
      <c r="J1131" s="16">
        <f t="shared" si="249"/>
        <v>7940</v>
      </c>
      <c r="K1131" s="16">
        <v>4</v>
      </c>
      <c r="L1131" s="16" t="s">
        <v>28</v>
      </c>
      <c r="M1131" s="16" t="s">
        <v>91</v>
      </c>
      <c r="N1131" s="16" t="s">
        <v>1173</v>
      </c>
      <c r="O1131" s="16">
        <v>4</v>
      </c>
      <c r="P1131" s="16">
        <v>1985</v>
      </c>
      <c r="Q1131" s="16">
        <f t="shared" si="250"/>
        <v>7940</v>
      </c>
      <c r="R1131" s="18">
        <v>0</v>
      </c>
      <c r="S1131" s="16">
        <f t="shared" si="251"/>
        <v>0</v>
      </c>
      <c r="T1131" s="16">
        <f t="shared" si="252"/>
        <v>7940</v>
      </c>
      <c r="U1131" s="16" t="s">
        <v>1451</v>
      </c>
      <c r="V1131" s="19">
        <v>45998</v>
      </c>
      <c r="W1131" s="142" t="s">
        <v>1621</v>
      </c>
    </row>
    <row r="1132" spans="1:23" x14ac:dyDescent="0.3">
      <c r="A1132" s="1"/>
      <c r="B1132" s="1"/>
      <c r="C1132" s="1"/>
      <c r="D1132" s="1"/>
      <c r="E1132" s="16" t="s">
        <v>123</v>
      </c>
      <c r="F1132" s="16" t="s">
        <v>1163</v>
      </c>
      <c r="G1132" s="16">
        <v>5</v>
      </c>
      <c r="H1132" s="16" t="s">
        <v>141</v>
      </c>
      <c r="I1132" s="16">
        <v>200</v>
      </c>
      <c r="J1132" s="16">
        <f t="shared" si="249"/>
        <v>1000</v>
      </c>
      <c r="K1132" s="16"/>
      <c r="L1132" s="16"/>
      <c r="M1132" s="16"/>
      <c r="N1132" s="16"/>
      <c r="O1132" s="16">
        <v>5</v>
      </c>
      <c r="P1132" s="16">
        <v>200</v>
      </c>
      <c r="Q1132" s="16">
        <f t="shared" si="250"/>
        <v>1000</v>
      </c>
      <c r="R1132" s="18">
        <v>0</v>
      </c>
      <c r="S1132" s="16">
        <f t="shared" si="251"/>
        <v>0</v>
      </c>
      <c r="T1132" s="16">
        <f t="shared" si="252"/>
        <v>1000</v>
      </c>
      <c r="U1132" s="16" t="s">
        <v>1451</v>
      </c>
      <c r="V1132" s="19">
        <v>45998</v>
      </c>
      <c r="W1132" s="142" t="s">
        <v>1621</v>
      </c>
    </row>
    <row r="1133" spans="1:23" x14ac:dyDescent="0.3">
      <c r="A1133" s="1"/>
      <c r="B1133" s="1"/>
      <c r="C1133" s="1"/>
      <c r="D1133" s="1"/>
      <c r="E1133" s="16" t="s">
        <v>123</v>
      </c>
      <c r="F1133" s="16" t="s">
        <v>1164</v>
      </c>
      <c r="G1133" s="16">
        <v>2</v>
      </c>
      <c r="H1133" s="16" t="s">
        <v>141</v>
      </c>
      <c r="I1133" s="16">
        <v>1615</v>
      </c>
      <c r="J1133" s="16">
        <f t="shared" si="249"/>
        <v>3230</v>
      </c>
      <c r="K1133" s="16">
        <v>2</v>
      </c>
      <c r="L1133" s="16" t="s">
        <v>28</v>
      </c>
      <c r="M1133" s="16" t="s">
        <v>91</v>
      </c>
      <c r="N1133" s="16" t="s">
        <v>1173</v>
      </c>
      <c r="O1133" s="16">
        <v>2</v>
      </c>
      <c r="P1133" s="16">
        <v>1615</v>
      </c>
      <c r="Q1133" s="16">
        <f t="shared" si="250"/>
        <v>3230</v>
      </c>
      <c r="R1133" s="18">
        <v>0</v>
      </c>
      <c r="S1133" s="16">
        <f t="shared" si="251"/>
        <v>0</v>
      </c>
      <c r="T1133" s="16">
        <f t="shared" si="252"/>
        <v>3230</v>
      </c>
      <c r="U1133" s="16" t="s">
        <v>1451</v>
      </c>
      <c r="V1133" s="19">
        <v>45998</v>
      </c>
      <c r="W1133" s="142" t="s">
        <v>1621</v>
      </c>
    </row>
    <row r="1134" spans="1:23" ht="25.2" x14ac:dyDescent="0.3">
      <c r="A1134" s="1"/>
      <c r="B1134" s="1"/>
      <c r="C1134" s="1"/>
      <c r="D1134" s="1"/>
      <c r="E1134" s="16" t="s">
        <v>123</v>
      </c>
      <c r="F1134" s="39" t="s">
        <v>1165</v>
      </c>
      <c r="G1134" s="16">
        <v>10</v>
      </c>
      <c r="H1134" s="16" t="s">
        <v>252</v>
      </c>
      <c r="I1134" s="16">
        <v>570</v>
      </c>
      <c r="J1134" s="16">
        <f t="shared" si="249"/>
        <v>5700</v>
      </c>
      <c r="K1134" s="157" t="s">
        <v>1397</v>
      </c>
      <c r="L1134" s="16"/>
      <c r="M1134" s="16" t="s">
        <v>91</v>
      </c>
      <c r="N1134" s="16" t="s">
        <v>1396</v>
      </c>
      <c r="O1134" s="16">
        <v>10</v>
      </c>
      <c r="P1134" s="16">
        <v>570</v>
      </c>
      <c r="Q1134" s="16">
        <f t="shared" si="250"/>
        <v>5700</v>
      </c>
      <c r="R1134" s="18">
        <v>0</v>
      </c>
      <c r="S1134" s="16">
        <f t="shared" si="251"/>
        <v>0</v>
      </c>
      <c r="T1134" s="16">
        <f t="shared" si="252"/>
        <v>5700</v>
      </c>
      <c r="U1134" s="16" t="s">
        <v>1451</v>
      </c>
      <c r="V1134" s="19">
        <v>45998</v>
      </c>
      <c r="W1134" s="142" t="s">
        <v>1621</v>
      </c>
    </row>
    <row r="1135" spans="1:23" ht="37.799999999999997" x14ac:dyDescent="0.3">
      <c r="A1135" s="1"/>
      <c r="B1135" s="1"/>
      <c r="C1135" s="1"/>
      <c r="D1135" s="1"/>
      <c r="E1135" s="16" t="s">
        <v>123</v>
      </c>
      <c r="F1135" s="39" t="s">
        <v>1166</v>
      </c>
      <c r="G1135" s="16">
        <v>1</v>
      </c>
      <c r="H1135" s="16" t="s">
        <v>87</v>
      </c>
      <c r="I1135" s="16">
        <v>16625</v>
      </c>
      <c r="J1135" s="16">
        <f t="shared" si="249"/>
        <v>16625</v>
      </c>
      <c r="K1135" s="16"/>
      <c r="L1135" s="16"/>
      <c r="M1135" s="16"/>
      <c r="N1135" s="16"/>
      <c r="O1135" s="16">
        <v>1</v>
      </c>
      <c r="P1135" s="16">
        <v>16625</v>
      </c>
      <c r="Q1135" s="16">
        <f t="shared" si="250"/>
        <v>16625</v>
      </c>
      <c r="R1135" s="18">
        <v>0</v>
      </c>
      <c r="S1135" s="16">
        <f t="shared" si="251"/>
        <v>0</v>
      </c>
      <c r="T1135" s="16">
        <f t="shared" si="252"/>
        <v>16625</v>
      </c>
      <c r="U1135" s="16" t="s">
        <v>1451</v>
      </c>
      <c r="V1135" s="19">
        <v>45998</v>
      </c>
      <c r="W1135" s="142" t="s">
        <v>1621</v>
      </c>
    </row>
    <row r="1136" spans="1:23" x14ac:dyDescent="0.3">
      <c r="A1136" s="1"/>
      <c r="B1136" s="1"/>
      <c r="C1136" s="1"/>
      <c r="D1136" s="1"/>
      <c r="E1136" s="16" t="s">
        <v>123</v>
      </c>
      <c r="F1136" s="16" t="s">
        <v>1167</v>
      </c>
      <c r="G1136" s="16">
        <v>1</v>
      </c>
      <c r="H1136" s="16" t="s">
        <v>87</v>
      </c>
      <c r="I1136" s="16">
        <v>9025</v>
      </c>
      <c r="J1136" s="16">
        <f t="shared" si="249"/>
        <v>9025</v>
      </c>
      <c r="K1136" s="16"/>
      <c r="L1136" s="16"/>
      <c r="M1136" s="16"/>
      <c r="N1136" s="16"/>
      <c r="O1136" s="16">
        <v>1</v>
      </c>
      <c r="P1136" s="16">
        <v>9025</v>
      </c>
      <c r="Q1136" s="16">
        <f t="shared" si="250"/>
        <v>9025</v>
      </c>
      <c r="R1136" s="18">
        <v>0</v>
      </c>
      <c r="S1136" s="16">
        <f t="shared" si="251"/>
        <v>0</v>
      </c>
      <c r="T1136" s="16">
        <f t="shared" si="252"/>
        <v>9025</v>
      </c>
      <c r="U1136" s="16" t="s">
        <v>1451</v>
      </c>
      <c r="V1136" s="19">
        <v>45998</v>
      </c>
      <c r="W1136" s="142" t="s">
        <v>1621</v>
      </c>
    </row>
    <row r="1137" spans="1:23" ht="37.799999999999997" x14ac:dyDescent="0.3">
      <c r="A1137" s="1"/>
      <c r="B1137" s="1"/>
      <c r="C1137" s="1"/>
      <c r="D1137" s="1"/>
      <c r="E1137" s="16" t="s">
        <v>123</v>
      </c>
      <c r="F1137" s="39" t="s">
        <v>1168</v>
      </c>
      <c r="G1137" s="16">
        <v>6</v>
      </c>
      <c r="H1137" s="16" t="s">
        <v>28</v>
      </c>
      <c r="I1137" s="16">
        <v>3750</v>
      </c>
      <c r="J1137" s="16">
        <f t="shared" si="249"/>
        <v>22500</v>
      </c>
      <c r="K1137" s="16">
        <v>6</v>
      </c>
      <c r="L1137" s="16" t="s">
        <v>28</v>
      </c>
      <c r="M1137" s="16" t="s">
        <v>91</v>
      </c>
      <c r="N1137" s="16" t="s">
        <v>1396</v>
      </c>
      <c r="O1137" s="16">
        <v>6</v>
      </c>
      <c r="P1137" s="16">
        <v>3750</v>
      </c>
      <c r="Q1137" s="16">
        <f t="shared" si="250"/>
        <v>22500</v>
      </c>
      <c r="R1137" s="18">
        <v>0</v>
      </c>
      <c r="S1137" s="16">
        <f t="shared" si="251"/>
        <v>0</v>
      </c>
      <c r="T1137" s="16">
        <f t="shared" si="252"/>
        <v>22500</v>
      </c>
      <c r="U1137" s="16" t="s">
        <v>1451</v>
      </c>
      <c r="V1137" s="19">
        <v>45998</v>
      </c>
      <c r="W1137" s="142" t="s">
        <v>1621</v>
      </c>
    </row>
    <row r="1138" spans="1:23" ht="37.799999999999997" x14ac:dyDescent="0.3">
      <c r="A1138" s="1"/>
      <c r="B1138" s="1"/>
      <c r="C1138" s="1"/>
      <c r="D1138" s="1"/>
      <c r="E1138" s="16" t="s">
        <v>123</v>
      </c>
      <c r="F1138" s="39" t="s">
        <v>1169</v>
      </c>
      <c r="G1138" s="16">
        <v>1</v>
      </c>
      <c r="H1138" s="16" t="s">
        <v>28</v>
      </c>
      <c r="I1138" s="16">
        <v>8500</v>
      </c>
      <c r="J1138" s="16">
        <f t="shared" si="249"/>
        <v>8500</v>
      </c>
      <c r="K1138" s="16"/>
      <c r="L1138" s="16"/>
      <c r="M1138" s="16"/>
      <c r="N1138" s="16"/>
      <c r="O1138" s="16">
        <v>1</v>
      </c>
      <c r="P1138" s="16">
        <v>8500</v>
      </c>
      <c r="Q1138" s="16">
        <f t="shared" si="250"/>
        <v>8500</v>
      </c>
      <c r="R1138" s="18">
        <v>0</v>
      </c>
      <c r="S1138" s="16">
        <f t="shared" si="251"/>
        <v>0</v>
      </c>
      <c r="T1138" s="16">
        <f t="shared" si="252"/>
        <v>8500</v>
      </c>
      <c r="U1138" s="16" t="s">
        <v>1451</v>
      </c>
      <c r="V1138" s="19">
        <v>45998</v>
      </c>
      <c r="W1138" s="142" t="s">
        <v>1621</v>
      </c>
    </row>
    <row r="1139" spans="1:23" x14ac:dyDescent="0.3">
      <c r="A1139" s="1"/>
      <c r="B1139" s="1"/>
      <c r="C1139" s="1"/>
      <c r="D1139" s="1"/>
      <c r="E1139" s="1"/>
      <c r="F1139" s="124" t="s">
        <v>39</v>
      </c>
      <c r="G1139" s="1"/>
      <c r="H1139" s="1"/>
      <c r="I1139" s="1"/>
      <c r="J1139" s="124">
        <f>SUM(J1126:J1138)</f>
        <v>103155</v>
      </c>
      <c r="K1139" s="1"/>
      <c r="L1139" s="1"/>
      <c r="M1139" s="1"/>
      <c r="N1139" s="1"/>
      <c r="O1139" s="1"/>
      <c r="P1139" s="1"/>
      <c r="Q1139" s="1"/>
      <c r="R1139" s="1"/>
      <c r="S1139" s="1"/>
      <c r="T1139" s="1"/>
      <c r="U1139" s="1"/>
      <c r="V1139" s="1"/>
      <c r="W1139" s="142"/>
    </row>
    <row r="1140" spans="1:23" x14ac:dyDescent="0.3">
      <c r="A1140" s="1"/>
      <c r="B1140" s="1"/>
      <c r="C1140" s="1"/>
      <c r="D1140" s="1"/>
      <c r="E1140" s="1"/>
      <c r="F1140" s="124" t="s">
        <v>599</v>
      </c>
      <c r="G1140" s="1"/>
      <c r="H1140" s="1"/>
      <c r="I1140" s="1"/>
      <c r="J1140" s="124">
        <f>J1139*0/100</f>
        <v>0</v>
      </c>
      <c r="K1140" s="1"/>
      <c r="L1140" s="1"/>
      <c r="M1140" s="1"/>
      <c r="N1140" s="1"/>
      <c r="O1140" s="1"/>
      <c r="P1140" s="1"/>
      <c r="Q1140" s="1"/>
      <c r="R1140" s="1"/>
      <c r="S1140" s="1"/>
      <c r="T1140" s="1"/>
      <c r="U1140" s="1"/>
      <c r="V1140" s="1"/>
      <c r="W1140" s="142"/>
    </row>
    <row r="1141" spans="1:23" x14ac:dyDescent="0.3">
      <c r="A1141" s="1"/>
      <c r="B1141" s="1"/>
      <c r="C1141" s="1"/>
      <c r="D1141" s="1"/>
      <c r="E1141" s="1"/>
      <c r="F1141" s="124" t="s">
        <v>41</v>
      </c>
      <c r="G1141" s="1"/>
      <c r="H1141" s="1"/>
      <c r="I1141" s="1"/>
      <c r="J1141" s="124">
        <f>SUM(J1139:J1140)</f>
        <v>103155</v>
      </c>
      <c r="K1141" s="1"/>
      <c r="L1141" s="1"/>
      <c r="M1141" s="1"/>
      <c r="N1141" s="1"/>
      <c r="O1141" s="1"/>
      <c r="P1141" s="1"/>
      <c r="Q1141" s="1"/>
      <c r="R1141" s="1"/>
      <c r="S1141" s="1"/>
      <c r="T1141" s="1">
        <f>SUM(T1126:T1140)</f>
        <v>103155</v>
      </c>
      <c r="U1141" s="1"/>
      <c r="V1141" s="1"/>
      <c r="W1141" s="142"/>
    </row>
    <row r="1142" spans="1:23" x14ac:dyDescent="0.3">
      <c r="A1142" s="1"/>
      <c r="B1142" s="1"/>
      <c r="C1142" s="1"/>
      <c r="D1142" s="1"/>
      <c r="E1142" s="1"/>
      <c r="F1142" s="124"/>
      <c r="G1142" s="1"/>
      <c r="H1142" s="1"/>
      <c r="I1142" s="1"/>
      <c r="J1142" s="124"/>
      <c r="K1142" s="1"/>
      <c r="L1142" s="1"/>
      <c r="M1142" s="1"/>
      <c r="N1142" s="1"/>
      <c r="O1142" s="1"/>
      <c r="P1142" s="1"/>
      <c r="Q1142" s="1"/>
      <c r="R1142" s="1"/>
      <c r="S1142" s="1"/>
      <c r="T1142" s="1"/>
      <c r="U1142" s="1"/>
      <c r="V1142" s="1"/>
      <c r="W1142" s="142"/>
    </row>
    <row r="1143" spans="1:23" ht="25.2" x14ac:dyDescent="0.3">
      <c r="A1143" s="16">
        <v>95</v>
      </c>
      <c r="B1143" s="16">
        <v>9200138408</v>
      </c>
      <c r="C1143" s="19">
        <v>45782</v>
      </c>
      <c r="D1143" s="108" t="s">
        <v>1175</v>
      </c>
      <c r="E1143" s="16" t="s">
        <v>123</v>
      </c>
      <c r="F1143" s="39" t="s">
        <v>1176</v>
      </c>
      <c r="G1143" s="16">
        <v>2</v>
      </c>
      <c r="H1143" s="16" t="s">
        <v>28</v>
      </c>
      <c r="I1143" s="16">
        <v>4811.63</v>
      </c>
      <c r="J1143" s="16">
        <f>G1143*I1143</f>
        <v>9623.26</v>
      </c>
      <c r="K1143" s="16">
        <v>40</v>
      </c>
      <c r="L1143" s="16" t="s">
        <v>60</v>
      </c>
      <c r="M1143" s="16" t="s">
        <v>91</v>
      </c>
      <c r="N1143" s="16" t="s">
        <v>1197</v>
      </c>
      <c r="O1143" s="16">
        <v>2</v>
      </c>
      <c r="P1143" s="16">
        <v>4811.63</v>
      </c>
      <c r="Q1143" s="16">
        <f>O1143*P1143</f>
        <v>9623.26</v>
      </c>
      <c r="R1143" s="18">
        <v>0</v>
      </c>
      <c r="S1143" s="16">
        <f>Q1143*R1143</f>
        <v>0</v>
      </c>
      <c r="T1143" s="16">
        <f>Q1143+S1143</f>
        <v>9623.26</v>
      </c>
      <c r="U1143" s="16" t="s">
        <v>1383</v>
      </c>
      <c r="V1143" s="19" t="s">
        <v>1384</v>
      </c>
      <c r="W1143" s="142" t="s">
        <v>1765</v>
      </c>
    </row>
    <row r="1144" spans="1:23" ht="25.2" x14ac:dyDescent="0.3">
      <c r="A1144" s="1"/>
      <c r="B1144" s="1"/>
      <c r="C1144" s="1"/>
      <c r="D1144" s="1"/>
      <c r="E1144" s="16" t="s">
        <v>123</v>
      </c>
      <c r="F1144" s="39" t="s">
        <v>1177</v>
      </c>
      <c r="G1144" s="16">
        <v>14</v>
      </c>
      <c r="H1144" s="16" t="s">
        <v>28</v>
      </c>
      <c r="I1144" s="16">
        <v>4811.63</v>
      </c>
      <c r="J1144" s="16">
        <f t="shared" ref="J1144:J1147" si="253">G1144*I1144</f>
        <v>67362.820000000007</v>
      </c>
      <c r="K1144" s="16">
        <v>5</v>
      </c>
      <c r="L1144" s="16" t="s">
        <v>60</v>
      </c>
      <c r="M1144" s="16" t="s">
        <v>91</v>
      </c>
      <c r="N1144" s="16" t="s">
        <v>1197</v>
      </c>
      <c r="O1144" s="16">
        <v>14</v>
      </c>
      <c r="P1144" s="16">
        <v>4811.63</v>
      </c>
      <c r="Q1144" s="16">
        <f t="shared" ref="Q1144:Q1147" si="254">O1144*P1144</f>
        <v>67362.820000000007</v>
      </c>
      <c r="R1144" s="18">
        <v>0</v>
      </c>
      <c r="S1144" s="16">
        <f t="shared" ref="S1144:S1147" si="255">Q1144*R1144</f>
        <v>0</v>
      </c>
      <c r="T1144" s="16">
        <f t="shared" ref="T1144:T1147" si="256">Q1144+S1144</f>
        <v>67362.820000000007</v>
      </c>
      <c r="U1144" s="16" t="s">
        <v>1383</v>
      </c>
      <c r="V1144" s="19" t="s">
        <v>1384</v>
      </c>
      <c r="W1144" s="142" t="s">
        <v>1765</v>
      </c>
    </row>
    <row r="1145" spans="1:23" ht="25.2" x14ac:dyDescent="0.3">
      <c r="A1145" s="1"/>
      <c r="B1145" s="1"/>
      <c r="C1145" s="1"/>
      <c r="D1145" s="1"/>
      <c r="E1145" s="16" t="s">
        <v>123</v>
      </c>
      <c r="F1145" s="39" t="s">
        <v>1178</v>
      </c>
      <c r="G1145" s="16">
        <v>3</v>
      </c>
      <c r="H1145" s="16" t="s">
        <v>28</v>
      </c>
      <c r="I1145" s="16">
        <v>4811.63</v>
      </c>
      <c r="J1145" s="16">
        <f t="shared" si="253"/>
        <v>14434.89</v>
      </c>
      <c r="K1145" s="16"/>
      <c r="L1145" s="16"/>
      <c r="M1145" s="16"/>
      <c r="N1145" s="16"/>
      <c r="O1145" s="16">
        <v>3</v>
      </c>
      <c r="P1145" s="16">
        <v>4811.63</v>
      </c>
      <c r="Q1145" s="16">
        <f t="shared" si="254"/>
        <v>14434.89</v>
      </c>
      <c r="R1145" s="18">
        <v>0</v>
      </c>
      <c r="S1145" s="16">
        <f t="shared" si="255"/>
        <v>0</v>
      </c>
      <c r="T1145" s="16">
        <f t="shared" si="256"/>
        <v>14434.89</v>
      </c>
      <c r="U1145" s="16" t="s">
        <v>1383</v>
      </c>
      <c r="V1145" s="19" t="s">
        <v>1384</v>
      </c>
      <c r="W1145" s="142" t="s">
        <v>1765</v>
      </c>
    </row>
    <row r="1146" spans="1:23" ht="28.2" customHeight="1" x14ac:dyDescent="0.3">
      <c r="A1146" s="1"/>
      <c r="B1146" s="1"/>
      <c r="C1146" s="1"/>
      <c r="D1146" s="1"/>
      <c r="E1146" s="16" t="s">
        <v>123</v>
      </c>
      <c r="F1146" s="141" t="s">
        <v>1179</v>
      </c>
      <c r="G1146" s="16">
        <v>2</v>
      </c>
      <c r="H1146" s="16" t="s">
        <v>28</v>
      </c>
      <c r="I1146" s="16">
        <v>4811.63</v>
      </c>
      <c r="J1146" s="16">
        <f t="shared" si="253"/>
        <v>9623.26</v>
      </c>
      <c r="K1146" s="16"/>
      <c r="L1146" s="16"/>
      <c r="M1146" s="16"/>
      <c r="N1146" s="16"/>
      <c r="O1146" s="16">
        <v>2</v>
      </c>
      <c r="P1146" s="16">
        <v>4811.63</v>
      </c>
      <c r="Q1146" s="16">
        <f t="shared" si="254"/>
        <v>9623.26</v>
      </c>
      <c r="R1146" s="18">
        <v>0</v>
      </c>
      <c r="S1146" s="16">
        <f t="shared" si="255"/>
        <v>0</v>
      </c>
      <c r="T1146" s="16">
        <f t="shared" si="256"/>
        <v>9623.26</v>
      </c>
      <c r="U1146" s="16" t="s">
        <v>1383</v>
      </c>
      <c r="V1146" s="19" t="s">
        <v>1384</v>
      </c>
      <c r="W1146" s="142" t="s">
        <v>1765</v>
      </c>
    </row>
    <row r="1147" spans="1:23" ht="25.2" x14ac:dyDescent="0.3">
      <c r="A1147" s="1"/>
      <c r="B1147" s="1"/>
      <c r="C1147" s="1"/>
      <c r="D1147" s="1"/>
      <c r="E1147" s="16" t="s">
        <v>123</v>
      </c>
      <c r="F1147" s="39" t="s">
        <v>1180</v>
      </c>
      <c r="G1147" s="16">
        <v>1</v>
      </c>
      <c r="H1147" s="16" t="s">
        <v>28</v>
      </c>
      <c r="I1147" s="16">
        <v>13412.4</v>
      </c>
      <c r="J1147" s="16">
        <f t="shared" si="253"/>
        <v>13412.4</v>
      </c>
      <c r="K1147" s="16"/>
      <c r="L1147" s="16"/>
      <c r="M1147" s="16"/>
      <c r="N1147" s="16"/>
      <c r="O1147" s="16">
        <v>1</v>
      </c>
      <c r="P1147" s="16">
        <v>13412.4</v>
      </c>
      <c r="Q1147" s="16">
        <f t="shared" si="254"/>
        <v>13412.4</v>
      </c>
      <c r="R1147" s="18">
        <v>0</v>
      </c>
      <c r="S1147" s="16">
        <f t="shared" si="255"/>
        <v>0</v>
      </c>
      <c r="T1147" s="16">
        <f t="shared" si="256"/>
        <v>13412.4</v>
      </c>
      <c r="U1147" s="16" t="s">
        <v>1383</v>
      </c>
      <c r="V1147" s="19" t="s">
        <v>1384</v>
      </c>
      <c r="W1147" s="142" t="s">
        <v>1765</v>
      </c>
    </row>
    <row r="1148" spans="1:23" x14ac:dyDescent="0.3">
      <c r="A1148" s="1"/>
      <c r="B1148" s="1"/>
      <c r="C1148" s="1"/>
      <c r="D1148" s="1"/>
      <c r="E1148" s="1"/>
      <c r="F1148" s="124" t="s">
        <v>39</v>
      </c>
      <c r="G1148" s="1"/>
      <c r="H1148" s="1"/>
      <c r="I1148" s="1"/>
      <c r="J1148" s="124">
        <f>SUM(J1143:J1147)</f>
        <v>114456.62999999999</v>
      </c>
      <c r="K1148" s="1"/>
      <c r="L1148" s="1"/>
      <c r="M1148" s="1"/>
      <c r="N1148" s="1"/>
      <c r="O1148" s="1"/>
      <c r="P1148" s="1"/>
      <c r="Q1148" s="1"/>
      <c r="R1148" s="1"/>
      <c r="S1148" s="1"/>
      <c r="T1148" s="1"/>
      <c r="U1148" s="1"/>
      <c r="V1148" s="1"/>
      <c r="W1148" s="142"/>
    </row>
    <row r="1149" spans="1:23" x14ac:dyDescent="0.3">
      <c r="A1149" s="1"/>
      <c r="B1149" s="1"/>
      <c r="C1149" s="1"/>
      <c r="D1149" s="1"/>
      <c r="E1149" s="1"/>
      <c r="F1149" s="124" t="s">
        <v>599</v>
      </c>
      <c r="G1149" s="1"/>
      <c r="H1149" s="1"/>
      <c r="I1149" s="1"/>
      <c r="J1149" s="124">
        <f>J1148*0/100</f>
        <v>0</v>
      </c>
      <c r="K1149" s="1"/>
      <c r="L1149" s="1"/>
      <c r="M1149" s="1"/>
      <c r="N1149" s="1"/>
      <c r="O1149" s="1"/>
      <c r="P1149" s="1"/>
      <c r="Q1149" s="1"/>
      <c r="R1149" s="1"/>
      <c r="S1149" s="1"/>
      <c r="T1149" s="1"/>
      <c r="U1149" s="1"/>
      <c r="V1149" s="1"/>
      <c r="W1149" s="142"/>
    </row>
    <row r="1150" spans="1:23" x14ac:dyDescent="0.3">
      <c r="A1150" s="1"/>
      <c r="B1150" s="1"/>
      <c r="C1150" s="1"/>
      <c r="D1150" s="1"/>
      <c r="E1150" s="1"/>
      <c r="F1150" s="124" t="s">
        <v>41</v>
      </c>
      <c r="G1150" s="1"/>
      <c r="H1150" s="1"/>
      <c r="I1150" s="1"/>
      <c r="J1150" s="124">
        <f>SUM(J1148:J1149)</f>
        <v>114456.62999999999</v>
      </c>
      <c r="K1150" s="1"/>
      <c r="L1150" s="1"/>
      <c r="M1150" s="1"/>
      <c r="N1150" s="1"/>
      <c r="O1150" s="1"/>
      <c r="P1150" s="1"/>
      <c r="Q1150" s="1"/>
      <c r="R1150" s="1"/>
      <c r="S1150" s="1"/>
      <c r="T1150" s="1">
        <f>SUM(T1143:T1149)</f>
        <v>114456.62999999999</v>
      </c>
      <c r="U1150" s="1"/>
      <c r="V1150" s="1"/>
      <c r="W1150" s="142"/>
    </row>
    <row r="1151" spans="1:23" x14ac:dyDescent="0.3">
      <c r="A1151" s="1"/>
      <c r="B1151" s="1"/>
      <c r="C1151" s="1"/>
      <c r="D1151" s="1"/>
      <c r="E1151" s="1"/>
      <c r="F1151" s="124"/>
      <c r="G1151" s="1"/>
      <c r="H1151" s="1"/>
      <c r="I1151" s="1"/>
      <c r="J1151" s="124"/>
      <c r="K1151" s="1"/>
      <c r="L1151" s="1"/>
      <c r="M1151" s="1"/>
      <c r="N1151" s="1"/>
      <c r="O1151" s="1"/>
      <c r="P1151" s="1"/>
      <c r="Q1151" s="1"/>
      <c r="R1151" s="1"/>
      <c r="S1151" s="1"/>
      <c r="T1151" s="1"/>
      <c r="U1151" s="1"/>
      <c r="V1151" s="1"/>
      <c r="W1151" s="142"/>
    </row>
    <row r="1152" spans="1:23" ht="25.2" x14ac:dyDescent="0.3">
      <c r="A1152" s="16">
        <v>96</v>
      </c>
      <c r="B1152" s="16">
        <v>9200138631</v>
      </c>
      <c r="C1152" s="19">
        <v>45813</v>
      </c>
      <c r="D1152" s="16" t="s">
        <v>43</v>
      </c>
      <c r="E1152" s="16" t="s">
        <v>123</v>
      </c>
      <c r="F1152" s="39" t="s">
        <v>1183</v>
      </c>
      <c r="G1152" s="16">
        <v>1</v>
      </c>
      <c r="H1152" s="16" t="s">
        <v>28</v>
      </c>
      <c r="I1152" s="16">
        <v>45420</v>
      </c>
      <c r="J1152" s="16">
        <f>G1152*I1152</f>
        <v>45420</v>
      </c>
      <c r="K1152" s="16">
        <v>1</v>
      </c>
      <c r="L1152" s="16" t="s">
        <v>28</v>
      </c>
      <c r="M1152" s="16" t="s">
        <v>91</v>
      </c>
      <c r="N1152" s="16" t="s">
        <v>1258</v>
      </c>
      <c r="O1152" s="16">
        <v>1</v>
      </c>
      <c r="P1152" s="16">
        <v>45420</v>
      </c>
      <c r="Q1152" s="16">
        <f>O1152*P1152</f>
        <v>45420</v>
      </c>
      <c r="R1152" s="18">
        <v>0</v>
      </c>
      <c r="S1152" s="16">
        <f>Q1152*R1152</f>
        <v>0</v>
      </c>
      <c r="T1152" s="16">
        <f>Q1152+S1152</f>
        <v>45420</v>
      </c>
      <c r="U1152" s="16" t="s">
        <v>1452</v>
      </c>
      <c r="V1152" s="19">
        <v>45998</v>
      </c>
      <c r="W1152" s="142" t="s">
        <v>1626</v>
      </c>
    </row>
    <row r="1153" spans="1:23" ht="25.2" x14ac:dyDescent="0.3">
      <c r="A1153" s="1"/>
      <c r="B1153" s="1"/>
      <c r="C1153" s="1"/>
      <c r="D1153" s="1"/>
      <c r="E1153" s="16" t="s">
        <v>123</v>
      </c>
      <c r="F1153" s="39" t="s">
        <v>1184</v>
      </c>
      <c r="G1153" s="16">
        <v>4</v>
      </c>
      <c r="H1153" s="16" t="s">
        <v>28</v>
      </c>
      <c r="I1153" s="16">
        <v>26368</v>
      </c>
      <c r="J1153" s="16">
        <f t="shared" ref="J1153:J1165" si="257">G1153*I1153</f>
        <v>105472</v>
      </c>
      <c r="K1153" s="16">
        <v>4</v>
      </c>
      <c r="L1153" s="16" t="s">
        <v>28</v>
      </c>
      <c r="M1153" s="16" t="s">
        <v>91</v>
      </c>
      <c r="N1153" s="16" t="s">
        <v>1258</v>
      </c>
      <c r="O1153" s="16">
        <v>4</v>
      </c>
      <c r="P1153" s="16">
        <v>26368</v>
      </c>
      <c r="Q1153" s="16">
        <f t="shared" ref="Q1153:Q1159" si="258">O1153*P1153</f>
        <v>105472</v>
      </c>
      <c r="R1153" s="18">
        <v>0</v>
      </c>
      <c r="S1153" s="16">
        <f t="shared" ref="S1153:S1159" si="259">Q1153*R1153</f>
        <v>0</v>
      </c>
      <c r="T1153" s="16">
        <f t="shared" ref="T1153:T1159" si="260">Q1153+S1153</f>
        <v>105472</v>
      </c>
      <c r="U1153" s="16" t="s">
        <v>1452</v>
      </c>
      <c r="V1153" s="19">
        <v>45998</v>
      </c>
      <c r="W1153" s="142" t="s">
        <v>1626</v>
      </c>
    </row>
    <row r="1154" spans="1:23" ht="25.2" x14ac:dyDescent="0.3">
      <c r="A1154" s="1"/>
      <c r="B1154" s="1"/>
      <c r="C1154" s="1"/>
      <c r="D1154" s="1"/>
      <c r="E1154" s="16" t="s">
        <v>123</v>
      </c>
      <c r="F1154" s="39" t="s">
        <v>1185</v>
      </c>
      <c r="G1154" s="16">
        <v>1</v>
      </c>
      <c r="H1154" s="16" t="s">
        <v>28</v>
      </c>
      <c r="I1154" s="16">
        <v>22410</v>
      </c>
      <c r="J1154" s="16">
        <f t="shared" si="257"/>
        <v>22410</v>
      </c>
      <c r="K1154" s="16">
        <v>1</v>
      </c>
      <c r="L1154" s="16" t="s">
        <v>28</v>
      </c>
      <c r="M1154" s="16" t="s">
        <v>91</v>
      </c>
      <c r="N1154" s="16" t="s">
        <v>1258</v>
      </c>
      <c r="O1154" s="16">
        <v>1</v>
      </c>
      <c r="P1154" s="16">
        <v>22410</v>
      </c>
      <c r="Q1154" s="16">
        <f t="shared" si="258"/>
        <v>22410</v>
      </c>
      <c r="R1154" s="18">
        <v>0</v>
      </c>
      <c r="S1154" s="16">
        <f t="shared" si="259"/>
        <v>0</v>
      </c>
      <c r="T1154" s="16">
        <f t="shared" si="260"/>
        <v>22410</v>
      </c>
      <c r="U1154" s="16" t="s">
        <v>1452</v>
      </c>
      <c r="V1154" s="19">
        <v>45998</v>
      </c>
      <c r="W1154" s="142" t="s">
        <v>1626</v>
      </c>
    </row>
    <row r="1155" spans="1:23" x14ac:dyDescent="0.3">
      <c r="A1155" s="1"/>
      <c r="B1155" s="1"/>
      <c r="C1155" s="1"/>
      <c r="D1155" s="1"/>
      <c r="E1155" s="16" t="s">
        <v>123</v>
      </c>
      <c r="F1155" s="16" t="s">
        <v>1186</v>
      </c>
      <c r="G1155" s="16">
        <v>2</v>
      </c>
      <c r="H1155" s="16" t="s">
        <v>28</v>
      </c>
      <c r="I1155" s="16">
        <v>2760</v>
      </c>
      <c r="J1155" s="16">
        <f t="shared" si="257"/>
        <v>5520</v>
      </c>
      <c r="K1155" s="16">
        <v>2</v>
      </c>
      <c r="L1155" s="16" t="s">
        <v>28</v>
      </c>
      <c r="M1155" s="16" t="s">
        <v>91</v>
      </c>
      <c r="N1155" s="16" t="s">
        <v>1258</v>
      </c>
      <c r="O1155" s="16">
        <v>2</v>
      </c>
      <c r="P1155" s="16">
        <v>2760</v>
      </c>
      <c r="Q1155" s="16">
        <f t="shared" si="258"/>
        <v>5520</v>
      </c>
      <c r="R1155" s="18">
        <v>0</v>
      </c>
      <c r="S1155" s="16">
        <f t="shared" si="259"/>
        <v>0</v>
      </c>
      <c r="T1155" s="16">
        <f t="shared" si="260"/>
        <v>5520</v>
      </c>
      <c r="U1155" s="16" t="s">
        <v>1452</v>
      </c>
      <c r="V1155" s="19">
        <v>45998</v>
      </c>
      <c r="W1155" s="142" t="s">
        <v>1626</v>
      </c>
    </row>
    <row r="1156" spans="1:23" x14ac:dyDescent="0.3">
      <c r="A1156" s="1"/>
      <c r="B1156" s="1"/>
      <c r="C1156" s="1"/>
      <c r="D1156" s="1"/>
      <c r="E1156" s="16" t="s">
        <v>123</v>
      </c>
      <c r="F1156" s="16" t="s">
        <v>1187</v>
      </c>
      <c r="G1156" s="16">
        <v>8</v>
      </c>
      <c r="H1156" s="16" t="s">
        <v>28</v>
      </c>
      <c r="I1156" s="16">
        <v>750</v>
      </c>
      <c r="J1156" s="16">
        <f t="shared" si="257"/>
        <v>6000</v>
      </c>
      <c r="K1156" s="16">
        <v>8</v>
      </c>
      <c r="L1156" s="16" t="s">
        <v>28</v>
      </c>
      <c r="M1156" s="16" t="s">
        <v>91</v>
      </c>
      <c r="N1156" s="16" t="s">
        <v>1258</v>
      </c>
      <c r="O1156" s="16">
        <v>8</v>
      </c>
      <c r="P1156" s="16">
        <v>750</v>
      </c>
      <c r="Q1156" s="16">
        <f t="shared" si="258"/>
        <v>6000</v>
      </c>
      <c r="R1156" s="18">
        <v>0</v>
      </c>
      <c r="S1156" s="16">
        <f t="shared" si="259"/>
        <v>0</v>
      </c>
      <c r="T1156" s="16">
        <f t="shared" si="260"/>
        <v>6000</v>
      </c>
      <c r="U1156" s="16" t="s">
        <v>1452</v>
      </c>
      <c r="V1156" s="19">
        <v>45998</v>
      </c>
      <c r="W1156" s="142" t="s">
        <v>1626</v>
      </c>
    </row>
    <row r="1157" spans="1:23" x14ac:dyDescent="0.3">
      <c r="A1157" s="1"/>
      <c r="B1157" s="1"/>
      <c r="C1157" s="1"/>
      <c r="D1157" s="1"/>
      <c r="E1157" s="16" t="s">
        <v>123</v>
      </c>
      <c r="F1157" s="16" t="s">
        <v>1188</v>
      </c>
      <c r="G1157" s="16">
        <v>2</v>
      </c>
      <c r="H1157" s="16" t="s">
        <v>28</v>
      </c>
      <c r="I1157" s="16">
        <v>650</v>
      </c>
      <c r="J1157" s="16">
        <f t="shared" si="257"/>
        <v>1300</v>
      </c>
      <c r="K1157" s="16">
        <v>2</v>
      </c>
      <c r="L1157" s="16" t="s">
        <v>28</v>
      </c>
      <c r="M1157" s="16" t="s">
        <v>91</v>
      </c>
      <c r="N1157" s="16" t="s">
        <v>1258</v>
      </c>
      <c r="O1157" s="16">
        <v>2</v>
      </c>
      <c r="P1157" s="16">
        <v>650</v>
      </c>
      <c r="Q1157" s="16">
        <f t="shared" si="258"/>
        <v>1300</v>
      </c>
      <c r="R1157" s="18">
        <v>0</v>
      </c>
      <c r="S1157" s="16">
        <f t="shared" si="259"/>
        <v>0</v>
      </c>
      <c r="T1157" s="16">
        <f t="shared" si="260"/>
        <v>1300</v>
      </c>
      <c r="U1157" s="16" t="s">
        <v>1452</v>
      </c>
      <c r="V1157" s="19">
        <v>45998</v>
      </c>
      <c r="W1157" s="142" t="s">
        <v>1626</v>
      </c>
    </row>
    <row r="1158" spans="1:23" x14ac:dyDescent="0.3">
      <c r="A1158" s="1"/>
      <c r="B1158" s="1"/>
      <c r="C1158" s="1"/>
      <c r="D1158" s="1"/>
      <c r="E1158" s="16" t="s">
        <v>123</v>
      </c>
      <c r="F1158" s="16" t="s">
        <v>1189</v>
      </c>
      <c r="G1158" s="16">
        <v>4</v>
      </c>
      <c r="H1158" s="16" t="s">
        <v>28</v>
      </c>
      <c r="I1158" s="16">
        <v>150</v>
      </c>
      <c r="J1158" s="16">
        <f t="shared" si="257"/>
        <v>600</v>
      </c>
      <c r="K1158" s="16">
        <v>4</v>
      </c>
      <c r="L1158" s="16" t="s">
        <v>28</v>
      </c>
      <c r="M1158" s="16" t="s">
        <v>91</v>
      </c>
      <c r="N1158" s="16" t="s">
        <v>1258</v>
      </c>
      <c r="O1158" s="16">
        <v>4</v>
      </c>
      <c r="P1158" s="16">
        <v>150</v>
      </c>
      <c r="Q1158" s="16">
        <f t="shared" si="258"/>
        <v>600</v>
      </c>
      <c r="R1158" s="18">
        <v>0</v>
      </c>
      <c r="S1158" s="16">
        <f t="shared" si="259"/>
        <v>0</v>
      </c>
      <c r="T1158" s="16">
        <f t="shared" si="260"/>
        <v>600</v>
      </c>
      <c r="U1158" s="16" t="s">
        <v>1452</v>
      </c>
      <c r="V1158" s="19">
        <v>45998</v>
      </c>
      <c r="W1158" s="142" t="s">
        <v>1626</v>
      </c>
    </row>
    <row r="1159" spans="1:23" ht="25.2" x14ac:dyDescent="0.3">
      <c r="A1159" s="1"/>
      <c r="B1159" s="1"/>
      <c r="C1159" s="1"/>
      <c r="D1159" s="1"/>
      <c r="E1159" s="16" t="s">
        <v>123</v>
      </c>
      <c r="F1159" s="39" t="s">
        <v>1190</v>
      </c>
      <c r="G1159" s="16">
        <v>15</v>
      </c>
      <c r="H1159" s="16" t="s">
        <v>141</v>
      </c>
      <c r="I1159" s="16">
        <v>210</v>
      </c>
      <c r="J1159" s="16">
        <f t="shared" si="257"/>
        <v>3150</v>
      </c>
      <c r="K1159" s="16">
        <v>15</v>
      </c>
      <c r="L1159" s="16" t="s">
        <v>141</v>
      </c>
      <c r="M1159" s="16" t="s">
        <v>91</v>
      </c>
      <c r="N1159" s="16" t="s">
        <v>1258</v>
      </c>
      <c r="O1159" s="16">
        <v>15</v>
      </c>
      <c r="P1159" s="16">
        <v>210</v>
      </c>
      <c r="Q1159" s="16">
        <f t="shared" si="258"/>
        <v>3150</v>
      </c>
      <c r="R1159" s="18">
        <v>0</v>
      </c>
      <c r="S1159" s="16">
        <f t="shared" si="259"/>
        <v>0</v>
      </c>
      <c r="T1159" s="16">
        <f t="shared" si="260"/>
        <v>3150</v>
      </c>
      <c r="U1159" s="16" t="s">
        <v>1452</v>
      </c>
      <c r="V1159" s="19">
        <v>45998</v>
      </c>
      <c r="W1159" s="142" t="s">
        <v>1626</v>
      </c>
    </row>
    <row r="1160" spans="1:23" x14ac:dyDescent="0.3">
      <c r="A1160" s="1"/>
      <c r="B1160" s="1"/>
      <c r="C1160" s="1"/>
      <c r="D1160" s="1"/>
      <c r="E1160" s="1"/>
      <c r="F1160" s="124" t="s">
        <v>39</v>
      </c>
      <c r="G1160" s="1"/>
      <c r="H1160" s="1"/>
      <c r="I1160" s="1"/>
      <c r="J1160" s="124">
        <f>SUM(J1152:J1159)</f>
        <v>189872</v>
      </c>
      <c r="K1160" s="1"/>
      <c r="L1160" s="1"/>
      <c r="M1160" s="1"/>
      <c r="N1160" s="1"/>
      <c r="O1160" s="1"/>
      <c r="P1160" s="1"/>
      <c r="Q1160" s="1"/>
      <c r="R1160" s="1"/>
      <c r="S1160" s="1"/>
      <c r="T1160" s="1">
        <f>SUM(T1152:T1159)</f>
        <v>189872</v>
      </c>
      <c r="U1160" s="1"/>
      <c r="V1160" s="1"/>
      <c r="W1160" s="142"/>
    </row>
    <row r="1161" spans="1:23" x14ac:dyDescent="0.3">
      <c r="A1161" s="1"/>
      <c r="B1161" s="1"/>
      <c r="C1161" s="1"/>
      <c r="D1161" s="1"/>
      <c r="E1161" s="1"/>
      <c r="F1161" s="124" t="s">
        <v>599</v>
      </c>
      <c r="G1161" s="1"/>
      <c r="H1161" s="1"/>
      <c r="I1161" s="1"/>
      <c r="J1161" s="124">
        <f>J1160*0/100</f>
        <v>0</v>
      </c>
      <c r="K1161" s="1"/>
      <c r="L1161" s="1"/>
      <c r="M1161" s="1"/>
      <c r="N1161" s="1"/>
      <c r="O1161" s="1"/>
      <c r="P1161" s="1"/>
      <c r="Q1161" s="1"/>
      <c r="R1161" s="1"/>
      <c r="S1161" s="1"/>
      <c r="T1161" s="1"/>
      <c r="U1161" s="1"/>
      <c r="V1161" s="1"/>
      <c r="W1161" s="142"/>
    </row>
    <row r="1162" spans="1:23" x14ac:dyDescent="0.3">
      <c r="A1162" s="1"/>
      <c r="B1162" s="1"/>
      <c r="C1162" s="1"/>
      <c r="D1162" s="1"/>
      <c r="E1162" s="1"/>
      <c r="F1162" s="124" t="s">
        <v>41</v>
      </c>
      <c r="G1162" s="1"/>
      <c r="H1162" s="1"/>
      <c r="I1162" s="1"/>
      <c r="J1162" s="124">
        <f>SUM(J1160:J1161)</f>
        <v>189872</v>
      </c>
      <c r="K1162" s="1"/>
      <c r="L1162" s="1"/>
      <c r="M1162" s="1"/>
      <c r="N1162" s="1"/>
      <c r="O1162" s="1"/>
      <c r="P1162" s="1"/>
      <c r="Q1162" s="1"/>
      <c r="R1162" s="1"/>
      <c r="S1162" s="1"/>
      <c r="T1162" s="1"/>
      <c r="U1162" s="1"/>
      <c r="V1162" s="1"/>
      <c r="W1162" s="142"/>
    </row>
    <row r="1163" spans="1:23" x14ac:dyDescent="0.3">
      <c r="A1163" s="1"/>
      <c r="B1163" s="1"/>
      <c r="C1163" s="1"/>
      <c r="D1163" s="1"/>
      <c r="E1163" s="1"/>
      <c r="F1163" s="1"/>
      <c r="G1163" s="1"/>
      <c r="H1163" s="1"/>
      <c r="I1163" s="1"/>
      <c r="J1163" s="1">
        <f t="shared" si="257"/>
        <v>0</v>
      </c>
      <c r="K1163" s="1"/>
      <c r="L1163" s="1"/>
      <c r="M1163" s="1"/>
      <c r="N1163" s="1"/>
      <c r="O1163" s="1"/>
      <c r="P1163" s="1"/>
      <c r="Q1163" s="1"/>
      <c r="R1163" s="1"/>
      <c r="S1163" s="1"/>
      <c r="T1163" s="1"/>
      <c r="U1163" s="1"/>
      <c r="V1163" s="1"/>
      <c r="W1163" s="142"/>
    </row>
    <row r="1164" spans="1:23" x14ac:dyDescent="0.3">
      <c r="A1164" s="16">
        <v>97</v>
      </c>
      <c r="B1164" s="38" t="s">
        <v>1198</v>
      </c>
      <c r="C1164" s="16" t="s">
        <v>1199</v>
      </c>
      <c r="D1164" s="38" t="s">
        <v>1202</v>
      </c>
      <c r="E1164" s="16"/>
      <c r="F1164" s="16" t="s">
        <v>1200</v>
      </c>
      <c r="G1164" s="16">
        <v>1</v>
      </c>
      <c r="H1164" s="16" t="s">
        <v>87</v>
      </c>
      <c r="I1164" s="16">
        <v>61091</v>
      </c>
      <c r="J1164" s="16">
        <f t="shared" si="257"/>
        <v>61091</v>
      </c>
      <c r="K1164" s="16"/>
      <c r="L1164" s="16"/>
      <c r="M1164" s="16"/>
      <c r="N1164" s="16"/>
      <c r="O1164" s="16">
        <v>1</v>
      </c>
      <c r="P1164" s="16">
        <v>61091</v>
      </c>
      <c r="Q1164" s="16">
        <f>O1164*P1164</f>
        <v>61091</v>
      </c>
      <c r="R1164" s="18">
        <v>0.18</v>
      </c>
      <c r="S1164" s="16">
        <f>Q1164*R1164</f>
        <v>10996.38</v>
      </c>
      <c r="T1164" s="16">
        <f>Q1164+S1164</f>
        <v>72087.38</v>
      </c>
      <c r="U1164" s="16" t="s">
        <v>1385</v>
      </c>
      <c r="V1164" s="19" t="s">
        <v>1384</v>
      </c>
      <c r="W1164" s="142"/>
    </row>
    <row r="1165" spans="1:23" x14ac:dyDescent="0.3">
      <c r="A1165" s="1"/>
      <c r="B1165" s="1"/>
      <c r="C1165" s="1"/>
      <c r="D1165" s="1"/>
      <c r="E1165" s="1"/>
      <c r="F1165" s="16" t="s">
        <v>1201</v>
      </c>
      <c r="G1165" s="16">
        <v>1</v>
      </c>
      <c r="H1165" s="16" t="s">
        <v>87</v>
      </c>
      <c r="I1165" s="16">
        <v>301308</v>
      </c>
      <c r="J1165" s="16">
        <f t="shared" si="257"/>
        <v>301308</v>
      </c>
      <c r="K1165" s="16"/>
      <c r="L1165" s="16"/>
      <c r="M1165" s="16"/>
      <c r="N1165" s="16"/>
      <c r="O1165" s="16">
        <v>1</v>
      </c>
      <c r="P1165" s="16">
        <v>301308</v>
      </c>
      <c r="Q1165" s="16">
        <f>O1165*P1165</f>
        <v>301308</v>
      </c>
      <c r="R1165" s="18">
        <v>0.18</v>
      </c>
      <c r="S1165" s="16">
        <f>Q1165*R1165</f>
        <v>54235.439999999995</v>
      </c>
      <c r="T1165" s="16">
        <f>Q1165+S1165</f>
        <v>355543.44</v>
      </c>
      <c r="U1165" s="16" t="s">
        <v>1385</v>
      </c>
      <c r="V1165" s="19" t="s">
        <v>1384</v>
      </c>
      <c r="W1165" s="142"/>
    </row>
    <row r="1166" spans="1:23" x14ac:dyDescent="0.3">
      <c r="A1166" s="1"/>
      <c r="B1166" s="1"/>
      <c r="C1166" s="1"/>
      <c r="D1166" s="1"/>
      <c r="E1166" s="1"/>
      <c r="F1166" s="124" t="s">
        <v>39</v>
      </c>
      <c r="G1166" s="1"/>
      <c r="H1166" s="1"/>
      <c r="I1166" s="1"/>
      <c r="J1166" s="124">
        <f>SUM(J1164:J1165)</f>
        <v>362399</v>
      </c>
      <c r="K1166" s="1"/>
      <c r="L1166" s="1"/>
      <c r="M1166" s="1"/>
      <c r="N1166" s="1"/>
      <c r="O1166" s="1"/>
      <c r="P1166" s="1"/>
      <c r="Q1166" s="1"/>
      <c r="R1166" s="1"/>
      <c r="S1166" s="1"/>
      <c r="T1166" s="1"/>
      <c r="U1166" s="1"/>
      <c r="V1166" s="1"/>
      <c r="W1166" s="142"/>
    </row>
    <row r="1167" spans="1:23" x14ac:dyDescent="0.3">
      <c r="A1167" s="1"/>
      <c r="B1167" s="1"/>
      <c r="C1167" s="1"/>
      <c r="D1167" s="1"/>
      <c r="E1167" s="1"/>
      <c r="F1167" s="124" t="s">
        <v>187</v>
      </c>
      <c r="G1167" s="1"/>
      <c r="H1167" s="1"/>
      <c r="I1167" s="1"/>
      <c r="J1167" s="124">
        <f>J1166*18/100</f>
        <v>65231.82</v>
      </c>
      <c r="K1167" s="1"/>
      <c r="L1167" s="1"/>
      <c r="M1167" s="1"/>
      <c r="N1167" s="1"/>
      <c r="O1167" s="1"/>
      <c r="P1167" s="1"/>
      <c r="Q1167" s="1"/>
      <c r="R1167" s="1"/>
      <c r="S1167" s="1"/>
      <c r="T1167" s="1"/>
      <c r="U1167" s="1"/>
      <c r="V1167" s="1"/>
      <c r="W1167" s="142"/>
    </row>
    <row r="1168" spans="1:23" x14ac:dyDescent="0.3">
      <c r="A1168" s="1"/>
      <c r="B1168" s="1"/>
      <c r="C1168" s="1"/>
      <c r="D1168" s="1"/>
      <c r="E1168" s="1"/>
      <c r="F1168" s="124" t="s">
        <v>41</v>
      </c>
      <c r="G1168" s="1"/>
      <c r="H1168" s="1"/>
      <c r="I1168" s="1"/>
      <c r="J1168" s="124">
        <f>SUM(J1166:J1167)</f>
        <v>427630.82</v>
      </c>
      <c r="K1168" s="1"/>
      <c r="L1168" s="1"/>
      <c r="M1168" s="1"/>
      <c r="N1168" s="1"/>
      <c r="O1168" s="1"/>
      <c r="P1168" s="1"/>
      <c r="Q1168" s="1"/>
      <c r="R1168" s="1"/>
      <c r="S1168" s="1"/>
      <c r="T1168" s="1">
        <f>SUM(T1164:T1167)</f>
        <v>427630.82</v>
      </c>
      <c r="U1168" s="1"/>
      <c r="V1168" s="1"/>
      <c r="W1168" s="142"/>
    </row>
    <row r="1169" spans="1:23" x14ac:dyDescent="0.3">
      <c r="A1169" s="1"/>
      <c r="B1169" s="1"/>
      <c r="C1169" s="1"/>
      <c r="D1169" s="1"/>
      <c r="E1169" s="1"/>
      <c r="F1169" s="154" t="s">
        <v>1350</v>
      </c>
      <c r="G1169" s="1"/>
      <c r="H1169" s="1"/>
      <c r="I1169" s="1"/>
      <c r="J1169" s="124"/>
      <c r="K1169" s="1"/>
      <c r="L1169" s="1"/>
      <c r="M1169" s="1"/>
      <c r="N1169" s="1"/>
      <c r="O1169" s="1"/>
      <c r="P1169" s="1"/>
      <c r="Q1169" s="1"/>
      <c r="R1169" s="1"/>
      <c r="S1169" s="1"/>
      <c r="T1169" s="1"/>
      <c r="U1169" s="1"/>
      <c r="V1169" s="1"/>
      <c r="W1169" s="142"/>
    </row>
    <row r="1170" spans="1:23" x14ac:dyDescent="0.3">
      <c r="A1170" s="1"/>
      <c r="B1170" s="1"/>
      <c r="C1170" s="1"/>
      <c r="D1170" s="1"/>
      <c r="E1170" s="30">
        <v>1</v>
      </c>
      <c r="F1170" s="165" t="s">
        <v>1281</v>
      </c>
      <c r="G1170" s="166">
        <v>1</v>
      </c>
      <c r="H1170" s="16" t="s">
        <v>28</v>
      </c>
      <c r="I1170" s="16">
        <v>4540.1099999999997</v>
      </c>
      <c r="J1170" s="16">
        <f>G1170*I1170</f>
        <v>4540.1099999999997</v>
      </c>
      <c r="K1170" s="1">
        <v>1</v>
      </c>
      <c r="L1170" s="1" t="s">
        <v>28</v>
      </c>
      <c r="M1170" s="1" t="s">
        <v>91</v>
      </c>
      <c r="N1170" s="1" t="s">
        <v>1363</v>
      </c>
      <c r="O1170" s="1"/>
      <c r="P1170" s="1"/>
      <c r="Q1170" s="1"/>
      <c r="R1170" s="1"/>
      <c r="S1170" s="1"/>
      <c r="T1170" s="1"/>
      <c r="U1170" s="1"/>
      <c r="V1170" s="1"/>
      <c r="W1170" s="142"/>
    </row>
    <row r="1171" spans="1:23" x14ac:dyDescent="0.25">
      <c r="A1171" s="1"/>
      <c r="B1171" s="1"/>
      <c r="C1171" s="1"/>
      <c r="D1171" s="1"/>
      <c r="E1171" s="30">
        <v>2</v>
      </c>
      <c r="F1171" s="167" t="s">
        <v>1282</v>
      </c>
      <c r="G1171" s="168">
        <v>1</v>
      </c>
      <c r="H1171" s="16" t="s">
        <v>28</v>
      </c>
      <c r="I1171" s="16">
        <v>1735.87</v>
      </c>
      <c r="J1171" s="16">
        <f t="shared" ref="J1171:J1234" si="261">G1171*I1171</f>
        <v>1735.87</v>
      </c>
      <c r="K1171" s="1"/>
      <c r="L1171" s="1"/>
      <c r="M1171" s="1"/>
      <c r="N1171" s="1"/>
      <c r="O1171" s="1"/>
      <c r="P1171" s="1"/>
      <c r="Q1171" s="1"/>
      <c r="R1171" s="1"/>
      <c r="S1171" s="1"/>
      <c r="T1171" s="1"/>
      <c r="U1171" s="1"/>
      <c r="V1171" s="1"/>
      <c r="W1171" s="142"/>
    </row>
    <row r="1172" spans="1:23" x14ac:dyDescent="0.25">
      <c r="A1172" s="1"/>
      <c r="B1172" s="1"/>
      <c r="C1172" s="1"/>
      <c r="D1172" s="1"/>
      <c r="E1172" s="30">
        <v>3</v>
      </c>
      <c r="F1172" s="167" t="s">
        <v>1283</v>
      </c>
      <c r="G1172" s="168">
        <v>1</v>
      </c>
      <c r="H1172" s="16" t="s">
        <v>28</v>
      </c>
      <c r="I1172" s="16">
        <v>1735.87</v>
      </c>
      <c r="J1172" s="16">
        <f t="shared" si="261"/>
        <v>1735.87</v>
      </c>
      <c r="K1172" s="1"/>
      <c r="L1172" s="1"/>
      <c r="M1172" s="1"/>
      <c r="N1172" s="1"/>
      <c r="O1172" s="1"/>
      <c r="P1172" s="1"/>
      <c r="Q1172" s="1"/>
      <c r="R1172" s="1"/>
      <c r="S1172" s="1"/>
      <c r="T1172" s="1"/>
      <c r="U1172" s="1"/>
      <c r="V1172" s="1"/>
      <c r="W1172" s="142"/>
    </row>
    <row r="1173" spans="1:23" x14ac:dyDescent="0.25">
      <c r="A1173" s="1"/>
      <c r="B1173" s="1"/>
      <c r="C1173" s="1"/>
      <c r="D1173" s="1"/>
      <c r="E1173" s="30">
        <v>4</v>
      </c>
      <c r="F1173" s="167" t="s">
        <v>1284</v>
      </c>
      <c r="G1173" s="168">
        <v>4</v>
      </c>
      <c r="H1173" s="16" t="s">
        <v>28</v>
      </c>
      <c r="I1173" s="16">
        <v>801.14</v>
      </c>
      <c r="J1173" s="16">
        <f t="shared" si="261"/>
        <v>3204.56</v>
      </c>
      <c r="K1173" s="1"/>
      <c r="L1173" s="1"/>
      <c r="M1173" s="1"/>
      <c r="N1173" s="1"/>
      <c r="O1173" s="1"/>
      <c r="P1173" s="1"/>
      <c r="Q1173" s="1"/>
      <c r="R1173" s="1"/>
      <c r="S1173" s="1"/>
      <c r="T1173" s="1"/>
      <c r="U1173" s="1"/>
      <c r="V1173" s="1"/>
      <c r="W1173" s="142"/>
    </row>
    <row r="1174" spans="1:23" x14ac:dyDescent="0.25">
      <c r="A1174" s="1"/>
      <c r="B1174" s="1"/>
      <c r="C1174" s="1"/>
      <c r="D1174" s="1"/>
      <c r="E1174" s="30">
        <v>5</v>
      </c>
      <c r="F1174" s="167" t="s">
        <v>1285</v>
      </c>
      <c r="G1174" s="168">
        <v>3</v>
      </c>
      <c r="H1174" s="16" t="s">
        <v>28</v>
      </c>
      <c r="I1174" s="16">
        <v>253.65</v>
      </c>
      <c r="J1174" s="16">
        <f t="shared" si="261"/>
        <v>760.95</v>
      </c>
      <c r="K1174" s="1"/>
      <c r="L1174" s="1"/>
      <c r="M1174" s="1"/>
      <c r="N1174" s="1"/>
      <c r="O1174" s="1"/>
      <c r="P1174" s="1"/>
      <c r="Q1174" s="1"/>
      <c r="R1174" s="1"/>
      <c r="S1174" s="1"/>
      <c r="T1174" s="1"/>
      <c r="U1174" s="1"/>
      <c r="V1174" s="1"/>
      <c r="W1174" s="142"/>
    </row>
    <row r="1175" spans="1:23" x14ac:dyDescent="0.25">
      <c r="A1175" s="1"/>
      <c r="B1175" s="1"/>
      <c r="C1175" s="1"/>
      <c r="D1175" s="1"/>
      <c r="E1175" s="30">
        <v>6</v>
      </c>
      <c r="F1175" s="167" t="s">
        <v>1286</v>
      </c>
      <c r="G1175" s="168">
        <v>3</v>
      </c>
      <c r="H1175" s="16" t="s">
        <v>28</v>
      </c>
      <c r="I1175" s="16">
        <v>253.65</v>
      </c>
      <c r="J1175" s="16">
        <f t="shared" si="261"/>
        <v>760.95</v>
      </c>
      <c r="K1175" s="1"/>
      <c r="L1175" s="1"/>
      <c r="M1175" s="1"/>
      <c r="N1175" s="1"/>
      <c r="O1175" s="1"/>
      <c r="P1175" s="1"/>
      <c r="Q1175" s="1"/>
      <c r="R1175" s="1"/>
      <c r="S1175" s="1"/>
      <c r="T1175" s="1"/>
      <c r="U1175" s="1"/>
      <c r="V1175" s="1"/>
      <c r="W1175" s="142"/>
    </row>
    <row r="1176" spans="1:23" ht="36" x14ac:dyDescent="0.25">
      <c r="A1176" s="1"/>
      <c r="B1176" s="1"/>
      <c r="C1176" s="1"/>
      <c r="D1176" s="1"/>
      <c r="E1176" s="30">
        <v>7</v>
      </c>
      <c r="F1176" s="169" t="s">
        <v>1287</v>
      </c>
      <c r="G1176" s="168">
        <v>1</v>
      </c>
      <c r="H1176" s="16" t="s">
        <v>28</v>
      </c>
      <c r="I1176" s="16">
        <v>8345.8700000000008</v>
      </c>
      <c r="J1176" s="16">
        <f t="shared" si="261"/>
        <v>8345.8700000000008</v>
      </c>
      <c r="K1176" s="1"/>
      <c r="L1176" s="1"/>
      <c r="M1176" s="1"/>
      <c r="N1176" s="1"/>
      <c r="O1176" s="1"/>
      <c r="P1176" s="1"/>
      <c r="Q1176" s="1"/>
      <c r="R1176" s="1"/>
      <c r="S1176" s="1"/>
      <c r="T1176" s="1"/>
      <c r="U1176" s="1"/>
      <c r="V1176" s="1"/>
      <c r="W1176" s="142"/>
    </row>
    <row r="1177" spans="1:23" ht="36" x14ac:dyDescent="0.25">
      <c r="A1177" s="1"/>
      <c r="B1177" s="1"/>
      <c r="C1177" s="1"/>
      <c r="D1177" s="1"/>
      <c r="E1177" s="30">
        <v>8</v>
      </c>
      <c r="F1177" s="169" t="s">
        <v>1288</v>
      </c>
      <c r="G1177" s="168">
        <v>1</v>
      </c>
      <c r="H1177" s="16" t="s">
        <v>28</v>
      </c>
      <c r="I1177" s="16">
        <v>4339.82</v>
      </c>
      <c r="J1177" s="16">
        <f t="shared" si="261"/>
        <v>4339.82</v>
      </c>
      <c r="K1177" s="1"/>
      <c r="L1177" s="1"/>
      <c r="M1177" s="1"/>
      <c r="N1177" s="1"/>
      <c r="O1177" s="1"/>
      <c r="P1177" s="1"/>
      <c r="Q1177" s="1"/>
      <c r="R1177" s="1"/>
      <c r="S1177" s="1"/>
      <c r="T1177" s="1"/>
      <c r="U1177" s="1"/>
      <c r="V1177" s="1"/>
      <c r="W1177" s="142"/>
    </row>
    <row r="1178" spans="1:23" ht="48" x14ac:dyDescent="0.25">
      <c r="A1178" s="1"/>
      <c r="B1178" s="1"/>
      <c r="C1178" s="1"/>
      <c r="D1178" s="1"/>
      <c r="E1178" s="30">
        <v>9</v>
      </c>
      <c r="F1178" s="169" t="s">
        <v>1289</v>
      </c>
      <c r="G1178" s="168">
        <v>1</v>
      </c>
      <c r="H1178" s="16" t="s">
        <v>181</v>
      </c>
      <c r="I1178" s="16">
        <v>23368.58</v>
      </c>
      <c r="J1178" s="16">
        <f t="shared" si="261"/>
        <v>23368.58</v>
      </c>
      <c r="K1178" s="1">
        <v>1</v>
      </c>
      <c r="L1178" s="1" t="s">
        <v>181</v>
      </c>
      <c r="M1178" s="1" t="s">
        <v>91</v>
      </c>
      <c r="N1178" s="1" t="s">
        <v>1364</v>
      </c>
      <c r="O1178" s="1"/>
      <c r="P1178" s="1"/>
      <c r="Q1178" s="1"/>
      <c r="R1178" s="1"/>
      <c r="S1178" s="1"/>
      <c r="T1178" s="1"/>
      <c r="U1178" s="1"/>
      <c r="V1178" s="1"/>
      <c r="W1178" s="142"/>
    </row>
    <row r="1179" spans="1:23" ht="36" x14ac:dyDescent="0.25">
      <c r="A1179" s="1"/>
      <c r="B1179" s="1"/>
      <c r="C1179" s="1"/>
      <c r="D1179" s="1"/>
      <c r="E1179" s="30">
        <v>10</v>
      </c>
      <c r="F1179" s="169" t="s">
        <v>1290</v>
      </c>
      <c r="G1179" s="168">
        <v>1</v>
      </c>
      <c r="H1179" s="16" t="s">
        <v>28</v>
      </c>
      <c r="I1179" s="16">
        <v>8345.8700000000008</v>
      </c>
      <c r="J1179" s="16">
        <f t="shared" si="261"/>
        <v>8345.8700000000008</v>
      </c>
      <c r="K1179" s="1"/>
      <c r="L1179" s="1"/>
      <c r="M1179" s="1"/>
      <c r="N1179" s="1"/>
      <c r="O1179" s="1"/>
      <c r="P1179" s="1"/>
      <c r="Q1179" s="1"/>
      <c r="R1179" s="1"/>
      <c r="S1179" s="1"/>
      <c r="T1179" s="1"/>
      <c r="U1179" s="1"/>
      <c r="V1179" s="1"/>
      <c r="W1179" s="142"/>
    </row>
    <row r="1180" spans="1:23" ht="24" x14ac:dyDescent="0.25">
      <c r="A1180" s="1"/>
      <c r="B1180" s="1"/>
      <c r="C1180" s="1"/>
      <c r="D1180" s="1"/>
      <c r="E1180" s="30">
        <v>11</v>
      </c>
      <c r="F1180" s="169" t="s">
        <v>1291</v>
      </c>
      <c r="G1180" s="168">
        <v>2</v>
      </c>
      <c r="H1180" s="16" t="s">
        <v>28</v>
      </c>
      <c r="I1180" s="16">
        <v>2336.7800000000002</v>
      </c>
      <c r="J1180" s="16">
        <f t="shared" si="261"/>
        <v>4673.5600000000004</v>
      </c>
      <c r="K1180" s="1"/>
      <c r="L1180" s="1"/>
      <c r="M1180" s="1"/>
      <c r="N1180" s="1"/>
      <c r="O1180" s="1"/>
      <c r="P1180" s="1"/>
      <c r="Q1180" s="1"/>
      <c r="R1180" s="1"/>
      <c r="S1180" s="1"/>
      <c r="T1180" s="1"/>
      <c r="U1180" s="1"/>
      <c r="V1180" s="1"/>
      <c r="W1180" s="142"/>
    </row>
    <row r="1181" spans="1:23" ht="24" x14ac:dyDescent="0.25">
      <c r="A1181" s="1"/>
      <c r="B1181" s="1"/>
      <c r="C1181" s="1"/>
      <c r="D1181" s="1"/>
      <c r="E1181" s="30">
        <v>12</v>
      </c>
      <c r="F1181" s="169" t="s">
        <v>1292</v>
      </c>
      <c r="G1181" s="168">
        <v>1</v>
      </c>
      <c r="H1181" s="16" t="s">
        <v>28</v>
      </c>
      <c r="I1181" s="16">
        <v>2537.1</v>
      </c>
      <c r="J1181" s="16">
        <f t="shared" si="261"/>
        <v>2537.1</v>
      </c>
      <c r="K1181" s="1"/>
      <c r="L1181" s="1"/>
      <c r="M1181" s="1"/>
      <c r="N1181" s="1"/>
      <c r="O1181" s="1"/>
      <c r="P1181" s="1"/>
      <c r="Q1181" s="1"/>
      <c r="R1181" s="1"/>
      <c r="S1181" s="1"/>
      <c r="T1181" s="1"/>
      <c r="U1181" s="1"/>
      <c r="V1181" s="1"/>
      <c r="W1181" s="142"/>
    </row>
    <row r="1182" spans="1:23" ht="24" x14ac:dyDescent="0.25">
      <c r="A1182" s="1"/>
      <c r="B1182" s="1"/>
      <c r="C1182" s="1"/>
      <c r="D1182" s="1"/>
      <c r="E1182" s="30">
        <v>13</v>
      </c>
      <c r="F1182" s="169" t="s">
        <v>1293</v>
      </c>
      <c r="G1182" s="168">
        <v>1</v>
      </c>
      <c r="H1182" s="16" t="s">
        <v>28</v>
      </c>
      <c r="I1182" s="16">
        <v>140.13</v>
      </c>
      <c r="J1182" s="16">
        <f t="shared" si="261"/>
        <v>140.13</v>
      </c>
      <c r="K1182" s="1"/>
      <c r="L1182" s="1"/>
      <c r="M1182" s="1"/>
      <c r="N1182" s="1"/>
      <c r="O1182" s="1"/>
      <c r="P1182" s="1"/>
      <c r="Q1182" s="1"/>
      <c r="R1182" s="1"/>
      <c r="S1182" s="1"/>
      <c r="T1182" s="1"/>
      <c r="U1182" s="1"/>
      <c r="V1182" s="1"/>
      <c r="W1182" s="142"/>
    </row>
    <row r="1183" spans="1:23" x14ac:dyDescent="0.25">
      <c r="A1183" s="1"/>
      <c r="B1183" s="1"/>
      <c r="C1183" s="1"/>
      <c r="D1183" s="1"/>
      <c r="E1183" s="30">
        <v>14</v>
      </c>
      <c r="F1183" s="169" t="s">
        <v>1294</v>
      </c>
      <c r="G1183" s="168">
        <v>1</v>
      </c>
      <c r="H1183" s="16" t="s">
        <v>28</v>
      </c>
      <c r="I1183" s="16">
        <v>140.13</v>
      </c>
      <c r="J1183" s="16">
        <f t="shared" si="261"/>
        <v>140.13</v>
      </c>
      <c r="K1183" s="1"/>
      <c r="L1183" s="1"/>
      <c r="M1183" s="1"/>
      <c r="N1183" s="1"/>
      <c r="O1183" s="1"/>
      <c r="P1183" s="1"/>
      <c r="Q1183" s="1"/>
      <c r="R1183" s="1"/>
      <c r="S1183" s="1"/>
      <c r="T1183" s="1"/>
      <c r="U1183" s="1"/>
      <c r="V1183" s="1"/>
      <c r="W1183" s="142"/>
    </row>
    <row r="1184" spans="1:23" ht="24" x14ac:dyDescent="0.25">
      <c r="A1184" s="1"/>
      <c r="B1184" s="1"/>
      <c r="C1184" s="1"/>
      <c r="D1184" s="1"/>
      <c r="E1184" s="30">
        <v>15</v>
      </c>
      <c r="F1184" s="169" t="s">
        <v>1295</v>
      </c>
      <c r="G1184" s="168">
        <v>1</v>
      </c>
      <c r="H1184" s="16" t="s">
        <v>28</v>
      </c>
      <c r="I1184" s="16">
        <v>160.15</v>
      </c>
      <c r="J1184" s="16">
        <f t="shared" si="261"/>
        <v>160.15</v>
      </c>
      <c r="K1184" s="1"/>
      <c r="L1184" s="1"/>
      <c r="M1184" s="1"/>
      <c r="N1184" s="1"/>
      <c r="O1184" s="1"/>
      <c r="P1184" s="1"/>
      <c r="Q1184" s="1"/>
      <c r="R1184" s="1"/>
      <c r="S1184" s="1"/>
      <c r="T1184" s="1"/>
      <c r="U1184" s="1"/>
      <c r="V1184" s="1"/>
      <c r="W1184" s="142"/>
    </row>
    <row r="1185" spans="1:23" ht="60" x14ac:dyDescent="0.25">
      <c r="A1185" s="1"/>
      <c r="B1185" s="1"/>
      <c r="C1185" s="1"/>
      <c r="D1185" s="1"/>
      <c r="E1185" s="30">
        <v>16</v>
      </c>
      <c r="F1185" s="169" t="s">
        <v>1296</v>
      </c>
      <c r="G1185" s="168">
        <v>1</v>
      </c>
      <c r="H1185" s="16" t="s">
        <v>28</v>
      </c>
      <c r="I1185" s="16">
        <v>2336.7800000000002</v>
      </c>
      <c r="J1185" s="16">
        <f t="shared" si="261"/>
        <v>2336.7800000000002</v>
      </c>
      <c r="K1185" s="1"/>
      <c r="L1185" s="1"/>
      <c r="M1185" s="1"/>
      <c r="N1185" s="1"/>
      <c r="O1185" s="1"/>
      <c r="P1185" s="1"/>
      <c r="Q1185" s="1"/>
      <c r="R1185" s="1"/>
      <c r="S1185" s="1"/>
      <c r="T1185" s="1"/>
      <c r="U1185" s="1"/>
      <c r="V1185" s="1"/>
      <c r="W1185" s="142"/>
    </row>
    <row r="1186" spans="1:23" ht="24" x14ac:dyDescent="0.25">
      <c r="A1186" s="1"/>
      <c r="B1186" s="1"/>
      <c r="C1186" s="1"/>
      <c r="D1186" s="1"/>
      <c r="E1186" s="30">
        <v>17</v>
      </c>
      <c r="F1186" s="169" t="s">
        <v>1297</v>
      </c>
      <c r="G1186" s="168">
        <v>2</v>
      </c>
      <c r="H1186" s="16" t="s">
        <v>28</v>
      </c>
      <c r="I1186" s="16">
        <v>1735.87</v>
      </c>
      <c r="J1186" s="16">
        <f t="shared" si="261"/>
        <v>3471.74</v>
      </c>
      <c r="K1186" s="1"/>
      <c r="L1186" s="1"/>
      <c r="M1186" s="1"/>
      <c r="N1186" s="1"/>
      <c r="O1186" s="1"/>
      <c r="P1186" s="1"/>
      <c r="Q1186" s="1"/>
      <c r="R1186" s="1"/>
      <c r="S1186" s="1"/>
      <c r="T1186" s="1"/>
      <c r="U1186" s="1"/>
      <c r="V1186" s="1"/>
      <c r="W1186" s="142"/>
    </row>
    <row r="1187" spans="1:23" x14ac:dyDescent="0.25">
      <c r="A1187" s="1"/>
      <c r="B1187" s="1"/>
      <c r="C1187" s="1"/>
      <c r="D1187" s="1"/>
      <c r="E1187" s="30">
        <v>18</v>
      </c>
      <c r="F1187" s="167" t="s">
        <v>1298</v>
      </c>
      <c r="G1187" s="168">
        <v>6</v>
      </c>
      <c r="H1187" s="16" t="s">
        <v>28</v>
      </c>
      <c r="I1187" s="16">
        <v>1735.87</v>
      </c>
      <c r="J1187" s="16">
        <f t="shared" si="261"/>
        <v>10415.219999999999</v>
      </c>
      <c r="K1187" s="1"/>
      <c r="L1187" s="1"/>
      <c r="M1187" s="1"/>
      <c r="N1187" s="1"/>
      <c r="O1187" s="1"/>
      <c r="P1187" s="1"/>
      <c r="Q1187" s="1"/>
      <c r="R1187" s="1"/>
      <c r="S1187" s="1"/>
      <c r="T1187" s="1"/>
      <c r="U1187" s="1"/>
      <c r="V1187" s="1"/>
      <c r="W1187" s="142"/>
    </row>
    <row r="1188" spans="1:23" x14ac:dyDescent="0.25">
      <c r="A1188" s="1"/>
      <c r="B1188" s="1"/>
      <c r="C1188" s="1"/>
      <c r="D1188" s="1"/>
      <c r="E1188" s="30">
        <v>19</v>
      </c>
      <c r="F1188" s="167" t="s">
        <v>1299</v>
      </c>
      <c r="G1188" s="168">
        <v>5</v>
      </c>
      <c r="H1188" s="16" t="s">
        <v>28</v>
      </c>
      <c r="I1188" s="16">
        <v>253.65</v>
      </c>
      <c r="J1188" s="16">
        <f t="shared" si="261"/>
        <v>1268.25</v>
      </c>
      <c r="K1188" s="1"/>
      <c r="L1188" s="1"/>
      <c r="M1188" s="1"/>
      <c r="N1188" s="1"/>
      <c r="O1188" s="1"/>
      <c r="P1188" s="1"/>
      <c r="Q1188" s="1"/>
      <c r="R1188" s="1"/>
      <c r="S1188" s="1"/>
      <c r="T1188" s="1"/>
      <c r="U1188" s="1"/>
      <c r="V1188" s="1"/>
      <c r="W1188" s="142"/>
    </row>
    <row r="1189" spans="1:23" x14ac:dyDescent="0.25">
      <c r="A1189" s="1"/>
      <c r="B1189" s="1"/>
      <c r="C1189" s="1"/>
      <c r="D1189" s="1"/>
      <c r="E1189" s="30">
        <v>20</v>
      </c>
      <c r="F1189" s="167" t="s">
        <v>1300</v>
      </c>
      <c r="G1189" s="168">
        <v>5</v>
      </c>
      <c r="H1189" s="16" t="s">
        <v>28</v>
      </c>
      <c r="I1189" s="16">
        <v>253.65</v>
      </c>
      <c r="J1189" s="16">
        <f t="shared" si="261"/>
        <v>1268.25</v>
      </c>
      <c r="K1189" s="1"/>
      <c r="L1189" s="1"/>
      <c r="M1189" s="1"/>
      <c r="N1189" s="1"/>
      <c r="O1189" s="1"/>
      <c r="P1189" s="1"/>
      <c r="Q1189" s="1"/>
      <c r="R1189" s="1"/>
      <c r="S1189" s="1"/>
      <c r="T1189" s="1"/>
      <c r="U1189" s="1"/>
      <c r="V1189" s="1"/>
      <c r="W1189" s="142"/>
    </row>
    <row r="1190" spans="1:23" ht="24" x14ac:dyDescent="0.25">
      <c r="A1190" s="1"/>
      <c r="B1190" s="1"/>
      <c r="C1190" s="1"/>
      <c r="D1190" s="1"/>
      <c r="E1190" s="30">
        <v>21</v>
      </c>
      <c r="F1190" s="169" t="s">
        <v>1301</v>
      </c>
      <c r="G1190" s="168">
        <v>1</v>
      </c>
      <c r="H1190" s="16" t="s">
        <v>28</v>
      </c>
      <c r="I1190" s="16">
        <v>5007.5</v>
      </c>
      <c r="J1190" s="16">
        <f t="shared" si="261"/>
        <v>5007.5</v>
      </c>
      <c r="K1190" s="1"/>
      <c r="L1190" s="1"/>
      <c r="M1190" s="1"/>
      <c r="N1190" s="1"/>
      <c r="O1190" s="1"/>
      <c r="P1190" s="1"/>
      <c r="Q1190" s="1"/>
      <c r="R1190" s="1"/>
      <c r="S1190" s="1"/>
      <c r="T1190" s="1"/>
      <c r="U1190" s="1"/>
      <c r="V1190" s="1"/>
      <c r="W1190" s="142"/>
    </row>
    <row r="1191" spans="1:23" ht="24" x14ac:dyDescent="0.25">
      <c r="A1191" s="1"/>
      <c r="B1191" s="1"/>
      <c r="C1191" s="1"/>
      <c r="D1191" s="1"/>
      <c r="E1191" s="30">
        <v>22</v>
      </c>
      <c r="F1191" s="169" t="s">
        <v>1302</v>
      </c>
      <c r="G1191" s="168">
        <v>2</v>
      </c>
      <c r="H1191" s="16" t="s">
        <v>28</v>
      </c>
      <c r="I1191" s="16">
        <v>2336.7800000000002</v>
      </c>
      <c r="J1191" s="16">
        <f t="shared" si="261"/>
        <v>4673.5600000000004</v>
      </c>
      <c r="K1191" s="1"/>
      <c r="L1191" s="1"/>
      <c r="M1191" s="1"/>
      <c r="N1191" s="1"/>
      <c r="O1191" s="1"/>
      <c r="P1191" s="1"/>
      <c r="Q1191" s="1"/>
      <c r="R1191" s="1"/>
      <c r="S1191" s="1"/>
      <c r="T1191" s="1"/>
      <c r="U1191" s="1"/>
      <c r="V1191" s="1"/>
      <c r="W1191" s="142"/>
    </row>
    <row r="1192" spans="1:23" ht="24" x14ac:dyDescent="0.25">
      <c r="A1192" s="1"/>
      <c r="B1192" s="1"/>
      <c r="C1192" s="1"/>
      <c r="D1192" s="1"/>
      <c r="E1192" s="30">
        <v>23</v>
      </c>
      <c r="F1192" s="169" t="s">
        <v>1303</v>
      </c>
      <c r="G1192" s="168">
        <v>1</v>
      </c>
      <c r="H1192" s="16" t="s">
        <v>28</v>
      </c>
      <c r="I1192" s="16">
        <v>2336.7800000000002</v>
      </c>
      <c r="J1192" s="16">
        <f t="shared" si="261"/>
        <v>2336.7800000000002</v>
      </c>
      <c r="K1192" s="1"/>
      <c r="L1192" s="1"/>
      <c r="M1192" s="1"/>
      <c r="N1192" s="1"/>
      <c r="O1192" s="1"/>
      <c r="P1192" s="1"/>
      <c r="Q1192" s="1"/>
      <c r="R1192" s="1"/>
      <c r="S1192" s="1"/>
      <c r="T1192" s="1"/>
      <c r="U1192" s="1"/>
      <c r="V1192" s="1"/>
      <c r="W1192" s="142"/>
    </row>
    <row r="1193" spans="1:23" x14ac:dyDescent="0.25">
      <c r="A1193" s="1"/>
      <c r="B1193" s="1"/>
      <c r="C1193" s="1"/>
      <c r="D1193" s="1"/>
      <c r="E1193" s="30">
        <v>24</v>
      </c>
      <c r="F1193" s="167" t="s">
        <v>1304</v>
      </c>
      <c r="G1193" s="168">
        <v>20</v>
      </c>
      <c r="H1193" s="16" t="s">
        <v>28</v>
      </c>
      <c r="I1193" s="16">
        <v>801.14</v>
      </c>
      <c r="J1193" s="16">
        <f t="shared" si="261"/>
        <v>16022.8</v>
      </c>
      <c r="K1193" s="1"/>
      <c r="L1193" s="1"/>
      <c r="M1193" s="1"/>
      <c r="N1193" s="1"/>
      <c r="O1193" s="1"/>
      <c r="P1193" s="1"/>
      <c r="Q1193" s="1"/>
      <c r="R1193" s="1"/>
      <c r="S1193" s="1"/>
      <c r="T1193" s="1"/>
      <c r="U1193" s="1"/>
      <c r="V1193" s="1"/>
      <c r="W1193" s="142"/>
    </row>
    <row r="1194" spans="1:23" ht="48" x14ac:dyDescent="0.25">
      <c r="A1194" s="1"/>
      <c r="B1194" s="1"/>
      <c r="C1194" s="1"/>
      <c r="D1194" s="1"/>
      <c r="E1194" s="30">
        <v>25</v>
      </c>
      <c r="F1194" s="169" t="s">
        <v>1305</v>
      </c>
      <c r="G1194" s="168">
        <v>1</v>
      </c>
      <c r="H1194" s="16" t="s">
        <v>28</v>
      </c>
      <c r="I1194" s="16">
        <v>3004.46</v>
      </c>
      <c r="J1194" s="16">
        <f t="shared" si="261"/>
        <v>3004.46</v>
      </c>
      <c r="K1194" s="1"/>
      <c r="L1194" s="1"/>
      <c r="M1194" s="1"/>
      <c r="N1194" s="1"/>
      <c r="O1194" s="1"/>
      <c r="P1194" s="1"/>
      <c r="Q1194" s="1"/>
      <c r="R1194" s="1"/>
      <c r="S1194" s="1"/>
      <c r="T1194" s="1"/>
      <c r="U1194" s="1"/>
      <c r="V1194" s="1"/>
      <c r="W1194" s="142"/>
    </row>
    <row r="1195" spans="1:23" ht="36" x14ac:dyDescent="0.25">
      <c r="A1195" s="1"/>
      <c r="B1195" s="1"/>
      <c r="C1195" s="1"/>
      <c r="D1195" s="1"/>
      <c r="E1195" s="30">
        <v>26</v>
      </c>
      <c r="F1195" s="169" t="s">
        <v>1306</v>
      </c>
      <c r="G1195" s="168">
        <v>1</v>
      </c>
      <c r="H1195" s="16" t="s">
        <v>28</v>
      </c>
      <c r="I1195" s="16">
        <v>3004.46</v>
      </c>
      <c r="J1195" s="16">
        <f t="shared" si="261"/>
        <v>3004.46</v>
      </c>
      <c r="K1195" s="1"/>
      <c r="L1195" s="1"/>
      <c r="M1195" s="1"/>
      <c r="N1195" s="1"/>
      <c r="O1195" s="1"/>
      <c r="P1195" s="1"/>
      <c r="Q1195" s="1"/>
      <c r="R1195" s="1"/>
      <c r="S1195" s="1"/>
      <c r="T1195" s="1"/>
      <c r="U1195" s="1"/>
      <c r="V1195" s="1"/>
      <c r="W1195" s="142"/>
    </row>
    <row r="1196" spans="1:23" ht="24" x14ac:dyDescent="0.25">
      <c r="A1196" s="1"/>
      <c r="B1196" s="1"/>
      <c r="C1196" s="1"/>
      <c r="D1196" s="1"/>
      <c r="E1196" s="30">
        <v>27</v>
      </c>
      <c r="F1196" s="169" t="s">
        <v>1307</v>
      </c>
      <c r="G1196" s="168">
        <v>1</v>
      </c>
      <c r="H1196" s="16" t="s">
        <v>28</v>
      </c>
      <c r="I1196" s="16">
        <v>5007.5</v>
      </c>
      <c r="J1196" s="16">
        <f t="shared" si="261"/>
        <v>5007.5</v>
      </c>
      <c r="K1196" s="1"/>
      <c r="L1196" s="1"/>
      <c r="M1196" s="1"/>
      <c r="N1196" s="1"/>
      <c r="O1196" s="1"/>
      <c r="P1196" s="1"/>
      <c r="Q1196" s="1"/>
      <c r="R1196" s="1"/>
      <c r="S1196" s="1"/>
      <c r="T1196" s="1"/>
      <c r="U1196" s="1"/>
      <c r="V1196" s="1"/>
      <c r="W1196" s="142"/>
    </row>
    <row r="1197" spans="1:23" ht="48" x14ac:dyDescent="0.25">
      <c r="A1197" s="1"/>
      <c r="B1197" s="1"/>
      <c r="C1197" s="1"/>
      <c r="D1197" s="1"/>
      <c r="E1197" s="30">
        <v>28</v>
      </c>
      <c r="F1197" s="169" t="s">
        <v>1308</v>
      </c>
      <c r="G1197" s="168">
        <v>1</v>
      </c>
      <c r="H1197" s="16" t="s">
        <v>181</v>
      </c>
      <c r="I1197" s="16">
        <v>25371.63</v>
      </c>
      <c r="J1197" s="16">
        <f t="shared" si="261"/>
        <v>25371.63</v>
      </c>
      <c r="K1197" s="1">
        <v>1</v>
      </c>
      <c r="L1197" s="1" t="s">
        <v>181</v>
      </c>
      <c r="M1197" s="1" t="s">
        <v>91</v>
      </c>
      <c r="N1197" s="1" t="s">
        <v>1364</v>
      </c>
      <c r="O1197" s="1"/>
      <c r="P1197" s="1"/>
      <c r="Q1197" s="1"/>
      <c r="R1197" s="1"/>
      <c r="S1197" s="1"/>
      <c r="T1197" s="1"/>
      <c r="U1197" s="1"/>
      <c r="V1197" s="1"/>
      <c r="W1197" s="142"/>
    </row>
    <row r="1198" spans="1:23" ht="36" x14ac:dyDescent="0.25">
      <c r="A1198" s="1"/>
      <c r="B1198" s="1"/>
      <c r="C1198" s="1"/>
      <c r="D1198" s="1"/>
      <c r="E1198" s="30">
        <v>29</v>
      </c>
      <c r="F1198" s="169" t="s">
        <v>1309</v>
      </c>
      <c r="G1198" s="168">
        <v>1</v>
      </c>
      <c r="H1198" s="16" t="s">
        <v>28</v>
      </c>
      <c r="I1198" s="16">
        <v>8345.8700000000008</v>
      </c>
      <c r="J1198" s="16">
        <f t="shared" si="261"/>
        <v>8345.8700000000008</v>
      </c>
      <c r="K1198" s="1"/>
      <c r="L1198" s="1"/>
      <c r="M1198" s="1"/>
      <c r="N1198" s="1"/>
      <c r="O1198" s="1"/>
      <c r="P1198" s="1"/>
      <c r="Q1198" s="1"/>
      <c r="R1198" s="1"/>
      <c r="S1198" s="1"/>
      <c r="T1198" s="1"/>
      <c r="U1198" s="1"/>
      <c r="V1198" s="1"/>
      <c r="W1198" s="142"/>
    </row>
    <row r="1199" spans="1:23" ht="24" x14ac:dyDescent="0.25">
      <c r="A1199" s="1"/>
      <c r="B1199" s="1"/>
      <c r="C1199" s="1"/>
      <c r="D1199" s="1"/>
      <c r="E1199" s="30">
        <v>30</v>
      </c>
      <c r="F1199" s="169" t="s">
        <v>1310</v>
      </c>
      <c r="G1199" s="168">
        <v>2</v>
      </c>
      <c r="H1199" s="16" t="s">
        <v>28</v>
      </c>
      <c r="I1199" s="16">
        <v>2336.7800000000002</v>
      </c>
      <c r="J1199" s="16">
        <f t="shared" si="261"/>
        <v>4673.5600000000004</v>
      </c>
      <c r="K1199" s="1"/>
      <c r="L1199" s="1"/>
      <c r="M1199" s="1"/>
      <c r="N1199" s="1"/>
      <c r="O1199" s="1"/>
      <c r="P1199" s="1"/>
      <c r="Q1199" s="1"/>
      <c r="R1199" s="1"/>
      <c r="S1199" s="1"/>
      <c r="T1199" s="1"/>
      <c r="U1199" s="1"/>
      <c r="V1199" s="1"/>
      <c r="W1199" s="142"/>
    </row>
    <row r="1200" spans="1:23" ht="24" x14ac:dyDescent="0.25">
      <c r="A1200" s="1"/>
      <c r="B1200" s="1"/>
      <c r="C1200" s="1"/>
      <c r="D1200" s="1"/>
      <c r="E1200" s="30">
        <v>31</v>
      </c>
      <c r="F1200" s="169" t="s">
        <v>1311</v>
      </c>
      <c r="G1200" s="168">
        <v>1</v>
      </c>
      <c r="H1200" s="16" t="s">
        <v>28</v>
      </c>
      <c r="I1200" s="16">
        <v>2537.1</v>
      </c>
      <c r="J1200" s="16">
        <f t="shared" si="261"/>
        <v>2537.1</v>
      </c>
      <c r="K1200" s="1"/>
      <c r="L1200" s="1"/>
      <c r="M1200" s="1"/>
      <c r="N1200" s="1"/>
      <c r="O1200" s="1"/>
      <c r="P1200" s="1"/>
      <c r="Q1200" s="1"/>
      <c r="R1200" s="1"/>
      <c r="S1200" s="1"/>
      <c r="T1200" s="1"/>
      <c r="U1200" s="1"/>
      <c r="V1200" s="1"/>
      <c r="W1200" s="142"/>
    </row>
    <row r="1201" spans="1:23" ht="24" x14ac:dyDescent="0.25">
      <c r="A1201" s="1"/>
      <c r="B1201" s="1"/>
      <c r="C1201" s="1"/>
      <c r="D1201" s="1"/>
      <c r="E1201" s="30">
        <v>32</v>
      </c>
      <c r="F1201" s="169" t="s">
        <v>1312</v>
      </c>
      <c r="G1201" s="168">
        <v>1</v>
      </c>
      <c r="H1201" s="16" t="s">
        <v>28</v>
      </c>
      <c r="I1201" s="16">
        <v>140.13</v>
      </c>
      <c r="J1201" s="16">
        <f t="shared" si="261"/>
        <v>140.13</v>
      </c>
      <c r="K1201" s="1"/>
      <c r="L1201" s="1"/>
      <c r="M1201" s="1"/>
      <c r="N1201" s="1"/>
      <c r="O1201" s="1"/>
      <c r="P1201" s="1"/>
      <c r="Q1201" s="1"/>
      <c r="R1201" s="1"/>
      <c r="S1201" s="1"/>
      <c r="T1201" s="1"/>
      <c r="U1201" s="1"/>
      <c r="V1201" s="1"/>
      <c r="W1201" s="142"/>
    </row>
    <row r="1202" spans="1:23" ht="24" x14ac:dyDescent="0.25">
      <c r="A1202" s="1"/>
      <c r="B1202" s="1"/>
      <c r="C1202" s="1"/>
      <c r="D1202" s="1"/>
      <c r="E1202" s="30">
        <v>33</v>
      </c>
      <c r="F1202" s="169" t="s">
        <v>1313</v>
      </c>
      <c r="G1202" s="168">
        <v>1</v>
      </c>
      <c r="H1202" s="16" t="s">
        <v>28</v>
      </c>
      <c r="I1202" s="16">
        <v>140.13</v>
      </c>
      <c r="J1202" s="16">
        <f t="shared" si="261"/>
        <v>140.13</v>
      </c>
      <c r="K1202" s="1"/>
      <c r="L1202" s="1"/>
      <c r="M1202" s="1"/>
      <c r="N1202" s="1"/>
      <c r="O1202" s="1"/>
      <c r="P1202" s="1"/>
      <c r="Q1202" s="1"/>
      <c r="R1202" s="1"/>
      <c r="S1202" s="1"/>
      <c r="T1202" s="1"/>
      <c r="U1202" s="1"/>
      <c r="V1202" s="1"/>
      <c r="W1202" s="142"/>
    </row>
    <row r="1203" spans="1:23" ht="24" x14ac:dyDescent="0.25">
      <c r="A1203" s="1"/>
      <c r="B1203" s="1"/>
      <c r="C1203" s="1"/>
      <c r="D1203" s="1"/>
      <c r="E1203" s="30">
        <v>34</v>
      </c>
      <c r="F1203" s="169" t="s">
        <v>1314</v>
      </c>
      <c r="G1203" s="168">
        <v>1</v>
      </c>
      <c r="H1203" s="16" t="s">
        <v>28</v>
      </c>
      <c r="I1203" s="16">
        <v>160.15</v>
      </c>
      <c r="J1203" s="16">
        <f t="shared" si="261"/>
        <v>160.15</v>
      </c>
      <c r="K1203" s="1"/>
      <c r="L1203" s="1"/>
      <c r="M1203" s="1"/>
      <c r="N1203" s="1"/>
      <c r="O1203" s="1"/>
      <c r="P1203" s="1"/>
      <c r="Q1203" s="1"/>
      <c r="R1203" s="1"/>
      <c r="S1203" s="1"/>
      <c r="T1203" s="1"/>
      <c r="U1203" s="1"/>
      <c r="V1203" s="1"/>
      <c r="W1203" s="142"/>
    </row>
    <row r="1204" spans="1:23" ht="60" x14ac:dyDescent="0.25">
      <c r="A1204" s="1"/>
      <c r="B1204" s="1"/>
      <c r="C1204" s="1"/>
      <c r="D1204" s="1"/>
      <c r="E1204" s="30">
        <v>35</v>
      </c>
      <c r="F1204" s="169" t="s">
        <v>1315</v>
      </c>
      <c r="G1204" s="168">
        <v>1</v>
      </c>
      <c r="H1204" s="16" t="s">
        <v>28</v>
      </c>
      <c r="I1204" s="16">
        <v>2336.7800000000002</v>
      </c>
      <c r="J1204" s="16">
        <f t="shared" si="261"/>
        <v>2336.7800000000002</v>
      </c>
      <c r="K1204" s="1"/>
      <c r="L1204" s="1"/>
      <c r="M1204" s="1"/>
      <c r="N1204" s="1"/>
      <c r="O1204" s="1"/>
      <c r="P1204" s="1"/>
      <c r="Q1204" s="1"/>
      <c r="R1204" s="1"/>
      <c r="S1204" s="1"/>
      <c r="T1204" s="1"/>
      <c r="U1204" s="1"/>
      <c r="V1204" s="1"/>
      <c r="W1204" s="142"/>
    </row>
    <row r="1205" spans="1:23" x14ac:dyDescent="0.25">
      <c r="A1205" s="1"/>
      <c r="B1205" s="1"/>
      <c r="C1205" s="1"/>
      <c r="D1205" s="1"/>
      <c r="E1205" s="30">
        <v>36</v>
      </c>
      <c r="F1205" s="167" t="s">
        <v>1316</v>
      </c>
      <c r="G1205" s="168">
        <v>4</v>
      </c>
      <c r="H1205" s="16" t="s">
        <v>28</v>
      </c>
      <c r="I1205" s="16">
        <v>1735.87</v>
      </c>
      <c r="J1205" s="16">
        <f t="shared" si="261"/>
        <v>6943.48</v>
      </c>
      <c r="K1205" s="1"/>
      <c r="L1205" s="1"/>
      <c r="M1205" s="1"/>
      <c r="N1205" s="1"/>
      <c r="O1205" s="1"/>
      <c r="P1205" s="1"/>
      <c r="Q1205" s="1"/>
      <c r="R1205" s="1"/>
      <c r="S1205" s="1"/>
      <c r="T1205" s="1"/>
      <c r="U1205" s="1"/>
      <c r="V1205" s="1"/>
      <c r="W1205" s="142"/>
    </row>
    <row r="1206" spans="1:23" x14ac:dyDescent="0.25">
      <c r="A1206" s="1"/>
      <c r="B1206" s="1"/>
      <c r="C1206" s="1"/>
      <c r="D1206" s="1"/>
      <c r="E1206" s="30">
        <v>37</v>
      </c>
      <c r="F1206" s="167" t="s">
        <v>1317</v>
      </c>
      <c r="G1206" s="168">
        <v>4</v>
      </c>
      <c r="H1206" s="16" t="s">
        <v>28</v>
      </c>
      <c r="I1206" s="16">
        <v>1735.87</v>
      </c>
      <c r="J1206" s="16">
        <f t="shared" si="261"/>
        <v>6943.48</v>
      </c>
      <c r="K1206" s="1"/>
      <c r="L1206" s="1"/>
      <c r="M1206" s="1"/>
      <c r="N1206" s="1"/>
      <c r="O1206" s="1"/>
      <c r="P1206" s="1"/>
      <c r="Q1206" s="1"/>
      <c r="R1206" s="1"/>
      <c r="S1206" s="1"/>
      <c r="T1206" s="1"/>
      <c r="U1206" s="1"/>
      <c r="V1206" s="1"/>
      <c r="W1206" s="142"/>
    </row>
    <row r="1207" spans="1:23" x14ac:dyDescent="0.25">
      <c r="A1207" s="1"/>
      <c r="B1207" s="1"/>
      <c r="C1207" s="1"/>
      <c r="D1207" s="1"/>
      <c r="E1207" s="30">
        <v>38</v>
      </c>
      <c r="F1207" s="167" t="s">
        <v>1318</v>
      </c>
      <c r="G1207" s="168">
        <v>8</v>
      </c>
      <c r="H1207" s="16" t="s">
        <v>28</v>
      </c>
      <c r="I1207" s="16">
        <v>1735.87</v>
      </c>
      <c r="J1207" s="16">
        <f t="shared" si="261"/>
        <v>13886.96</v>
      </c>
      <c r="K1207" s="1"/>
      <c r="L1207" s="1"/>
      <c r="M1207" s="1"/>
      <c r="N1207" s="1"/>
      <c r="O1207" s="1"/>
      <c r="P1207" s="1"/>
      <c r="Q1207" s="1"/>
      <c r="R1207" s="1"/>
      <c r="S1207" s="1"/>
      <c r="T1207" s="1"/>
      <c r="U1207" s="1"/>
      <c r="V1207" s="1"/>
      <c r="W1207" s="142"/>
    </row>
    <row r="1208" spans="1:23" x14ac:dyDescent="0.25">
      <c r="A1208" s="1"/>
      <c r="B1208" s="1"/>
      <c r="C1208" s="1"/>
      <c r="D1208" s="1"/>
      <c r="E1208" s="30">
        <v>39</v>
      </c>
      <c r="F1208" s="167" t="s">
        <v>1319</v>
      </c>
      <c r="G1208" s="168">
        <v>5</v>
      </c>
      <c r="H1208" s="16" t="s">
        <v>28</v>
      </c>
      <c r="I1208" s="16">
        <v>253.65</v>
      </c>
      <c r="J1208" s="16">
        <f t="shared" si="261"/>
        <v>1268.25</v>
      </c>
      <c r="K1208" s="1"/>
      <c r="L1208" s="1"/>
      <c r="M1208" s="1"/>
      <c r="N1208" s="1"/>
      <c r="O1208" s="1"/>
      <c r="P1208" s="1"/>
      <c r="Q1208" s="1"/>
      <c r="R1208" s="1"/>
      <c r="S1208" s="1"/>
      <c r="T1208" s="1"/>
      <c r="U1208" s="1"/>
      <c r="V1208" s="1"/>
      <c r="W1208" s="142"/>
    </row>
    <row r="1209" spans="1:23" x14ac:dyDescent="0.25">
      <c r="A1209" s="1"/>
      <c r="B1209" s="1"/>
      <c r="C1209" s="1"/>
      <c r="D1209" s="1"/>
      <c r="E1209" s="30">
        <v>40</v>
      </c>
      <c r="F1209" s="167" t="s">
        <v>1320</v>
      </c>
      <c r="G1209" s="168">
        <v>5</v>
      </c>
      <c r="H1209" s="16" t="s">
        <v>28</v>
      </c>
      <c r="I1209" s="16">
        <v>253.65</v>
      </c>
      <c r="J1209" s="16">
        <f t="shared" si="261"/>
        <v>1268.25</v>
      </c>
      <c r="K1209" s="1"/>
      <c r="L1209" s="1"/>
      <c r="M1209" s="1"/>
      <c r="N1209" s="1"/>
      <c r="O1209" s="1"/>
      <c r="P1209" s="1"/>
      <c r="Q1209" s="1"/>
      <c r="R1209" s="1"/>
      <c r="S1209" s="1"/>
      <c r="T1209" s="1"/>
      <c r="U1209" s="1"/>
      <c r="V1209" s="1"/>
      <c r="W1209" s="142"/>
    </row>
    <row r="1210" spans="1:23" ht="24" x14ac:dyDescent="0.25">
      <c r="A1210" s="1"/>
      <c r="B1210" s="1"/>
      <c r="C1210" s="1"/>
      <c r="D1210" s="1"/>
      <c r="E1210" s="30">
        <v>41</v>
      </c>
      <c r="F1210" s="169" t="s">
        <v>1321</v>
      </c>
      <c r="G1210" s="168">
        <v>1</v>
      </c>
      <c r="H1210" s="16" t="s">
        <v>28</v>
      </c>
      <c r="I1210" s="16">
        <v>5007.5</v>
      </c>
      <c r="J1210" s="16">
        <f t="shared" si="261"/>
        <v>5007.5</v>
      </c>
      <c r="K1210" s="1"/>
      <c r="L1210" s="1"/>
      <c r="M1210" s="1"/>
      <c r="N1210" s="1"/>
      <c r="O1210" s="1"/>
      <c r="P1210" s="1"/>
      <c r="Q1210" s="1"/>
      <c r="R1210" s="1"/>
      <c r="S1210" s="1"/>
      <c r="T1210" s="1"/>
      <c r="U1210" s="1"/>
      <c r="V1210" s="1"/>
      <c r="W1210" s="142"/>
    </row>
    <row r="1211" spans="1:23" ht="24" x14ac:dyDescent="0.25">
      <c r="A1211" s="1"/>
      <c r="B1211" s="1"/>
      <c r="C1211" s="1"/>
      <c r="D1211" s="1"/>
      <c r="E1211" s="30">
        <v>42</v>
      </c>
      <c r="F1211" s="169" t="s">
        <v>1322</v>
      </c>
      <c r="G1211" s="168">
        <v>2</v>
      </c>
      <c r="H1211" s="16" t="s">
        <v>28</v>
      </c>
      <c r="I1211" s="16">
        <v>2336.7800000000002</v>
      </c>
      <c r="J1211" s="16">
        <f t="shared" si="261"/>
        <v>4673.5600000000004</v>
      </c>
      <c r="K1211" s="1"/>
      <c r="L1211" s="1"/>
      <c r="M1211" s="1"/>
      <c r="N1211" s="1"/>
      <c r="O1211" s="1"/>
      <c r="P1211" s="1"/>
      <c r="Q1211" s="1"/>
      <c r="R1211" s="1"/>
      <c r="S1211" s="1"/>
      <c r="T1211" s="1"/>
      <c r="U1211" s="1"/>
      <c r="V1211" s="1"/>
      <c r="W1211" s="142"/>
    </row>
    <row r="1212" spans="1:23" ht="24" x14ac:dyDescent="0.25">
      <c r="A1212" s="1"/>
      <c r="B1212" s="1"/>
      <c r="C1212" s="1"/>
      <c r="D1212" s="1"/>
      <c r="E1212" s="30">
        <v>43</v>
      </c>
      <c r="F1212" s="169" t="s">
        <v>1323</v>
      </c>
      <c r="G1212" s="168">
        <v>1</v>
      </c>
      <c r="H1212" s="16" t="s">
        <v>28</v>
      </c>
      <c r="I1212" s="16">
        <v>2336.7800000000002</v>
      </c>
      <c r="J1212" s="16">
        <f t="shared" si="261"/>
        <v>2336.7800000000002</v>
      </c>
      <c r="K1212" s="1"/>
      <c r="L1212" s="1"/>
      <c r="M1212" s="1"/>
      <c r="N1212" s="1"/>
      <c r="O1212" s="1"/>
      <c r="P1212" s="1"/>
      <c r="Q1212" s="1"/>
      <c r="R1212" s="1"/>
      <c r="S1212" s="1"/>
      <c r="T1212" s="1"/>
      <c r="U1212" s="1"/>
      <c r="V1212" s="1"/>
      <c r="W1212" s="142"/>
    </row>
    <row r="1213" spans="1:23" ht="24" x14ac:dyDescent="0.25">
      <c r="A1213" s="1"/>
      <c r="B1213" s="1"/>
      <c r="C1213" s="1"/>
      <c r="D1213" s="1"/>
      <c r="E1213" s="30">
        <v>44</v>
      </c>
      <c r="F1213" s="169" t="s">
        <v>1324</v>
      </c>
      <c r="G1213" s="168">
        <v>44</v>
      </c>
      <c r="H1213" s="16" t="s">
        <v>28</v>
      </c>
      <c r="I1213" s="16">
        <v>801.14</v>
      </c>
      <c r="J1213" s="16">
        <f t="shared" si="261"/>
        <v>35250.159999999996</v>
      </c>
      <c r="K1213" s="1"/>
      <c r="L1213" s="1"/>
      <c r="M1213" s="1"/>
      <c r="N1213" s="1"/>
      <c r="O1213" s="1"/>
      <c r="P1213" s="1"/>
      <c r="Q1213" s="1"/>
      <c r="R1213" s="1"/>
      <c r="S1213" s="1"/>
      <c r="T1213" s="1"/>
      <c r="U1213" s="1"/>
      <c r="V1213" s="1"/>
      <c r="W1213" s="142"/>
    </row>
    <row r="1214" spans="1:23" ht="48" x14ac:dyDescent="0.25">
      <c r="A1214" s="1"/>
      <c r="B1214" s="1"/>
      <c r="C1214" s="1"/>
      <c r="D1214" s="1"/>
      <c r="E1214" s="30">
        <v>45</v>
      </c>
      <c r="F1214" s="169" t="s">
        <v>1325</v>
      </c>
      <c r="G1214" s="168">
        <v>1</v>
      </c>
      <c r="H1214" s="16" t="s">
        <v>28</v>
      </c>
      <c r="I1214" s="16">
        <v>3004.46</v>
      </c>
      <c r="J1214" s="16">
        <f t="shared" si="261"/>
        <v>3004.46</v>
      </c>
      <c r="K1214" s="1"/>
      <c r="L1214" s="1"/>
      <c r="M1214" s="1"/>
      <c r="N1214" s="1"/>
      <c r="O1214" s="1"/>
      <c r="P1214" s="1"/>
      <c r="Q1214" s="1"/>
      <c r="R1214" s="1"/>
      <c r="S1214" s="1"/>
      <c r="T1214" s="1"/>
      <c r="U1214" s="1"/>
      <c r="V1214" s="1"/>
      <c r="W1214" s="142"/>
    </row>
    <row r="1215" spans="1:23" ht="24" x14ac:dyDescent="0.25">
      <c r="A1215" s="1"/>
      <c r="B1215" s="1"/>
      <c r="C1215" s="1"/>
      <c r="D1215" s="1"/>
      <c r="E1215" s="30">
        <v>46</v>
      </c>
      <c r="F1215" s="169" t="s">
        <v>1326</v>
      </c>
      <c r="G1215" s="168">
        <v>1</v>
      </c>
      <c r="H1215" s="16" t="s">
        <v>28</v>
      </c>
      <c r="I1215" s="16">
        <v>3004.46</v>
      </c>
      <c r="J1215" s="16">
        <f t="shared" si="261"/>
        <v>3004.46</v>
      </c>
      <c r="K1215" s="1"/>
      <c r="L1215" s="1"/>
      <c r="M1215" s="1"/>
      <c r="N1215" s="1"/>
      <c r="O1215" s="1"/>
      <c r="P1215" s="1"/>
      <c r="Q1215" s="1"/>
      <c r="R1215" s="1"/>
      <c r="S1215" s="1"/>
      <c r="T1215" s="1"/>
      <c r="U1215" s="1"/>
      <c r="V1215" s="1"/>
      <c r="W1215" s="142"/>
    </row>
    <row r="1216" spans="1:23" ht="24" x14ac:dyDescent="0.25">
      <c r="A1216" s="1"/>
      <c r="B1216" s="1"/>
      <c r="C1216" s="1"/>
      <c r="D1216" s="1"/>
      <c r="E1216" s="30">
        <v>47</v>
      </c>
      <c r="F1216" s="169" t="s">
        <v>1327</v>
      </c>
      <c r="G1216" s="168">
        <v>1</v>
      </c>
      <c r="H1216" s="16" t="s">
        <v>28</v>
      </c>
      <c r="I1216" s="16">
        <v>5007.5</v>
      </c>
      <c r="J1216" s="16">
        <f t="shared" si="261"/>
        <v>5007.5</v>
      </c>
      <c r="K1216" s="1"/>
      <c r="L1216" s="1"/>
      <c r="M1216" s="1"/>
      <c r="N1216" s="1"/>
      <c r="O1216" s="1"/>
      <c r="P1216" s="1"/>
      <c r="Q1216" s="1"/>
      <c r="R1216" s="1"/>
      <c r="S1216" s="1"/>
      <c r="T1216" s="1"/>
      <c r="U1216" s="1"/>
      <c r="V1216" s="1"/>
      <c r="W1216" s="142"/>
    </row>
    <row r="1217" spans="1:23" ht="24" x14ac:dyDescent="0.25">
      <c r="A1217" s="1"/>
      <c r="B1217" s="1"/>
      <c r="C1217" s="1"/>
      <c r="D1217" s="1"/>
      <c r="E1217" s="30">
        <v>48</v>
      </c>
      <c r="F1217" s="169" t="s">
        <v>1328</v>
      </c>
      <c r="G1217" s="168">
        <v>1</v>
      </c>
      <c r="H1217" s="16" t="s">
        <v>181</v>
      </c>
      <c r="I1217" s="16">
        <v>3004.46</v>
      </c>
      <c r="J1217" s="16">
        <f t="shared" si="261"/>
        <v>3004.46</v>
      </c>
      <c r="K1217" s="1"/>
      <c r="L1217" s="1"/>
      <c r="M1217" s="1"/>
      <c r="N1217" s="1"/>
      <c r="O1217" s="1"/>
      <c r="P1217" s="1"/>
      <c r="Q1217" s="1"/>
      <c r="R1217" s="1"/>
      <c r="S1217" s="1"/>
      <c r="T1217" s="1"/>
      <c r="U1217" s="1"/>
      <c r="V1217" s="1"/>
      <c r="W1217" s="142"/>
    </row>
    <row r="1218" spans="1:23" ht="24" x14ac:dyDescent="0.25">
      <c r="A1218" s="1"/>
      <c r="B1218" s="1"/>
      <c r="C1218" s="1"/>
      <c r="D1218" s="1"/>
      <c r="E1218" s="30">
        <v>49</v>
      </c>
      <c r="F1218" s="169" t="s">
        <v>1329</v>
      </c>
      <c r="G1218" s="168">
        <v>1</v>
      </c>
      <c r="H1218" s="16" t="s">
        <v>181</v>
      </c>
      <c r="I1218" s="16">
        <v>2336.7800000000002</v>
      </c>
      <c r="J1218" s="16">
        <f t="shared" si="261"/>
        <v>2336.7800000000002</v>
      </c>
      <c r="K1218" s="1"/>
      <c r="L1218" s="1"/>
      <c r="M1218" s="1"/>
      <c r="N1218" s="1"/>
      <c r="O1218" s="1"/>
      <c r="P1218" s="1"/>
      <c r="Q1218" s="1"/>
      <c r="R1218" s="1"/>
      <c r="S1218" s="1"/>
      <c r="T1218" s="1"/>
      <c r="U1218" s="1"/>
      <c r="V1218" s="1"/>
      <c r="W1218" s="142"/>
    </row>
    <row r="1219" spans="1:23" x14ac:dyDescent="0.25">
      <c r="A1219" s="1"/>
      <c r="B1219" s="1"/>
      <c r="C1219" s="1"/>
      <c r="D1219" s="1"/>
      <c r="E1219" s="30">
        <v>50</v>
      </c>
      <c r="F1219" s="169" t="s">
        <v>1330</v>
      </c>
      <c r="G1219" s="168">
        <v>2</v>
      </c>
      <c r="H1219" s="16" t="s">
        <v>181</v>
      </c>
      <c r="I1219" s="16">
        <v>2336.7800000000002</v>
      </c>
      <c r="J1219" s="16">
        <f t="shared" si="261"/>
        <v>4673.5600000000004</v>
      </c>
      <c r="K1219" s="1"/>
      <c r="L1219" s="1"/>
      <c r="M1219" s="1"/>
      <c r="N1219" s="1"/>
      <c r="O1219" s="1"/>
      <c r="P1219" s="1"/>
      <c r="Q1219" s="1"/>
      <c r="R1219" s="1"/>
      <c r="S1219" s="1"/>
      <c r="T1219" s="1"/>
      <c r="U1219" s="1"/>
      <c r="V1219" s="1"/>
      <c r="W1219" s="142"/>
    </row>
    <row r="1220" spans="1:23" ht="36" x14ac:dyDescent="0.25">
      <c r="A1220" s="1"/>
      <c r="B1220" s="1"/>
      <c r="C1220" s="1"/>
      <c r="D1220" s="1"/>
      <c r="E1220" s="30">
        <v>51</v>
      </c>
      <c r="F1220" s="169" t="s">
        <v>1331</v>
      </c>
      <c r="G1220" s="168">
        <v>10</v>
      </c>
      <c r="H1220" s="16" t="s">
        <v>60</v>
      </c>
      <c r="I1220" s="16">
        <v>233.61</v>
      </c>
      <c r="J1220" s="16">
        <f t="shared" si="261"/>
        <v>2336.1000000000004</v>
      </c>
      <c r="K1220" s="1">
        <v>10</v>
      </c>
      <c r="L1220" s="1" t="s">
        <v>60</v>
      </c>
      <c r="M1220" s="1" t="s">
        <v>91</v>
      </c>
      <c r="N1220" s="1" t="s">
        <v>1365</v>
      </c>
      <c r="O1220" s="1"/>
      <c r="P1220" s="1"/>
      <c r="Q1220" s="1"/>
      <c r="R1220" s="1"/>
      <c r="S1220" s="1"/>
      <c r="T1220" s="1"/>
      <c r="U1220" s="1"/>
      <c r="V1220" s="1"/>
      <c r="W1220" s="142"/>
    </row>
    <row r="1221" spans="1:23" ht="36" x14ac:dyDescent="0.25">
      <c r="A1221" s="1"/>
      <c r="B1221" s="1"/>
      <c r="C1221" s="1"/>
      <c r="D1221" s="1"/>
      <c r="E1221" s="30">
        <v>52</v>
      </c>
      <c r="F1221" s="169" t="s">
        <v>1332</v>
      </c>
      <c r="G1221" s="168">
        <v>2</v>
      </c>
      <c r="H1221" s="16" t="s">
        <v>181</v>
      </c>
      <c r="I1221" s="16">
        <v>5675.15</v>
      </c>
      <c r="J1221" s="16">
        <f t="shared" si="261"/>
        <v>11350.3</v>
      </c>
      <c r="K1221" s="1"/>
      <c r="L1221" s="1"/>
      <c r="M1221" s="1"/>
      <c r="N1221" s="1"/>
      <c r="O1221" s="1"/>
      <c r="P1221" s="1"/>
      <c r="Q1221" s="1"/>
      <c r="R1221" s="1"/>
      <c r="S1221" s="1"/>
      <c r="T1221" s="1"/>
      <c r="U1221" s="1"/>
      <c r="V1221" s="1"/>
      <c r="W1221" s="142"/>
    </row>
    <row r="1222" spans="1:23" ht="36" x14ac:dyDescent="0.25">
      <c r="A1222" s="1"/>
      <c r="B1222" s="1"/>
      <c r="C1222" s="1"/>
      <c r="D1222" s="1"/>
      <c r="E1222" s="30">
        <v>53</v>
      </c>
      <c r="F1222" s="169" t="s">
        <v>1333</v>
      </c>
      <c r="G1222" s="168">
        <v>2</v>
      </c>
      <c r="H1222" s="16" t="s">
        <v>181</v>
      </c>
      <c r="I1222" s="16">
        <v>3004.46</v>
      </c>
      <c r="J1222" s="16">
        <f t="shared" si="261"/>
        <v>6008.92</v>
      </c>
      <c r="K1222" s="1"/>
      <c r="L1222" s="1"/>
      <c r="M1222" s="1"/>
      <c r="N1222" s="1"/>
      <c r="O1222" s="1"/>
      <c r="P1222" s="1"/>
      <c r="Q1222" s="1"/>
      <c r="R1222" s="1"/>
      <c r="S1222" s="1"/>
      <c r="T1222" s="1"/>
      <c r="U1222" s="1"/>
      <c r="V1222" s="1"/>
      <c r="W1222" s="142"/>
    </row>
    <row r="1223" spans="1:23" ht="36" x14ac:dyDescent="0.25">
      <c r="A1223" s="1"/>
      <c r="B1223" s="1"/>
      <c r="C1223" s="1"/>
      <c r="D1223" s="1"/>
      <c r="E1223" s="30">
        <v>54</v>
      </c>
      <c r="F1223" s="169" t="s">
        <v>1334</v>
      </c>
      <c r="G1223" s="168">
        <v>10</v>
      </c>
      <c r="H1223" s="16" t="s">
        <v>181</v>
      </c>
      <c r="I1223" s="16">
        <v>1669.12</v>
      </c>
      <c r="J1223" s="16">
        <f t="shared" si="261"/>
        <v>16691.199999999997</v>
      </c>
      <c r="K1223" s="1"/>
      <c r="L1223" s="1"/>
      <c r="M1223" s="1"/>
      <c r="N1223" s="1"/>
      <c r="O1223" s="1"/>
      <c r="P1223" s="1"/>
      <c r="Q1223" s="1"/>
      <c r="R1223" s="1"/>
      <c r="S1223" s="1"/>
      <c r="T1223" s="1"/>
      <c r="U1223" s="1"/>
      <c r="V1223" s="1"/>
      <c r="W1223" s="142"/>
    </row>
    <row r="1224" spans="1:23" x14ac:dyDescent="0.25">
      <c r="A1224" s="1"/>
      <c r="B1224" s="1"/>
      <c r="C1224" s="1"/>
      <c r="D1224" s="1"/>
      <c r="E1224" s="30">
        <v>55</v>
      </c>
      <c r="F1224" s="169" t="s">
        <v>1366</v>
      </c>
      <c r="G1224" s="168">
        <v>1</v>
      </c>
      <c r="H1224" s="16" t="s">
        <v>181</v>
      </c>
      <c r="I1224" s="16">
        <v>16691.830000000002</v>
      </c>
      <c r="J1224" s="16">
        <f t="shared" si="261"/>
        <v>16691.830000000002</v>
      </c>
      <c r="K1224" s="1"/>
      <c r="L1224" s="1"/>
      <c r="M1224" s="1"/>
      <c r="N1224" s="1"/>
      <c r="O1224" s="1"/>
      <c r="P1224" s="1"/>
      <c r="Q1224" s="1"/>
      <c r="R1224" s="1"/>
      <c r="S1224" s="1"/>
      <c r="T1224" s="1"/>
      <c r="U1224" s="1"/>
      <c r="V1224" s="1"/>
      <c r="W1224" s="142"/>
    </row>
    <row r="1225" spans="1:23" x14ac:dyDescent="0.25">
      <c r="A1225" s="1"/>
      <c r="B1225" s="1"/>
      <c r="C1225" s="1"/>
      <c r="D1225" s="1"/>
      <c r="E1225" s="30">
        <v>56</v>
      </c>
      <c r="F1225" s="167" t="s">
        <v>1335</v>
      </c>
      <c r="G1225" s="168">
        <v>1</v>
      </c>
      <c r="H1225" s="16" t="s">
        <v>181</v>
      </c>
      <c r="I1225" s="16">
        <v>2002.94</v>
      </c>
      <c r="J1225" s="16">
        <f t="shared" si="261"/>
        <v>2002.94</v>
      </c>
      <c r="K1225" s="1"/>
      <c r="L1225" s="1"/>
      <c r="M1225" s="1"/>
      <c r="N1225" s="1"/>
      <c r="O1225" s="1"/>
      <c r="P1225" s="1"/>
      <c r="Q1225" s="1"/>
      <c r="R1225" s="1"/>
      <c r="S1225" s="1"/>
      <c r="T1225" s="1"/>
      <c r="U1225" s="1"/>
      <c r="V1225" s="1"/>
      <c r="W1225" s="142"/>
    </row>
    <row r="1226" spans="1:23" x14ac:dyDescent="0.25">
      <c r="A1226" s="1"/>
      <c r="B1226" s="1"/>
      <c r="C1226" s="1"/>
      <c r="D1226" s="1"/>
      <c r="E1226" s="30">
        <v>57</v>
      </c>
      <c r="F1226" s="167" t="s">
        <v>1336</v>
      </c>
      <c r="G1226" s="168">
        <v>1</v>
      </c>
      <c r="H1226" s="16" t="s">
        <v>181</v>
      </c>
      <c r="I1226" s="16">
        <v>5341.32</v>
      </c>
      <c r="J1226" s="16">
        <f t="shared" si="261"/>
        <v>5341.32</v>
      </c>
      <c r="K1226" s="1"/>
      <c r="L1226" s="1"/>
      <c r="M1226" s="1"/>
      <c r="N1226" s="1"/>
      <c r="O1226" s="1"/>
      <c r="P1226" s="1"/>
      <c r="Q1226" s="1"/>
      <c r="R1226" s="1"/>
      <c r="S1226" s="1"/>
      <c r="T1226" s="1"/>
      <c r="U1226" s="1"/>
      <c r="V1226" s="1"/>
      <c r="W1226" s="142"/>
    </row>
    <row r="1227" spans="1:23" x14ac:dyDescent="0.25">
      <c r="A1227" s="1"/>
      <c r="B1227" s="1"/>
      <c r="C1227" s="1"/>
      <c r="D1227" s="1"/>
      <c r="E1227" s="30">
        <v>58</v>
      </c>
      <c r="F1227" s="167" t="s">
        <v>1337</v>
      </c>
      <c r="G1227" s="168">
        <v>1</v>
      </c>
      <c r="H1227" s="16" t="s">
        <v>181</v>
      </c>
      <c r="I1227" s="16">
        <v>4005.97</v>
      </c>
      <c r="J1227" s="16">
        <f t="shared" si="261"/>
        <v>4005.97</v>
      </c>
      <c r="K1227" s="1"/>
      <c r="L1227" s="1"/>
      <c r="M1227" s="1"/>
      <c r="N1227" s="1"/>
      <c r="O1227" s="1"/>
      <c r="P1227" s="1"/>
      <c r="Q1227" s="1"/>
      <c r="R1227" s="1"/>
      <c r="S1227" s="1"/>
      <c r="T1227" s="1"/>
      <c r="U1227" s="1"/>
      <c r="V1227" s="1"/>
      <c r="W1227" s="142"/>
    </row>
    <row r="1228" spans="1:23" x14ac:dyDescent="0.25">
      <c r="A1228" s="1"/>
      <c r="B1228" s="1"/>
      <c r="C1228" s="1"/>
      <c r="D1228" s="1"/>
      <c r="E1228" s="30">
        <v>59</v>
      </c>
      <c r="F1228" s="167" t="s">
        <v>1338</v>
      </c>
      <c r="G1228" s="168">
        <v>1</v>
      </c>
      <c r="H1228" s="16" t="s">
        <v>181</v>
      </c>
      <c r="I1228" s="16">
        <v>2002.94</v>
      </c>
      <c r="J1228" s="16">
        <f t="shared" si="261"/>
        <v>2002.94</v>
      </c>
      <c r="K1228" s="1"/>
      <c r="L1228" s="1"/>
      <c r="M1228" s="1"/>
      <c r="N1228" s="1"/>
      <c r="O1228" s="1"/>
      <c r="P1228" s="1"/>
      <c r="Q1228" s="1"/>
      <c r="R1228" s="1"/>
      <c r="S1228" s="1"/>
      <c r="T1228" s="1"/>
      <c r="U1228" s="1"/>
      <c r="V1228" s="1"/>
      <c r="W1228" s="142"/>
    </row>
    <row r="1229" spans="1:23" x14ac:dyDescent="0.25">
      <c r="A1229" s="1"/>
      <c r="B1229" s="1"/>
      <c r="C1229" s="1"/>
      <c r="D1229" s="1"/>
      <c r="E1229" s="30">
        <v>60</v>
      </c>
      <c r="F1229" s="167" t="s">
        <v>1339</v>
      </c>
      <c r="G1229" s="168">
        <v>1</v>
      </c>
      <c r="H1229" s="16" t="s">
        <v>181</v>
      </c>
      <c r="I1229" s="16">
        <v>3338.28</v>
      </c>
      <c r="J1229" s="16">
        <f t="shared" si="261"/>
        <v>3338.28</v>
      </c>
      <c r="K1229" s="1"/>
      <c r="L1229" s="1"/>
      <c r="M1229" s="1"/>
      <c r="N1229" s="1"/>
      <c r="O1229" s="1"/>
      <c r="P1229" s="1"/>
      <c r="Q1229" s="1"/>
      <c r="R1229" s="1"/>
      <c r="S1229" s="1"/>
      <c r="T1229" s="1"/>
      <c r="U1229" s="1"/>
      <c r="V1229" s="1"/>
      <c r="W1229" s="142"/>
    </row>
    <row r="1230" spans="1:23" x14ac:dyDescent="0.25">
      <c r="A1230" s="1"/>
      <c r="B1230" s="1"/>
      <c r="C1230" s="1"/>
      <c r="D1230" s="1"/>
      <c r="E1230" s="30">
        <v>61</v>
      </c>
      <c r="F1230" s="167" t="s">
        <v>1340</v>
      </c>
      <c r="G1230" s="168">
        <v>1</v>
      </c>
      <c r="H1230" s="16" t="s">
        <v>181</v>
      </c>
      <c r="I1230" s="16">
        <v>2002.94</v>
      </c>
      <c r="J1230" s="16">
        <f t="shared" si="261"/>
        <v>2002.94</v>
      </c>
      <c r="K1230" s="1"/>
      <c r="L1230" s="1"/>
      <c r="M1230" s="1"/>
      <c r="N1230" s="1"/>
      <c r="O1230" s="1"/>
      <c r="P1230" s="1"/>
      <c r="Q1230" s="1"/>
      <c r="R1230" s="1"/>
      <c r="S1230" s="1"/>
      <c r="T1230" s="1"/>
      <c r="U1230" s="1"/>
      <c r="V1230" s="1"/>
      <c r="W1230" s="142"/>
    </row>
    <row r="1231" spans="1:23" x14ac:dyDescent="0.25">
      <c r="A1231" s="1"/>
      <c r="B1231" s="1"/>
      <c r="C1231" s="1"/>
      <c r="D1231" s="1"/>
      <c r="E1231" s="30">
        <v>62</v>
      </c>
      <c r="F1231" s="167" t="s">
        <v>1341</v>
      </c>
      <c r="G1231" s="168">
        <v>1</v>
      </c>
      <c r="H1231" s="16" t="s">
        <v>181</v>
      </c>
      <c r="I1231" s="16">
        <v>1335.27</v>
      </c>
      <c r="J1231" s="16">
        <f t="shared" si="261"/>
        <v>1335.27</v>
      </c>
      <c r="K1231" s="1"/>
      <c r="L1231" s="1"/>
      <c r="M1231" s="1"/>
      <c r="N1231" s="1"/>
      <c r="O1231" s="1"/>
      <c r="P1231" s="1"/>
      <c r="Q1231" s="1"/>
      <c r="R1231" s="1"/>
      <c r="S1231" s="1"/>
      <c r="T1231" s="1"/>
      <c r="U1231" s="1"/>
      <c r="V1231" s="1"/>
      <c r="W1231" s="142"/>
    </row>
    <row r="1232" spans="1:23" x14ac:dyDescent="0.25">
      <c r="A1232" s="1"/>
      <c r="B1232" s="1"/>
      <c r="C1232" s="1"/>
      <c r="D1232" s="1"/>
      <c r="E1232" s="30">
        <v>63</v>
      </c>
      <c r="F1232" s="167" t="s">
        <v>1342</v>
      </c>
      <c r="G1232" s="168">
        <v>1</v>
      </c>
      <c r="H1232" s="16" t="s">
        <v>181</v>
      </c>
      <c r="I1232" s="16">
        <v>2336.7800000000002</v>
      </c>
      <c r="J1232" s="16">
        <f t="shared" si="261"/>
        <v>2336.7800000000002</v>
      </c>
      <c r="K1232" s="1"/>
      <c r="L1232" s="1"/>
      <c r="M1232" s="1"/>
      <c r="N1232" s="1"/>
      <c r="O1232" s="1"/>
      <c r="P1232" s="1"/>
      <c r="Q1232" s="1"/>
      <c r="R1232" s="1"/>
      <c r="S1232" s="1"/>
      <c r="T1232" s="1"/>
      <c r="U1232" s="1"/>
      <c r="V1232" s="1"/>
      <c r="W1232" s="142"/>
    </row>
    <row r="1233" spans="1:23" x14ac:dyDescent="0.25">
      <c r="A1233" s="1"/>
      <c r="B1233" s="1"/>
      <c r="C1233" s="1"/>
      <c r="D1233" s="1"/>
      <c r="E1233" s="30">
        <v>64</v>
      </c>
      <c r="F1233" s="167" t="s">
        <v>1343</v>
      </c>
      <c r="G1233" s="168">
        <v>1</v>
      </c>
      <c r="H1233" s="16" t="s">
        <v>181</v>
      </c>
      <c r="I1233" s="16">
        <v>2670.63</v>
      </c>
      <c r="J1233" s="16">
        <f t="shared" si="261"/>
        <v>2670.63</v>
      </c>
      <c r="K1233" s="1"/>
      <c r="L1233" s="1"/>
      <c r="M1233" s="1"/>
      <c r="N1233" s="1"/>
      <c r="O1233" s="1"/>
      <c r="P1233" s="1"/>
      <c r="Q1233" s="1"/>
      <c r="R1233" s="1"/>
      <c r="S1233" s="1"/>
      <c r="T1233" s="1"/>
      <c r="U1233" s="1"/>
      <c r="V1233" s="1"/>
      <c r="W1233" s="142"/>
    </row>
    <row r="1234" spans="1:23" x14ac:dyDescent="0.25">
      <c r="A1234" s="1"/>
      <c r="B1234" s="1"/>
      <c r="C1234" s="1"/>
      <c r="D1234" s="1"/>
      <c r="E1234" s="30">
        <v>65</v>
      </c>
      <c r="F1234" s="167" t="s">
        <v>1344</v>
      </c>
      <c r="G1234" s="168">
        <v>1</v>
      </c>
      <c r="H1234" s="16" t="s">
        <v>181</v>
      </c>
      <c r="I1234" s="16">
        <v>4005.97</v>
      </c>
      <c r="J1234" s="16">
        <f t="shared" si="261"/>
        <v>4005.97</v>
      </c>
      <c r="K1234" s="1"/>
      <c r="L1234" s="1"/>
      <c r="M1234" s="1"/>
      <c r="N1234" s="1"/>
      <c r="O1234" s="1"/>
      <c r="P1234" s="1"/>
      <c r="Q1234" s="1"/>
      <c r="R1234" s="1"/>
      <c r="S1234" s="1"/>
      <c r="T1234" s="1"/>
      <c r="U1234" s="1"/>
      <c r="V1234" s="1"/>
      <c r="W1234" s="142"/>
    </row>
    <row r="1235" spans="1:23" x14ac:dyDescent="0.25">
      <c r="A1235" s="1"/>
      <c r="B1235" s="1"/>
      <c r="C1235" s="1"/>
      <c r="D1235" s="1"/>
      <c r="E1235" s="30">
        <v>66</v>
      </c>
      <c r="F1235" s="167" t="s">
        <v>1345</v>
      </c>
      <c r="G1235" s="168">
        <v>1</v>
      </c>
      <c r="H1235" s="16" t="s">
        <v>181</v>
      </c>
      <c r="I1235" s="16">
        <v>2670.63</v>
      </c>
      <c r="J1235" s="16">
        <f t="shared" ref="J1235:J1239" si="262">G1235*I1235</f>
        <v>2670.63</v>
      </c>
      <c r="K1235" s="1"/>
      <c r="L1235" s="1"/>
      <c r="M1235" s="1"/>
      <c r="N1235" s="1"/>
      <c r="O1235" s="1"/>
      <c r="P1235" s="1"/>
      <c r="Q1235" s="1"/>
      <c r="R1235" s="1"/>
      <c r="S1235" s="1"/>
      <c r="T1235" s="1"/>
      <c r="U1235" s="1"/>
      <c r="V1235" s="1"/>
      <c r="W1235" s="142"/>
    </row>
    <row r="1236" spans="1:23" x14ac:dyDescent="0.25">
      <c r="A1236" s="1"/>
      <c r="B1236" s="1"/>
      <c r="C1236" s="1"/>
      <c r="D1236" s="1"/>
      <c r="E1236" s="30">
        <v>67</v>
      </c>
      <c r="F1236" s="167" t="s">
        <v>1346</v>
      </c>
      <c r="G1236" s="168">
        <v>1</v>
      </c>
      <c r="H1236" s="16" t="s">
        <v>181</v>
      </c>
      <c r="I1236" s="16">
        <v>2002.94</v>
      </c>
      <c r="J1236" s="16">
        <f t="shared" si="262"/>
        <v>2002.94</v>
      </c>
      <c r="K1236" s="1"/>
      <c r="L1236" s="1"/>
      <c r="M1236" s="1"/>
      <c r="N1236" s="1"/>
      <c r="O1236" s="1"/>
      <c r="P1236" s="1"/>
      <c r="Q1236" s="1"/>
      <c r="R1236" s="1"/>
      <c r="S1236" s="1"/>
      <c r="T1236" s="1"/>
      <c r="U1236" s="1"/>
      <c r="V1236" s="1"/>
      <c r="W1236" s="142"/>
    </row>
    <row r="1237" spans="1:23" x14ac:dyDescent="0.25">
      <c r="A1237" s="1"/>
      <c r="B1237" s="1"/>
      <c r="C1237" s="1"/>
      <c r="D1237" s="1"/>
      <c r="E1237" s="30">
        <v>68</v>
      </c>
      <c r="F1237" s="167" t="s">
        <v>1347</v>
      </c>
      <c r="G1237" s="168">
        <v>1</v>
      </c>
      <c r="H1237" s="16" t="s">
        <v>181</v>
      </c>
      <c r="I1237" s="16">
        <v>2670.63</v>
      </c>
      <c r="J1237" s="16">
        <f t="shared" si="262"/>
        <v>2670.63</v>
      </c>
      <c r="K1237" s="1"/>
      <c r="L1237" s="1"/>
      <c r="M1237" s="1"/>
      <c r="N1237" s="1"/>
      <c r="O1237" s="1"/>
      <c r="P1237" s="1"/>
      <c r="Q1237" s="1"/>
      <c r="R1237" s="1"/>
      <c r="S1237" s="1"/>
      <c r="T1237" s="1"/>
      <c r="U1237" s="1"/>
      <c r="V1237" s="1"/>
      <c r="W1237" s="142"/>
    </row>
    <row r="1238" spans="1:23" x14ac:dyDescent="0.25">
      <c r="A1238" s="1"/>
      <c r="B1238" s="1"/>
      <c r="C1238" s="1"/>
      <c r="D1238" s="1"/>
      <c r="E1238" s="30">
        <v>69</v>
      </c>
      <c r="F1238" s="167" t="s">
        <v>1348</v>
      </c>
      <c r="G1238" s="168">
        <v>1</v>
      </c>
      <c r="H1238" s="16" t="s">
        <v>181</v>
      </c>
      <c r="I1238" s="16">
        <v>3004.46</v>
      </c>
      <c r="J1238" s="16">
        <f t="shared" si="262"/>
        <v>3004.46</v>
      </c>
      <c r="K1238" s="1"/>
      <c r="L1238" s="1"/>
      <c r="M1238" s="1"/>
      <c r="N1238" s="1"/>
      <c r="O1238" s="1"/>
      <c r="P1238" s="1"/>
      <c r="Q1238" s="1"/>
      <c r="R1238" s="1"/>
      <c r="S1238" s="1"/>
      <c r="T1238" s="1"/>
      <c r="U1238" s="1"/>
      <c r="V1238" s="1"/>
      <c r="W1238" s="142"/>
    </row>
    <row r="1239" spans="1:23" x14ac:dyDescent="0.25">
      <c r="A1239" s="1"/>
      <c r="B1239" s="1"/>
      <c r="C1239" s="1"/>
      <c r="D1239" s="1"/>
      <c r="E1239" s="30">
        <v>70</v>
      </c>
      <c r="F1239" s="167" t="s">
        <v>1349</v>
      </c>
      <c r="G1239" s="168">
        <v>3</v>
      </c>
      <c r="H1239" s="16" t="s">
        <v>181</v>
      </c>
      <c r="I1239" s="16">
        <v>1669.12</v>
      </c>
      <c r="J1239" s="16">
        <f t="shared" si="262"/>
        <v>5007.3599999999997</v>
      </c>
      <c r="K1239" s="1"/>
      <c r="L1239" s="1"/>
      <c r="M1239" s="1"/>
      <c r="N1239" s="1"/>
      <c r="O1239" s="1"/>
      <c r="P1239" s="1"/>
      <c r="Q1239" s="1"/>
      <c r="R1239" s="1"/>
      <c r="S1239" s="1"/>
      <c r="T1239" s="1"/>
      <c r="U1239" s="1"/>
      <c r="V1239" s="1"/>
      <c r="W1239" s="142"/>
    </row>
    <row r="1240" spans="1:23" x14ac:dyDescent="0.3">
      <c r="A1240" s="1"/>
      <c r="B1240" s="1"/>
      <c r="C1240" s="1"/>
      <c r="D1240" s="1"/>
      <c r="E1240" s="16"/>
      <c r="F1240" s="33" t="s">
        <v>39</v>
      </c>
      <c r="G1240" s="16"/>
      <c r="H1240" s="16"/>
      <c r="I1240" s="16"/>
      <c r="J1240" s="33">
        <f>SUM(J1170:J1239)</f>
        <v>362399.22000000003</v>
      </c>
      <c r="K1240" s="1"/>
      <c r="L1240" s="1"/>
      <c r="M1240" s="1"/>
      <c r="N1240" s="1"/>
      <c r="O1240" s="1"/>
      <c r="P1240" s="1"/>
      <c r="Q1240" s="1"/>
      <c r="R1240" s="1"/>
      <c r="S1240" s="1"/>
      <c r="T1240" s="1"/>
      <c r="U1240" s="1"/>
      <c r="V1240" s="1"/>
      <c r="W1240" s="142"/>
    </row>
    <row r="1241" spans="1:23" x14ac:dyDescent="0.3">
      <c r="A1241" s="1"/>
      <c r="B1241" s="1"/>
      <c r="C1241" s="1"/>
      <c r="D1241" s="1"/>
      <c r="E1241" s="16"/>
      <c r="F1241" s="33" t="s">
        <v>187</v>
      </c>
      <c r="G1241" s="16"/>
      <c r="H1241" s="16"/>
      <c r="I1241" s="16"/>
      <c r="J1241" s="33">
        <f>J1240*18/100</f>
        <v>65231.859600000011</v>
      </c>
      <c r="K1241" s="1"/>
      <c r="L1241" s="1"/>
      <c r="M1241" s="1"/>
      <c r="N1241" s="1"/>
      <c r="O1241" s="1"/>
      <c r="P1241" s="1"/>
      <c r="Q1241" s="1"/>
      <c r="R1241" s="1"/>
      <c r="S1241" s="1"/>
      <c r="T1241" s="1"/>
      <c r="U1241" s="1"/>
      <c r="V1241" s="1"/>
      <c r="W1241" s="142"/>
    </row>
    <row r="1242" spans="1:23" x14ac:dyDescent="0.3">
      <c r="A1242" s="1"/>
      <c r="B1242" s="1"/>
      <c r="C1242" s="1"/>
      <c r="D1242" s="1"/>
      <c r="E1242" s="16"/>
      <c r="F1242" s="33" t="s">
        <v>41</v>
      </c>
      <c r="G1242" s="16"/>
      <c r="H1242" s="16"/>
      <c r="I1242" s="16"/>
      <c r="J1242" s="33">
        <f>SUM(J1240:J1241)</f>
        <v>427631.07960000006</v>
      </c>
      <c r="K1242" s="1"/>
      <c r="L1242" s="1"/>
      <c r="M1242" s="1"/>
      <c r="N1242" s="1"/>
      <c r="O1242" s="1"/>
      <c r="P1242" s="1"/>
      <c r="Q1242" s="1"/>
      <c r="R1242" s="1"/>
      <c r="S1242" s="1"/>
      <c r="T1242" s="1"/>
      <c r="U1242" s="1"/>
      <c r="V1242" s="1"/>
      <c r="W1242" s="142"/>
    </row>
    <row r="1243" spans="1:23" x14ac:dyDescent="0.3">
      <c r="A1243" s="1"/>
      <c r="B1243" s="1"/>
      <c r="C1243" s="1"/>
      <c r="D1243" s="1"/>
      <c r="E1243" s="1"/>
      <c r="F1243" s="124"/>
      <c r="G1243" s="1"/>
      <c r="H1243" s="1"/>
      <c r="I1243" s="1"/>
      <c r="J1243" s="124"/>
      <c r="K1243" s="1"/>
      <c r="L1243" s="1"/>
      <c r="M1243" s="1"/>
      <c r="N1243" s="1"/>
      <c r="O1243" s="1"/>
      <c r="P1243" s="1"/>
      <c r="Q1243" s="1"/>
      <c r="R1243" s="1"/>
      <c r="S1243" s="1"/>
      <c r="T1243" s="1"/>
      <c r="U1243" s="1"/>
      <c r="V1243" s="1"/>
      <c r="W1243" s="142"/>
    </row>
    <row r="1244" spans="1:23" x14ac:dyDescent="0.3">
      <c r="A1244" s="16">
        <v>98</v>
      </c>
      <c r="B1244" s="16">
        <v>8100018606</v>
      </c>
      <c r="C1244" s="16" t="s">
        <v>1199</v>
      </c>
      <c r="D1244" s="16" t="s">
        <v>43</v>
      </c>
      <c r="E1244" s="16" t="s">
        <v>127</v>
      </c>
      <c r="F1244" s="16" t="s">
        <v>1203</v>
      </c>
      <c r="G1244" s="16">
        <v>6</v>
      </c>
      <c r="H1244" s="16" t="s">
        <v>28</v>
      </c>
      <c r="I1244" s="16">
        <v>5077</v>
      </c>
      <c r="J1244" s="16">
        <f>G1244*I1244</f>
        <v>30462</v>
      </c>
      <c r="K1244" s="16"/>
      <c r="L1244" s="16"/>
      <c r="M1244" s="16"/>
      <c r="N1244" s="16"/>
      <c r="O1244" s="16">
        <v>6</v>
      </c>
      <c r="P1244" s="16">
        <v>5077</v>
      </c>
      <c r="Q1244" s="16">
        <f>O1244*P1244</f>
        <v>30462</v>
      </c>
      <c r="R1244" s="18">
        <v>0.18</v>
      </c>
      <c r="S1244" s="16">
        <f>Q1244*R1244</f>
        <v>5483.16</v>
      </c>
      <c r="T1244" s="16">
        <f>Q1244+S1244</f>
        <v>35945.160000000003</v>
      </c>
      <c r="U1244" s="16" t="s">
        <v>1253</v>
      </c>
      <c r="V1244" s="19" t="s">
        <v>1254</v>
      </c>
      <c r="W1244" s="142" t="s">
        <v>1276</v>
      </c>
    </row>
    <row r="1245" spans="1:23" x14ac:dyDescent="0.3">
      <c r="A1245" s="1"/>
      <c r="B1245" s="1"/>
      <c r="C1245" s="1"/>
      <c r="D1245" s="1"/>
      <c r="E1245" s="16" t="s">
        <v>127</v>
      </c>
      <c r="F1245" s="16" t="s">
        <v>1204</v>
      </c>
      <c r="G1245" s="16">
        <v>4</v>
      </c>
      <c r="H1245" s="16" t="s">
        <v>28</v>
      </c>
      <c r="I1245" s="16">
        <v>345</v>
      </c>
      <c r="J1245" s="16">
        <f t="shared" ref="J1245:J1258" si="263">G1245*I1245</f>
        <v>1380</v>
      </c>
      <c r="K1245" s="16"/>
      <c r="L1245" s="16"/>
      <c r="M1245" s="16"/>
      <c r="N1245" s="16"/>
      <c r="O1245" s="16">
        <v>4</v>
      </c>
      <c r="P1245" s="16">
        <v>345</v>
      </c>
      <c r="Q1245" s="16">
        <f t="shared" ref="Q1245:Q1258" si="264">O1245*P1245</f>
        <v>1380</v>
      </c>
      <c r="R1245" s="18">
        <v>0.18</v>
      </c>
      <c r="S1245" s="16">
        <f t="shared" ref="S1245:S1258" si="265">Q1245*R1245</f>
        <v>248.39999999999998</v>
      </c>
      <c r="T1245" s="16">
        <f t="shared" ref="T1245:T1258" si="266">Q1245+S1245</f>
        <v>1628.4</v>
      </c>
      <c r="U1245" s="97" t="s">
        <v>1275</v>
      </c>
      <c r="V1245" s="110">
        <v>45722</v>
      </c>
      <c r="W1245" s="142" t="s">
        <v>1377</v>
      </c>
    </row>
    <row r="1246" spans="1:23" x14ac:dyDescent="0.3">
      <c r="A1246" s="1"/>
      <c r="B1246" s="1"/>
      <c r="C1246" s="1"/>
      <c r="D1246" s="1"/>
      <c r="E1246" s="16" t="s">
        <v>127</v>
      </c>
      <c r="F1246" s="16" t="s">
        <v>1205</v>
      </c>
      <c r="G1246" s="16">
        <v>4</v>
      </c>
      <c r="H1246" s="16" t="s">
        <v>28</v>
      </c>
      <c r="I1246" s="16">
        <v>350</v>
      </c>
      <c r="J1246" s="16">
        <f t="shared" si="263"/>
        <v>1400</v>
      </c>
      <c r="K1246" s="16"/>
      <c r="L1246" s="16"/>
      <c r="M1246" s="16"/>
      <c r="N1246" s="16"/>
      <c r="O1246" s="16">
        <v>4</v>
      </c>
      <c r="P1246" s="16">
        <v>350</v>
      </c>
      <c r="Q1246" s="16">
        <f t="shared" si="264"/>
        <v>1400</v>
      </c>
      <c r="R1246" s="18">
        <v>0.18</v>
      </c>
      <c r="S1246" s="16">
        <f t="shared" si="265"/>
        <v>252</v>
      </c>
      <c r="T1246" s="16">
        <f t="shared" si="266"/>
        <v>1652</v>
      </c>
      <c r="U1246" s="16" t="s">
        <v>1253</v>
      </c>
      <c r="V1246" s="19" t="s">
        <v>1254</v>
      </c>
      <c r="W1246" s="142" t="s">
        <v>1276</v>
      </c>
    </row>
    <row r="1247" spans="1:23" x14ac:dyDescent="0.3">
      <c r="A1247" s="1"/>
      <c r="B1247" s="1"/>
      <c r="C1247" s="1"/>
      <c r="D1247" s="1"/>
      <c r="E1247" s="16" t="s">
        <v>127</v>
      </c>
      <c r="F1247" s="16" t="s">
        <v>1206</v>
      </c>
      <c r="G1247" s="16">
        <v>4</v>
      </c>
      <c r="H1247" s="16" t="s">
        <v>28</v>
      </c>
      <c r="I1247" s="16">
        <v>850</v>
      </c>
      <c r="J1247" s="16">
        <f t="shared" si="263"/>
        <v>3400</v>
      </c>
      <c r="K1247" s="16"/>
      <c r="L1247" s="16"/>
      <c r="M1247" s="16"/>
      <c r="N1247" s="16"/>
      <c r="O1247" s="16">
        <v>4</v>
      </c>
      <c r="P1247" s="16">
        <v>850</v>
      </c>
      <c r="Q1247" s="16">
        <f t="shared" si="264"/>
        <v>3400</v>
      </c>
      <c r="R1247" s="18">
        <v>0.18</v>
      </c>
      <c r="S1247" s="16">
        <f t="shared" si="265"/>
        <v>612</v>
      </c>
      <c r="T1247" s="16">
        <f t="shared" si="266"/>
        <v>4012</v>
      </c>
      <c r="U1247" s="16" t="s">
        <v>1253</v>
      </c>
      <c r="V1247" s="19" t="s">
        <v>1254</v>
      </c>
      <c r="W1247" s="142" t="s">
        <v>1276</v>
      </c>
    </row>
    <row r="1248" spans="1:23" x14ac:dyDescent="0.3">
      <c r="A1248" s="1"/>
      <c r="B1248" s="1"/>
      <c r="C1248" s="1"/>
      <c r="D1248" s="1"/>
      <c r="E1248" s="16" t="s">
        <v>127</v>
      </c>
      <c r="F1248" s="16" t="s">
        <v>1207</v>
      </c>
      <c r="G1248" s="16">
        <v>3</v>
      </c>
      <c r="H1248" s="16" t="s">
        <v>28</v>
      </c>
      <c r="I1248" s="16">
        <v>1769</v>
      </c>
      <c r="J1248" s="16">
        <f t="shared" si="263"/>
        <v>5307</v>
      </c>
      <c r="K1248" s="16"/>
      <c r="L1248" s="16"/>
      <c r="M1248" s="16"/>
      <c r="N1248" s="16"/>
      <c r="O1248" s="16">
        <v>3</v>
      </c>
      <c r="P1248" s="16">
        <v>1769</v>
      </c>
      <c r="Q1248" s="16">
        <f t="shared" si="264"/>
        <v>5307</v>
      </c>
      <c r="R1248" s="18">
        <v>0.18</v>
      </c>
      <c r="S1248" s="16">
        <f t="shared" si="265"/>
        <v>955.26</v>
      </c>
      <c r="T1248" s="16">
        <f t="shared" si="266"/>
        <v>6262.26</v>
      </c>
      <c r="U1248" s="16" t="s">
        <v>1253</v>
      </c>
      <c r="V1248" s="19" t="s">
        <v>1254</v>
      </c>
      <c r="W1248" s="142" t="s">
        <v>1276</v>
      </c>
    </row>
    <row r="1249" spans="1:23" x14ac:dyDescent="0.3">
      <c r="A1249" s="1"/>
      <c r="B1249" s="1"/>
      <c r="C1249" s="1"/>
      <c r="D1249" s="1"/>
      <c r="E1249" s="16" t="s">
        <v>127</v>
      </c>
      <c r="F1249" s="16" t="s">
        <v>1208</v>
      </c>
      <c r="G1249" s="16">
        <v>7</v>
      </c>
      <c r="H1249" s="16" t="s">
        <v>28</v>
      </c>
      <c r="I1249" s="16">
        <v>1180</v>
      </c>
      <c r="J1249" s="16">
        <f t="shared" si="263"/>
        <v>8260</v>
      </c>
      <c r="K1249" s="16"/>
      <c r="L1249" s="16"/>
      <c r="M1249" s="16"/>
      <c r="N1249" s="16"/>
      <c r="O1249" s="16">
        <v>7</v>
      </c>
      <c r="P1249" s="16">
        <v>1180</v>
      </c>
      <c r="Q1249" s="16">
        <f t="shared" si="264"/>
        <v>8260</v>
      </c>
      <c r="R1249" s="18">
        <v>0.18</v>
      </c>
      <c r="S1249" s="16">
        <f t="shared" si="265"/>
        <v>1486.8</v>
      </c>
      <c r="T1249" s="16">
        <f t="shared" si="266"/>
        <v>9746.7999999999993</v>
      </c>
      <c r="U1249" s="16" t="s">
        <v>1253</v>
      </c>
      <c r="V1249" s="19" t="s">
        <v>1254</v>
      </c>
      <c r="W1249" s="142" t="s">
        <v>1276</v>
      </c>
    </row>
    <row r="1250" spans="1:23" x14ac:dyDescent="0.3">
      <c r="A1250" s="1"/>
      <c r="B1250" s="1"/>
      <c r="C1250" s="1"/>
      <c r="D1250" s="1"/>
      <c r="E1250" s="16" t="s">
        <v>127</v>
      </c>
      <c r="F1250" s="16" t="s">
        <v>1209</v>
      </c>
      <c r="G1250" s="16">
        <v>1</v>
      </c>
      <c r="H1250" s="16" t="s">
        <v>28</v>
      </c>
      <c r="I1250" s="16">
        <v>307</v>
      </c>
      <c r="J1250" s="16">
        <f t="shared" si="263"/>
        <v>307</v>
      </c>
      <c r="K1250" s="16"/>
      <c r="L1250" s="16"/>
      <c r="M1250" s="16"/>
      <c r="N1250" s="16"/>
      <c r="O1250" s="16">
        <v>1</v>
      </c>
      <c r="P1250" s="16">
        <v>307</v>
      </c>
      <c r="Q1250" s="16">
        <f t="shared" si="264"/>
        <v>307</v>
      </c>
      <c r="R1250" s="18">
        <v>0.18</v>
      </c>
      <c r="S1250" s="16">
        <f t="shared" si="265"/>
        <v>55.26</v>
      </c>
      <c r="T1250" s="16">
        <f t="shared" si="266"/>
        <v>362.26</v>
      </c>
      <c r="U1250" s="97" t="s">
        <v>1275</v>
      </c>
      <c r="V1250" s="110">
        <v>45722</v>
      </c>
      <c r="W1250" s="142" t="s">
        <v>1377</v>
      </c>
    </row>
    <row r="1251" spans="1:23" x14ac:dyDescent="0.3">
      <c r="A1251" s="1"/>
      <c r="B1251" s="1"/>
      <c r="C1251" s="1"/>
      <c r="D1251" s="1"/>
      <c r="E1251" s="16" t="s">
        <v>127</v>
      </c>
      <c r="F1251" s="16" t="s">
        <v>1210</v>
      </c>
      <c r="G1251" s="16">
        <v>8</v>
      </c>
      <c r="H1251" s="16" t="s">
        <v>28</v>
      </c>
      <c r="I1251" s="16">
        <v>210</v>
      </c>
      <c r="J1251" s="16">
        <f t="shared" si="263"/>
        <v>1680</v>
      </c>
      <c r="K1251" s="16"/>
      <c r="L1251" s="16"/>
      <c r="M1251" s="16"/>
      <c r="N1251" s="16"/>
      <c r="O1251" s="16">
        <v>8</v>
      </c>
      <c r="P1251" s="16">
        <v>210</v>
      </c>
      <c r="Q1251" s="16">
        <f t="shared" si="264"/>
        <v>1680</v>
      </c>
      <c r="R1251" s="18">
        <v>0.18</v>
      </c>
      <c r="S1251" s="16">
        <f t="shared" si="265"/>
        <v>302.39999999999998</v>
      </c>
      <c r="T1251" s="16">
        <f t="shared" si="266"/>
        <v>1982.4</v>
      </c>
      <c r="U1251" s="97" t="s">
        <v>1275</v>
      </c>
      <c r="V1251" s="110">
        <v>45722</v>
      </c>
      <c r="W1251" s="142" t="s">
        <v>1377</v>
      </c>
    </row>
    <row r="1252" spans="1:23" x14ac:dyDescent="0.3">
      <c r="A1252" s="1"/>
      <c r="B1252" s="1"/>
      <c r="C1252" s="1"/>
      <c r="D1252" s="1"/>
      <c r="E1252" s="16" t="s">
        <v>127</v>
      </c>
      <c r="F1252" s="16" t="s">
        <v>1211</v>
      </c>
      <c r="G1252" s="16">
        <v>5</v>
      </c>
      <c r="H1252" s="16" t="s">
        <v>28</v>
      </c>
      <c r="I1252" s="16">
        <v>190</v>
      </c>
      <c r="J1252" s="16">
        <f t="shared" si="263"/>
        <v>950</v>
      </c>
      <c r="K1252" s="16"/>
      <c r="L1252" s="16"/>
      <c r="M1252" s="16"/>
      <c r="N1252" s="16"/>
      <c r="O1252" s="16">
        <v>5</v>
      </c>
      <c r="P1252" s="16">
        <v>190</v>
      </c>
      <c r="Q1252" s="16">
        <f t="shared" si="264"/>
        <v>950</v>
      </c>
      <c r="R1252" s="18">
        <v>0.18</v>
      </c>
      <c r="S1252" s="16">
        <f t="shared" si="265"/>
        <v>171</v>
      </c>
      <c r="T1252" s="16">
        <f t="shared" si="266"/>
        <v>1121</v>
      </c>
      <c r="U1252" s="16" t="s">
        <v>1253</v>
      </c>
      <c r="V1252" s="19" t="s">
        <v>1254</v>
      </c>
      <c r="W1252" s="142" t="s">
        <v>1276</v>
      </c>
    </row>
    <row r="1253" spans="1:23" x14ac:dyDescent="0.3">
      <c r="A1253" s="1"/>
      <c r="B1253" s="1"/>
      <c r="C1253" s="1"/>
      <c r="D1253" s="1"/>
      <c r="E1253" s="16" t="s">
        <v>127</v>
      </c>
      <c r="F1253" s="16" t="s">
        <v>1212</v>
      </c>
      <c r="G1253" s="16">
        <v>15</v>
      </c>
      <c r="H1253" s="16" t="s">
        <v>28</v>
      </c>
      <c r="I1253" s="16">
        <v>90</v>
      </c>
      <c r="J1253" s="16">
        <f t="shared" si="263"/>
        <v>1350</v>
      </c>
      <c r="K1253" s="16"/>
      <c r="L1253" s="16"/>
      <c r="M1253" s="16"/>
      <c r="N1253" s="16"/>
      <c r="O1253" s="16">
        <v>15</v>
      </c>
      <c r="P1253" s="16">
        <v>90</v>
      </c>
      <c r="Q1253" s="16">
        <f t="shared" si="264"/>
        <v>1350</v>
      </c>
      <c r="R1253" s="18">
        <v>0.18</v>
      </c>
      <c r="S1253" s="16">
        <f t="shared" si="265"/>
        <v>243</v>
      </c>
      <c r="T1253" s="16">
        <f t="shared" si="266"/>
        <v>1593</v>
      </c>
      <c r="U1253" s="16" t="s">
        <v>1253</v>
      </c>
      <c r="V1253" s="19" t="s">
        <v>1254</v>
      </c>
      <c r="W1253" s="142" t="s">
        <v>1276</v>
      </c>
    </row>
    <row r="1254" spans="1:23" x14ac:dyDescent="0.3">
      <c r="A1254" s="1"/>
      <c r="B1254" s="1"/>
      <c r="C1254" s="1"/>
      <c r="D1254" s="1"/>
      <c r="E1254" s="16" t="s">
        <v>127</v>
      </c>
      <c r="F1254" s="16" t="s">
        <v>1213</v>
      </c>
      <c r="G1254" s="16">
        <v>1</v>
      </c>
      <c r="H1254" s="16" t="s">
        <v>28</v>
      </c>
      <c r="I1254" s="16">
        <v>8700</v>
      </c>
      <c r="J1254" s="16">
        <f t="shared" si="263"/>
        <v>8700</v>
      </c>
      <c r="K1254" s="16"/>
      <c r="L1254" s="16"/>
      <c r="M1254" s="16"/>
      <c r="N1254" s="16"/>
      <c r="O1254" s="16">
        <v>1</v>
      </c>
      <c r="P1254" s="16">
        <v>8700</v>
      </c>
      <c r="Q1254" s="16">
        <f t="shared" si="264"/>
        <v>8700</v>
      </c>
      <c r="R1254" s="18">
        <v>0.18</v>
      </c>
      <c r="S1254" s="16">
        <f t="shared" si="265"/>
        <v>1566</v>
      </c>
      <c r="T1254" s="16">
        <f t="shared" si="266"/>
        <v>10266</v>
      </c>
      <c r="U1254" s="97" t="s">
        <v>1275</v>
      </c>
      <c r="V1254" s="110">
        <v>45722</v>
      </c>
      <c r="W1254" s="142" t="s">
        <v>1377</v>
      </c>
    </row>
    <row r="1255" spans="1:23" x14ac:dyDescent="0.3">
      <c r="A1255" s="1"/>
      <c r="B1255" s="1"/>
      <c r="C1255" s="1"/>
      <c r="D1255" s="1"/>
      <c r="E1255" s="16" t="s">
        <v>127</v>
      </c>
      <c r="F1255" s="16" t="s">
        <v>1214</v>
      </c>
      <c r="G1255" s="16">
        <v>2</v>
      </c>
      <c r="H1255" s="16" t="s">
        <v>28</v>
      </c>
      <c r="I1255" s="16">
        <v>125</v>
      </c>
      <c r="J1255" s="16">
        <f t="shared" si="263"/>
        <v>250</v>
      </c>
      <c r="K1255" s="16"/>
      <c r="L1255" s="16"/>
      <c r="M1255" s="16"/>
      <c r="N1255" s="16"/>
      <c r="O1255" s="16">
        <v>2</v>
      </c>
      <c r="P1255" s="16">
        <v>125</v>
      </c>
      <c r="Q1255" s="16">
        <f t="shared" si="264"/>
        <v>250</v>
      </c>
      <c r="R1255" s="18">
        <v>0.18</v>
      </c>
      <c r="S1255" s="16">
        <f t="shared" si="265"/>
        <v>45</v>
      </c>
      <c r="T1255" s="16">
        <f t="shared" si="266"/>
        <v>295</v>
      </c>
      <c r="U1255" s="16" t="s">
        <v>1253</v>
      </c>
      <c r="V1255" s="19" t="s">
        <v>1254</v>
      </c>
      <c r="W1255" s="142" t="s">
        <v>1276</v>
      </c>
    </row>
    <row r="1256" spans="1:23" ht="25.2" x14ac:dyDescent="0.3">
      <c r="A1256" s="1"/>
      <c r="B1256" s="1"/>
      <c r="C1256" s="1"/>
      <c r="D1256" s="1"/>
      <c r="E1256" s="16" t="s">
        <v>123</v>
      </c>
      <c r="F1256" s="39" t="s">
        <v>1215</v>
      </c>
      <c r="G1256" s="16">
        <v>9</v>
      </c>
      <c r="H1256" s="16" t="s">
        <v>28</v>
      </c>
      <c r="I1256" s="16">
        <v>850</v>
      </c>
      <c r="J1256" s="16">
        <f t="shared" si="263"/>
        <v>7650</v>
      </c>
      <c r="K1256" s="16"/>
      <c r="L1256" s="16"/>
      <c r="M1256" s="16"/>
      <c r="N1256" s="16"/>
      <c r="O1256" s="16">
        <v>9</v>
      </c>
      <c r="P1256" s="16">
        <v>850</v>
      </c>
      <c r="Q1256" s="16">
        <f t="shared" si="264"/>
        <v>7650</v>
      </c>
      <c r="R1256" s="18">
        <v>0.18</v>
      </c>
      <c r="S1256" s="16">
        <f t="shared" si="265"/>
        <v>1377</v>
      </c>
      <c r="T1256" s="16">
        <f t="shared" si="266"/>
        <v>9027</v>
      </c>
      <c r="U1256" s="121" t="s">
        <v>1518</v>
      </c>
      <c r="V1256" s="123">
        <v>45665</v>
      </c>
      <c r="W1256" s="142" t="s">
        <v>1621</v>
      </c>
    </row>
    <row r="1257" spans="1:23" ht="25.2" x14ac:dyDescent="0.3">
      <c r="A1257" s="1"/>
      <c r="B1257" s="1"/>
      <c r="C1257" s="1"/>
      <c r="D1257" s="1"/>
      <c r="E1257" s="16" t="s">
        <v>123</v>
      </c>
      <c r="F1257" s="39" t="s">
        <v>1216</v>
      </c>
      <c r="G1257" s="16">
        <v>9</v>
      </c>
      <c r="H1257" s="16" t="s">
        <v>28</v>
      </c>
      <c r="I1257" s="16">
        <v>5500</v>
      </c>
      <c r="J1257" s="16">
        <f t="shared" si="263"/>
        <v>49500</v>
      </c>
      <c r="K1257" s="16" t="s">
        <v>1496</v>
      </c>
      <c r="L1257" s="16"/>
      <c r="M1257" s="16" t="s">
        <v>91</v>
      </c>
      <c r="N1257" s="16" t="s">
        <v>1497</v>
      </c>
      <c r="O1257" s="16">
        <v>9</v>
      </c>
      <c r="P1257" s="16">
        <v>5500</v>
      </c>
      <c r="Q1257" s="16">
        <f t="shared" si="264"/>
        <v>49500</v>
      </c>
      <c r="R1257" s="18">
        <v>0.18</v>
      </c>
      <c r="S1257" s="16">
        <f t="shared" si="265"/>
        <v>8910</v>
      </c>
      <c r="T1257" s="16">
        <f t="shared" si="266"/>
        <v>58410</v>
      </c>
      <c r="U1257" s="121" t="s">
        <v>1518</v>
      </c>
      <c r="V1257" s="123">
        <v>45665</v>
      </c>
      <c r="W1257" s="142" t="s">
        <v>1621</v>
      </c>
    </row>
    <row r="1258" spans="1:23" ht="25.2" x14ac:dyDescent="0.3">
      <c r="A1258" s="1"/>
      <c r="B1258" s="1"/>
      <c r="C1258" s="1"/>
      <c r="D1258" s="1"/>
      <c r="E1258" s="16" t="s">
        <v>123</v>
      </c>
      <c r="F1258" s="39" t="s">
        <v>1217</v>
      </c>
      <c r="G1258" s="16">
        <v>9</v>
      </c>
      <c r="H1258" s="16" t="s">
        <v>28</v>
      </c>
      <c r="I1258" s="16">
        <v>7200</v>
      </c>
      <c r="J1258" s="16">
        <f t="shared" si="263"/>
        <v>64800</v>
      </c>
      <c r="K1258" s="16"/>
      <c r="L1258" s="16"/>
      <c r="M1258" s="16"/>
      <c r="N1258" s="16"/>
      <c r="O1258" s="16">
        <v>9</v>
      </c>
      <c r="P1258" s="16">
        <v>7200</v>
      </c>
      <c r="Q1258" s="16">
        <f t="shared" si="264"/>
        <v>64800</v>
      </c>
      <c r="R1258" s="18">
        <v>0.18</v>
      </c>
      <c r="S1258" s="16">
        <f t="shared" si="265"/>
        <v>11664</v>
      </c>
      <c r="T1258" s="16">
        <f t="shared" si="266"/>
        <v>76464</v>
      </c>
      <c r="U1258" s="121" t="s">
        <v>1518</v>
      </c>
      <c r="V1258" s="123">
        <v>45665</v>
      </c>
      <c r="W1258" s="142" t="s">
        <v>1621</v>
      </c>
    </row>
    <row r="1259" spans="1:23" x14ac:dyDescent="0.3">
      <c r="A1259" s="1"/>
      <c r="B1259" s="1"/>
      <c r="C1259" s="1"/>
      <c r="D1259" s="1"/>
      <c r="E1259" s="1"/>
      <c r="F1259" s="124" t="s">
        <v>39</v>
      </c>
      <c r="G1259" s="1"/>
      <c r="H1259" s="1"/>
      <c r="I1259" s="1"/>
      <c r="J1259" s="124">
        <f>SUM(J1244:J1258)</f>
        <v>185396</v>
      </c>
      <c r="K1259" s="1"/>
      <c r="L1259" s="1"/>
      <c r="M1259" s="1"/>
      <c r="N1259" s="1"/>
      <c r="O1259" s="1"/>
      <c r="P1259" s="1"/>
      <c r="Q1259" s="1"/>
      <c r="R1259" s="1"/>
      <c r="S1259" s="1"/>
      <c r="T1259" s="1"/>
      <c r="U1259" s="1"/>
      <c r="V1259" s="1"/>
      <c r="W1259" s="142"/>
    </row>
    <row r="1260" spans="1:23" x14ac:dyDescent="0.3">
      <c r="A1260" s="1"/>
      <c r="B1260" s="1"/>
      <c r="C1260" s="1"/>
      <c r="D1260" s="1"/>
      <c r="E1260" s="1"/>
      <c r="F1260" s="124" t="s">
        <v>187</v>
      </c>
      <c r="G1260" s="1"/>
      <c r="H1260" s="1"/>
      <c r="I1260" s="1"/>
      <c r="J1260" s="124">
        <f>J1259*18/100</f>
        <v>33371.279999999999</v>
      </c>
      <c r="K1260" s="1"/>
      <c r="L1260" s="1"/>
      <c r="M1260" s="1"/>
      <c r="N1260" s="1"/>
      <c r="O1260" s="1"/>
      <c r="P1260" s="1"/>
      <c r="Q1260" s="1"/>
      <c r="R1260" s="1"/>
      <c r="S1260" s="1"/>
      <c r="T1260" s="1"/>
      <c r="U1260" s="1"/>
      <c r="V1260" s="1"/>
      <c r="W1260" s="142"/>
    </row>
    <row r="1261" spans="1:23" x14ac:dyDescent="0.3">
      <c r="A1261" s="1"/>
      <c r="B1261" s="1"/>
      <c r="C1261" s="1"/>
      <c r="D1261" s="1"/>
      <c r="E1261" s="1"/>
      <c r="F1261" s="124" t="s">
        <v>41</v>
      </c>
      <c r="G1261" s="1"/>
      <c r="H1261" s="1"/>
      <c r="I1261" s="1"/>
      <c r="J1261" s="124">
        <f>SUM(J1259:J1260)</f>
        <v>218767.28</v>
      </c>
      <c r="K1261" s="1"/>
      <c r="L1261" s="1"/>
      <c r="M1261" s="1"/>
      <c r="N1261" s="1"/>
      <c r="O1261" s="1"/>
      <c r="P1261" s="1"/>
      <c r="Q1261" s="1"/>
      <c r="R1261" s="1"/>
      <c r="S1261" s="1"/>
      <c r="T1261" s="1">
        <f>SUM(T1244:T1260)</f>
        <v>218767.28000000003</v>
      </c>
      <c r="U1261" s="1"/>
      <c r="V1261" s="1"/>
      <c r="W1261" s="142"/>
    </row>
    <row r="1262" spans="1:23" x14ac:dyDescent="0.3">
      <c r="A1262" s="1"/>
      <c r="B1262" s="1"/>
      <c r="C1262" s="1"/>
      <c r="D1262" s="1"/>
      <c r="E1262" s="1"/>
      <c r="F1262" s="1"/>
      <c r="G1262" s="1"/>
      <c r="H1262" s="1"/>
      <c r="I1262" s="1"/>
      <c r="J1262" s="1"/>
      <c r="K1262" s="1"/>
      <c r="L1262" s="1"/>
      <c r="M1262" s="1"/>
      <c r="N1262" s="1"/>
      <c r="O1262" s="1"/>
      <c r="P1262" s="1"/>
      <c r="Q1262" s="1"/>
      <c r="R1262" s="1"/>
      <c r="S1262" s="1"/>
      <c r="T1262" s="1"/>
      <c r="U1262" s="1"/>
      <c r="V1262" s="1"/>
      <c r="W1262" s="142"/>
    </row>
    <row r="1263" spans="1:23" ht="37.799999999999997" x14ac:dyDescent="0.3">
      <c r="A1263" s="16">
        <v>99</v>
      </c>
      <c r="B1263" s="16">
        <v>9200139479</v>
      </c>
      <c r="C1263" s="16" t="s">
        <v>1223</v>
      </c>
      <c r="D1263" s="16" t="s">
        <v>43</v>
      </c>
      <c r="E1263" s="16" t="s">
        <v>123</v>
      </c>
      <c r="F1263" s="39" t="s">
        <v>1224</v>
      </c>
      <c r="G1263" s="16">
        <v>2000</v>
      </c>
      <c r="H1263" s="16" t="s">
        <v>302</v>
      </c>
      <c r="I1263" s="16">
        <v>120</v>
      </c>
      <c r="J1263" s="16">
        <f>G1263*I1263</f>
        <v>240000</v>
      </c>
      <c r="K1263" s="16">
        <v>2000</v>
      </c>
      <c r="L1263" s="16" t="s">
        <v>302</v>
      </c>
      <c r="M1263" s="16" t="s">
        <v>91</v>
      </c>
      <c r="N1263" s="16" t="s">
        <v>1273</v>
      </c>
      <c r="O1263" s="16">
        <v>2000</v>
      </c>
      <c r="P1263" s="16">
        <v>120</v>
      </c>
      <c r="Q1263" s="16">
        <f>O1263*P1263</f>
        <v>240000</v>
      </c>
      <c r="R1263" s="18">
        <v>0</v>
      </c>
      <c r="S1263" s="16">
        <f>Q1263*R1263</f>
        <v>0</v>
      </c>
      <c r="T1263" s="16">
        <f>Q1263+S1263</f>
        <v>240000</v>
      </c>
      <c r="U1263" s="16" t="s">
        <v>1454</v>
      </c>
      <c r="V1263" s="19" t="s">
        <v>1455</v>
      </c>
      <c r="W1263" s="142" t="s">
        <v>1557</v>
      </c>
    </row>
    <row r="1264" spans="1:23" ht="37.799999999999997" x14ac:dyDescent="0.3">
      <c r="A1264" s="1"/>
      <c r="B1264" s="1"/>
      <c r="C1264" s="1"/>
      <c r="D1264" s="1"/>
      <c r="E1264" s="16" t="s">
        <v>123</v>
      </c>
      <c r="F1264" s="39" t="s">
        <v>1224</v>
      </c>
      <c r="G1264" s="16">
        <v>2000</v>
      </c>
      <c r="H1264" s="16" t="s">
        <v>302</v>
      </c>
      <c r="I1264" s="16">
        <v>15</v>
      </c>
      <c r="J1264" s="16">
        <f>G1264*I1264</f>
        <v>30000</v>
      </c>
      <c r="K1264" s="38" t="s">
        <v>1274</v>
      </c>
      <c r="L1264" s="16"/>
      <c r="M1264" s="16"/>
      <c r="N1264" s="16"/>
      <c r="O1264" s="16">
        <v>2000</v>
      </c>
      <c r="P1264" s="16">
        <v>15</v>
      </c>
      <c r="Q1264" s="16">
        <f>O1264*P1264</f>
        <v>30000</v>
      </c>
      <c r="R1264" s="18">
        <v>0</v>
      </c>
      <c r="S1264" s="16">
        <f>Q1264*R1264</f>
        <v>0</v>
      </c>
      <c r="T1264" s="16">
        <f>Q1264+S1264</f>
        <v>30000</v>
      </c>
      <c r="U1264" s="16" t="s">
        <v>1454</v>
      </c>
      <c r="V1264" s="19" t="s">
        <v>1455</v>
      </c>
      <c r="W1264" s="142" t="s">
        <v>1557</v>
      </c>
    </row>
    <row r="1265" spans="1:23" x14ac:dyDescent="0.3">
      <c r="A1265" s="1"/>
      <c r="B1265" s="1"/>
      <c r="C1265" s="1"/>
      <c r="D1265" s="1"/>
      <c r="E1265" s="1"/>
      <c r="F1265" s="124" t="s">
        <v>39</v>
      </c>
      <c r="G1265" s="1"/>
      <c r="H1265" s="1"/>
      <c r="I1265" s="1"/>
      <c r="J1265" s="124">
        <f>SUM(J1263:J1264)</f>
        <v>270000</v>
      </c>
      <c r="K1265" s="1"/>
      <c r="L1265" s="1"/>
      <c r="M1265" s="1"/>
      <c r="N1265" s="1"/>
      <c r="O1265" s="1"/>
      <c r="P1265" s="1"/>
      <c r="Q1265" s="1"/>
      <c r="R1265" s="1"/>
      <c r="S1265" s="1"/>
      <c r="T1265" s="1">
        <f>SUM(T1263:T1264)</f>
        <v>270000</v>
      </c>
      <c r="U1265" s="1"/>
      <c r="V1265" s="1"/>
      <c r="W1265" s="142"/>
    </row>
    <row r="1266" spans="1:23" x14ac:dyDescent="0.3">
      <c r="A1266" s="1"/>
      <c r="B1266" s="1"/>
      <c r="C1266" s="1"/>
      <c r="D1266" s="1"/>
      <c r="E1266" s="1"/>
      <c r="F1266" s="124" t="s">
        <v>599</v>
      </c>
      <c r="G1266" s="1"/>
      <c r="H1266" s="1"/>
      <c r="I1266" s="1"/>
      <c r="J1266" s="124">
        <f>J1265*0/100</f>
        <v>0</v>
      </c>
      <c r="K1266" s="1"/>
      <c r="L1266" s="1"/>
      <c r="M1266" s="1"/>
      <c r="N1266" s="1"/>
      <c r="O1266" s="1"/>
      <c r="P1266" s="1"/>
      <c r="Q1266" s="1"/>
      <c r="R1266" s="1"/>
      <c r="S1266" s="1"/>
      <c r="T1266" s="1"/>
      <c r="U1266" s="1"/>
      <c r="V1266" s="1"/>
      <c r="W1266" s="142"/>
    </row>
    <row r="1267" spans="1:23" x14ac:dyDescent="0.3">
      <c r="A1267" s="1"/>
      <c r="B1267" s="1"/>
      <c r="C1267" s="1"/>
      <c r="D1267" s="1"/>
      <c r="E1267" s="1"/>
      <c r="F1267" s="124" t="s">
        <v>41</v>
      </c>
      <c r="G1267" s="1"/>
      <c r="H1267" s="1"/>
      <c r="I1267" s="1"/>
      <c r="J1267" s="124">
        <f>SUM(J1265:J1266)</f>
        <v>270000</v>
      </c>
      <c r="K1267" s="1"/>
      <c r="L1267" s="1"/>
      <c r="M1267" s="1"/>
      <c r="N1267" s="1"/>
      <c r="O1267" s="1"/>
      <c r="P1267" s="1"/>
      <c r="Q1267" s="1"/>
      <c r="R1267" s="1"/>
      <c r="S1267" s="1"/>
      <c r="T1267" s="1"/>
      <c r="U1267" s="1"/>
      <c r="V1267" s="1"/>
      <c r="W1267" s="142"/>
    </row>
    <row r="1268" spans="1:23" x14ac:dyDescent="0.3">
      <c r="A1268" s="1"/>
      <c r="B1268" s="1"/>
      <c r="C1268" s="1"/>
      <c r="D1268" s="1"/>
      <c r="E1268" s="1"/>
      <c r="F1268" s="124"/>
      <c r="G1268" s="1"/>
      <c r="H1268" s="1"/>
      <c r="I1268" s="1"/>
      <c r="J1268" s="124"/>
      <c r="K1268" s="1"/>
      <c r="L1268" s="1"/>
      <c r="M1268" s="1"/>
      <c r="N1268" s="1"/>
      <c r="O1268" s="1"/>
      <c r="P1268" s="1"/>
      <c r="Q1268" s="1"/>
      <c r="R1268" s="1"/>
      <c r="S1268" s="1"/>
      <c r="T1268" s="1"/>
      <c r="U1268" s="1"/>
      <c r="V1268" s="1"/>
      <c r="W1268" s="142"/>
    </row>
    <row r="1269" spans="1:23" x14ac:dyDescent="0.3">
      <c r="A1269" s="16">
        <v>100</v>
      </c>
      <c r="B1269" s="16">
        <v>8100018666</v>
      </c>
      <c r="C1269" s="16" t="s">
        <v>1226</v>
      </c>
      <c r="D1269" s="16" t="s">
        <v>43</v>
      </c>
      <c r="E1269" s="16" t="s">
        <v>127</v>
      </c>
      <c r="F1269" s="16" t="s">
        <v>880</v>
      </c>
      <c r="G1269" s="16">
        <v>70</v>
      </c>
      <c r="H1269" s="16" t="s">
        <v>28</v>
      </c>
      <c r="I1269" s="16">
        <v>3838</v>
      </c>
      <c r="J1269" s="16">
        <f>G1269*I1269</f>
        <v>268660</v>
      </c>
      <c r="K1269" s="16"/>
      <c r="L1269" s="16"/>
      <c r="M1269" s="16"/>
      <c r="N1269" s="16"/>
      <c r="O1269" s="16">
        <v>70</v>
      </c>
      <c r="P1269" s="16">
        <v>3838</v>
      </c>
      <c r="Q1269" s="16">
        <f>O1269*P1269</f>
        <v>268660</v>
      </c>
      <c r="R1269" s="18">
        <v>0</v>
      </c>
      <c r="S1269" s="16">
        <f>Q1269*R1269</f>
        <v>0</v>
      </c>
      <c r="T1269" s="16">
        <f>Q1269+S1269</f>
        <v>268660</v>
      </c>
      <c r="U1269" s="16" t="s">
        <v>1378</v>
      </c>
      <c r="V1269" s="19" t="s">
        <v>1379</v>
      </c>
      <c r="W1269" s="142" t="s">
        <v>1544</v>
      </c>
    </row>
    <row r="1270" spans="1:23" x14ac:dyDescent="0.3">
      <c r="A1270" s="1"/>
      <c r="B1270" s="1"/>
      <c r="C1270" s="1"/>
      <c r="D1270" s="1"/>
      <c r="E1270" s="16" t="s">
        <v>127</v>
      </c>
      <c r="F1270" s="16" t="s">
        <v>881</v>
      </c>
      <c r="G1270" s="16">
        <v>20</v>
      </c>
      <c r="H1270" s="16" t="s">
        <v>28</v>
      </c>
      <c r="I1270" s="16">
        <v>2599</v>
      </c>
      <c r="J1270" s="16">
        <f t="shared" ref="J1270:J1460" si="267">G1270*I1270</f>
        <v>51980</v>
      </c>
      <c r="K1270" s="16"/>
      <c r="L1270" s="16"/>
      <c r="M1270" s="16"/>
      <c r="N1270" s="16"/>
      <c r="O1270" s="16">
        <v>20</v>
      </c>
      <c r="P1270" s="16">
        <v>2599</v>
      </c>
      <c r="Q1270" s="16">
        <f t="shared" ref="Q1270:Q1281" si="268">O1270*P1270</f>
        <v>51980</v>
      </c>
      <c r="R1270" s="18">
        <v>0</v>
      </c>
      <c r="S1270" s="16">
        <f t="shared" ref="S1270:S1281" si="269">Q1270*R1270</f>
        <v>0</v>
      </c>
      <c r="T1270" s="16">
        <f t="shared" ref="T1270:T1281" si="270">Q1270+S1270</f>
        <v>51980</v>
      </c>
      <c r="U1270" s="16" t="s">
        <v>1378</v>
      </c>
      <c r="V1270" s="19" t="s">
        <v>1379</v>
      </c>
      <c r="W1270" s="142" t="s">
        <v>1544</v>
      </c>
    </row>
    <row r="1271" spans="1:23" x14ac:dyDescent="0.3">
      <c r="A1271" s="1"/>
      <c r="B1271" s="1"/>
      <c r="C1271" s="1"/>
      <c r="D1271" s="1"/>
      <c r="E1271" s="16" t="s">
        <v>127</v>
      </c>
      <c r="F1271" s="16" t="s">
        <v>1230</v>
      </c>
      <c r="G1271" s="16">
        <v>5</v>
      </c>
      <c r="H1271" s="16" t="s">
        <v>28</v>
      </c>
      <c r="I1271" s="16">
        <v>7797</v>
      </c>
      <c r="J1271" s="16">
        <f t="shared" si="267"/>
        <v>38985</v>
      </c>
      <c r="K1271" s="16"/>
      <c r="L1271" s="16"/>
      <c r="M1271" s="16"/>
      <c r="N1271" s="16"/>
      <c r="O1271" s="16">
        <v>5</v>
      </c>
      <c r="P1271" s="16">
        <v>7797</v>
      </c>
      <c r="Q1271" s="16">
        <f t="shared" si="268"/>
        <v>38985</v>
      </c>
      <c r="R1271" s="18">
        <v>0</v>
      </c>
      <c r="S1271" s="16">
        <f t="shared" si="269"/>
        <v>0</v>
      </c>
      <c r="T1271" s="16">
        <f t="shared" si="270"/>
        <v>38985</v>
      </c>
      <c r="U1271" s="16" t="s">
        <v>1378</v>
      </c>
      <c r="V1271" s="19" t="s">
        <v>1379</v>
      </c>
      <c r="W1271" s="142" t="s">
        <v>1544</v>
      </c>
    </row>
    <row r="1272" spans="1:23" x14ac:dyDescent="0.3">
      <c r="A1272" s="1"/>
      <c r="B1272" s="1"/>
      <c r="C1272" s="1"/>
      <c r="D1272" s="1"/>
      <c r="E1272" s="16" t="s">
        <v>127</v>
      </c>
      <c r="F1272" s="16" t="s">
        <v>882</v>
      </c>
      <c r="G1272" s="16">
        <v>5</v>
      </c>
      <c r="H1272" s="16" t="s">
        <v>28</v>
      </c>
      <c r="I1272" s="16">
        <v>13068</v>
      </c>
      <c r="J1272" s="16">
        <f t="shared" si="267"/>
        <v>65340</v>
      </c>
      <c r="K1272" s="16"/>
      <c r="L1272" s="16"/>
      <c r="M1272" s="16"/>
      <c r="N1272" s="16"/>
      <c r="O1272" s="16">
        <v>5</v>
      </c>
      <c r="P1272" s="16">
        <v>13068</v>
      </c>
      <c r="Q1272" s="16">
        <f t="shared" si="268"/>
        <v>65340</v>
      </c>
      <c r="R1272" s="18">
        <v>0</v>
      </c>
      <c r="S1272" s="16">
        <f t="shared" si="269"/>
        <v>0</v>
      </c>
      <c r="T1272" s="16">
        <f t="shared" si="270"/>
        <v>65340</v>
      </c>
      <c r="U1272" s="16" t="s">
        <v>1378</v>
      </c>
      <c r="V1272" s="19" t="s">
        <v>1379</v>
      </c>
      <c r="W1272" s="142" t="s">
        <v>1544</v>
      </c>
    </row>
    <row r="1273" spans="1:23" x14ac:dyDescent="0.3">
      <c r="A1273" s="1"/>
      <c r="B1273" s="1"/>
      <c r="C1273" s="1"/>
      <c r="D1273" s="1"/>
      <c r="E1273" s="16" t="s">
        <v>127</v>
      </c>
      <c r="F1273" s="39" t="s">
        <v>1231</v>
      </c>
      <c r="G1273" s="16">
        <v>70</v>
      </c>
      <c r="H1273" s="16" t="s">
        <v>28</v>
      </c>
      <c r="I1273" s="16">
        <v>629</v>
      </c>
      <c r="J1273" s="16">
        <f t="shared" si="267"/>
        <v>44030</v>
      </c>
      <c r="K1273" s="16"/>
      <c r="L1273" s="16"/>
      <c r="M1273" s="16"/>
      <c r="N1273" s="16"/>
      <c r="O1273" s="16">
        <v>70</v>
      </c>
      <c r="P1273" s="16">
        <v>629</v>
      </c>
      <c r="Q1273" s="16">
        <f t="shared" si="268"/>
        <v>44030</v>
      </c>
      <c r="R1273" s="18">
        <v>0</v>
      </c>
      <c r="S1273" s="16">
        <f t="shared" si="269"/>
        <v>0</v>
      </c>
      <c r="T1273" s="16">
        <f t="shared" si="270"/>
        <v>44030</v>
      </c>
      <c r="U1273" s="16" t="s">
        <v>1378</v>
      </c>
      <c r="V1273" s="19" t="s">
        <v>1379</v>
      </c>
      <c r="W1273" s="142" t="s">
        <v>1544</v>
      </c>
    </row>
    <row r="1274" spans="1:23" x14ac:dyDescent="0.3">
      <c r="A1274" s="1"/>
      <c r="B1274" s="1"/>
      <c r="C1274" s="1"/>
      <c r="D1274" s="1"/>
      <c r="E1274" s="16" t="s">
        <v>127</v>
      </c>
      <c r="F1274" s="16" t="s">
        <v>1232</v>
      </c>
      <c r="G1274" s="16">
        <v>2</v>
      </c>
      <c r="H1274" s="16" t="s">
        <v>28</v>
      </c>
      <c r="I1274" s="16">
        <v>51068</v>
      </c>
      <c r="J1274" s="16">
        <f t="shared" si="267"/>
        <v>102136</v>
      </c>
      <c r="K1274" s="16"/>
      <c r="L1274" s="16"/>
      <c r="M1274" s="16"/>
      <c r="N1274" s="16"/>
      <c r="O1274" s="16">
        <v>2</v>
      </c>
      <c r="P1274" s="16">
        <v>51068</v>
      </c>
      <c r="Q1274" s="16">
        <f t="shared" si="268"/>
        <v>102136</v>
      </c>
      <c r="R1274" s="18">
        <v>0</v>
      </c>
      <c r="S1274" s="16">
        <f t="shared" si="269"/>
        <v>0</v>
      </c>
      <c r="T1274" s="16">
        <f t="shared" si="270"/>
        <v>102136</v>
      </c>
      <c r="U1274" s="121" t="s">
        <v>1402</v>
      </c>
      <c r="V1274" s="123">
        <v>45845</v>
      </c>
      <c r="W1274" s="142" t="s">
        <v>1544</v>
      </c>
    </row>
    <row r="1275" spans="1:23" x14ac:dyDescent="0.3">
      <c r="A1275" s="1"/>
      <c r="B1275" s="1"/>
      <c r="C1275" s="1"/>
      <c r="D1275" s="1"/>
      <c r="E1275" s="16" t="s">
        <v>127</v>
      </c>
      <c r="F1275" s="39" t="s">
        <v>1233</v>
      </c>
      <c r="G1275" s="16">
        <v>30</v>
      </c>
      <c r="H1275" s="16" t="s">
        <v>28</v>
      </c>
      <c r="I1275" s="16">
        <v>1950</v>
      </c>
      <c r="J1275" s="16">
        <f t="shared" si="267"/>
        <v>58500</v>
      </c>
      <c r="K1275" s="16"/>
      <c r="L1275" s="16"/>
      <c r="M1275" s="16"/>
      <c r="N1275" s="16"/>
      <c r="O1275" s="16">
        <v>30</v>
      </c>
      <c r="P1275" s="16">
        <v>1950</v>
      </c>
      <c r="Q1275" s="16">
        <f t="shared" si="268"/>
        <v>58500</v>
      </c>
      <c r="R1275" s="18">
        <v>0</v>
      </c>
      <c r="S1275" s="16">
        <f t="shared" si="269"/>
        <v>0</v>
      </c>
      <c r="T1275" s="16">
        <f t="shared" si="270"/>
        <v>58500</v>
      </c>
      <c r="U1275" s="16" t="s">
        <v>1378</v>
      </c>
      <c r="V1275" s="19" t="s">
        <v>1379</v>
      </c>
      <c r="W1275" s="142" t="s">
        <v>1544</v>
      </c>
    </row>
    <row r="1276" spans="1:23" x14ac:dyDescent="0.3">
      <c r="A1276" s="1"/>
      <c r="B1276" s="1"/>
      <c r="C1276" s="1"/>
      <c r="D1276" s="1"/>
      <c r="E1276" s="16" t="s">
        <v>127</v>
      </c>
      <c r="F1276" s="16" t="s">
        <v>1234</v>
      </c>
      <c r="G1276" s="16">
        <v>100</v>
      </c>
      <c r="H1276" s="16" t="s">
        <v>28</v>
      </c>
      <c r="I1276" s="16">
        <v>2450</v>
      </c>
      <c r="J1276" s="16">
        <f t="shared" si="267"/>
        <v>245000</v>
      </c>
      <c r="K1276" s="16"/>
      <c r="L1276" s="16"/>
      <c r="M1276" s="16"/>
      <c r="N1276" s="16"/>
      <c r="O1276" s="16">
        <v>100</v>
      </c>
      <c r="P1276" s="16">
        <v>2450</v>
      </c>
      <c r="Q1276" s="16">
        <f t="shared" si="268"/>
        <v>245000</v>
      </c>
      <c r="R1276" s="18">
        <v>0</v>
      </c>
      <c r="S1276" s="16">
        <f t="shared" si="269"/>
        <v>0</v>
      </c>
      <c r="T1276" s="16">
        <f t="shared" si="270"/>
        <v>245000</v>
      </c>
      <c r="U1276" s="16" t="s">
        <v>1378</v>
      </c>
      <c r="V1276" s="19" t="s">
        <v>1379</v>
      </c>
      <c r="W1276" s="142" t="s">
        <v>1544</v>
      </c>
    </row>
    <row r="1277" spans="1:23" x14ac:dyDescent="0.3">
      <c r="A1277" s="1"/>
      <c r="B1277" s="1"/>
      <c r="C1277" s="1"/>
      <c r="D1277" s="1"/>
      <c r="E1277" s="16" t="s">
        <v>127</v>
      </c>
      <c r="F1277" s="16" t="s">
        <v>1235</v>
      </c>
      <c r="G1277" s="16">
        <v>70</v>
      </c>
      <c r="H1277" s="16" t="s">
        <v>28</v>
      </c>
      <c r="I1277" s="16">
        <v>1450</v>
      </c>
      <c r="J1277" s="16">
        <f t="shared" si="267"/>
        <v>101500</v>
      </c>
      <c r="K1277" s="16"/>
      <c r="L1277" s="16"/>
      <c r="M1277" s="16"/>
      <c r="N1277" s="16"/>
      <c r="O1277" s="16">
        <v>70</v>
      </c>
      <c r="P1277" s="16">
        <v>1450</v>
      </c>
      <c r="Q1277" s="16">
        <f t="shared" si="268"/>
        <v>101500</v>
      </c>
      <c r="R1277" s="18">
        <v>0</v>
      </c>
      <c r="S1277" s="16">
        <f t="shared" si="269"/>
        <v>0</v>
      </c>
      <c r="T1277" s="16">
        <f t="shared" si="270"/>
        <v>101500</v>
      </c>
      <c r="U1277" s="16" t="s">
        <v>1378</v>
      </c>
      <c r="V1277" s="19" t="s">
        <v>1379</v>
      </c>
      <c r="W1277" s="142" t="s">
        <v>1544</v>
      </c>
    </row>
    <row r="1278" spans="1:23" x14ac:dyDescent="0.3">
      <c r="A1278" s="1"/>
      <c r="B1278" s="1"/>
      <c r="C1278" s="1"/>
      <c r="D1278" s="1"/>
      <c r="E1278" s="16" t="s">
        <v>127</v>
      </c>
      <c r="F1278" s="16" t="s">
        <v>884</v>
      </c>
      <c r="G1278" s="16">
        <v>200</v>
      </c>
      <c r="H1278" s="16" t="s">
        <v>141</v>
      </c>
      <c r="I1278" s="16">
        <v>100</v>
      </c>
      <c r="J1278" s="16">
        <f t="shared" si="267"/>
        <v>20000</v>
      </c>
      <c r="K1278" s="16"/>
      <c r="L1278" s="16"/>
      <c r="M1278" s="16"/>
      <c r="N1278" s="16"/>
      <c r="O1278" s="16">
        <v>200</v>
      </c>
      <c r="P1278" s="16">
        <v>100</v>
      </c>
      <c r="Q1278" s="16">
        <f t="shared" si="268"/>
        <v>20000</v>
      </c>
      <c r="R1278" s="18">
        <v>0</v>
      </c>
      <c r="S1278" s="16">
        <f t="shared" si="269"/>
        <v>0</v>
      </c>
      <c r="T1278" s="16">
        <f t="shared" si="270"/>
        <v>20000</v>
      </c>
      <c r="U1278" s="16" t="s">
        <v>1378</v>
      </c>
      <c r="V1278" s="19" t="s">
        <v>1379</v>
      </c>
      <c r="W1278" s="142" t="s">
        <v>1544</v>
      </c>
    </row>
    <row r="1279" spans="1:23" x14ac:dyDescent="0.3">
      <c r="A1279" s="1"/>
      <c r="B1279" s="1"/>
      <c r="C1279" s="1"/>
      <c r="D1279" s="1"/>
      <c r="E1279" s="16" t="s">
        <v>127</v>
      </c>
      <c r="F1279" s="16" t="s">
        <v>1236</v>
      </c>
      <c r="G1279" s="16">
        <v>24</v>
      </c>
      <c r="H1279" s="16" t="s">
        <v>60</v>
      </c>
      <c r="I1279" s="16">
        <v>235</v>
      </c>
      <c r="J1279" s="16">
        <f t="shared" si="267"/>
        <v>5640</v>
      </c>
      <c r="K1279" s="16"/>
      <c r="L1279" s="16"/>
      <c r="M1279" s="16"/>
      <c r="N1279" s="16"/>
      <c r="O1279" s="16">
        <v>24</v>
      </c>
      <c r="P1279" s="16">
        <v>235</v>
      </c>
      <c r="Q1279" s="16">
        <f t="shared" si="268"/>
        <v>5640</v>
      </c>
      <c r="R1279" s="18">
        <v>0</v>
      </c>
      <c r="S1279" s="16">
        <f t="shared" si="269"/>
        <v>0</v>
      </c>
      <c r="T1279" s="16">
        <f t="shared" si="270"/>
        <v>5640</v>
      </c>
      <c r="U1279" s="16" t="s">
        <v>1378</v>
      </c>
      <c r="V1279" s="19" t="s">
        <v>1379</v>
      </c>
      <c r="W1279" s="142" t="s">
        <v>1544</v>
      </c>
    </row>
    <row r="1280" spans="1:23" x14ac:dyDescent="0.3">
      <c r="A1280" s="1"/>
      <c r="B1280" s="1"/>
      <c r="C1280" s="1"/>
      <c r="D1280" s="1"/>
      <c r="E1280" s="16" t="s">
        <v>127</v>
      </c>
      <c r="F1280" s="39" t="s">
        <v>1237</v>
      </c>
      <c r="G1280" s="16">
        <v>20</v>
      </c>
      <c r="H1280" s="16" t="s">
        <v>28</v>
      </c>
      <c r="I1280" s="16">
        <v>38</v>
      </c>
      <c r="J1280" s="16">
        <f t="shared" si="267"/>
        <v>760</v>
      </c>
      <c r="K1280" s="16"/>
      <c r="L1280" s="16"/>
      <c r="M1280" s="16"/>
      <c r="N1280" s="16"/>
      <c r="O1280" s="16">
        <v>20</v>
      </c>
      <c r="P1280" s="16">
        <v>38</v>
      </c>
      <c r="Q1280" s="16">
        <f t="shared" si="268"/>
        <v>760</v>
      </c>
      <c r="R1280" s="18">
        <v>0</v>
      </c>
      <c r="S1280" s="16">
        <f t="shared" si="269"/>
        <v>0</v>
      </c>
      <c r="T1280" s="16">
        <f t="shared" si="270"/>
        <v>760</v>
      </c>
      <c r="U1280" s="16" t="s">
        <v>1378</v>
      </c>
      <c r="V1280" s="19" t="s">
        <v>1379</v>
      </c>
      <c r="W1280" s="142" t="s">
        <v>1544</v>
      </c>
    </row>
    <row r="1281" spans="1:23" x14ac:dyDescent="0.3">
      <c r="A1281" s="1"/>
      <c r="B1281" s="1"/>
      <c r="C1281" s="1"/>
      <c r="D1281" s="1"/>
      <c r="E1281" s="16" t="s">
        <v>123</v>
      </c>
      <c r="F1281" s="16" t="s">
        <v>749</v>
      </c>
      <c r="G1281" s="16">
        <v>1</v>
      </c>
      <c r="H1281" s="16" t="s">
        <v>87</v>
      </c>
      <c r="I1281" s="16">
        <v>7469</v>
      </c>
      <c r="J1281" s="16">
        <f t="shared" si="267"/>
        <v>7469</v>
      </c>
      <c r="K1281" s="16"/>
      <c r="L1281" s="16"/>
      <c r="M1281" s="16"/>
      <c r="N1281" s="16"/>
      <c r="O1281" s="16">
        <v>1</v>
      </c>
      <c r="P1281" s="16">
        <v>7469</v>
      </c>
      <c r="Q1281" s="16">
        <f t="shared" si="268"/>
        <v>7469</v>
      </c>
      <c r="R1281" s="18">
        <v>0</v>
      </c>
      <c r="S1281" s="16">
        <f t="shared" si="269"/>
        <v>0</v>
      </c>
      <c r="T1281" s="16">
        <f t="shared" si="270"/>
        <v>7469</v>
      </c>
      <c r="U1281" s="97" t="s">
        <v>1403</v>
      </c>
      <c r="V1281" s="110">
        <v>45845</v>
      </c>
      <c r="W1281" s="142" t="s">
        <v>1544</v>
      </c>
    </row>
    <row r="1282" spans="1:23" x14ac:dyDescent="0.3">
      <c r="A1282" s="1"/>
      <c r="B1282" s="1"/>
      <c r="C1282" s="1"/>
      <c r="D1282" s="1"/>
      <c r="E1282" s="1"/>
      <c r="F1282" s="124" t="s">
        <v>39</v>
      </c>
      <c r="G1282" s="1"/>
      <c r="H1282" s="1"/>
      <c r="I1282" s="1"/>
      <c r="J1282" s="1">
        <f>SUM(J1269:J1281)</f>
        <v>1010000</v>
      </c>
      <c r="K1282" s="1"/>
      <c r="L1282" s="1"/>
      <c r="M1282" s="1"/>
      <c r="N1282" s="1"/>
      <c r="O1282" s="1"/>
      <c r="P1282" s="1"/>
      <c r="Q1282" s="1"/>
      <c r="R1282" s="1"/>
      <c r="S1282" s="1"/>
      <c r="T1282" s="1">
        <f>SUM(T1269:T1281)</f>
        <v>1010000</v>
      </c>
      <c r="U1282" s="1"/>
      <c r="V1282" s="1"/>
      <c r="W1282" s="142"/>
    </row>
    <row r="1283" spans="1:23" x14ac:dyDescent="0.3">
      <c r="A1283" s="1"/>
      <c r="B1283" s="1"/>
      <c r="C1283" s="1"/>
      <c r="D1283" s="1"/>
      <c r="E1283" s="1"/>
      <c r="F1283" s="124" t="s">
        <v>599</v>
      </c>
      <c r="G1283" s="1"/>
      <c r="H1283" s="1"/>
      <c r="I1283" s="1"/>
      <c r="J1283" s="1">
        <f>J1282*0/100</f>
        <v>0</v>
      </c>
      <c r="K1283" s="1"/>
      <c r="L1283" s="1"/>
      <c r="M1283" s="1"/>
      <c r="N1283" s="1"/>
      <c r="O1283" s="1"/>
      <c r="P1283" s="1"/>
      <c r="Q1283" s="1"/>
      <c r="R1283" s="1"/>
      <c r="S1283" s="1"/>
      <c r="T1283" s="1"/>
      <c r="U1283" s="1"/>
      <c r="V1283" s="1"/>
      <c r="W1283" s="142"/>
    </row>
    <row r="1284" spans="1:23" x14ac:dyDescent="0.3">
      <c r="A1284" s="1"/>
      <c r="B1284" s="1"/>
      <c r="C1284" s="1"/>
      <c r="D1284" s="1"/>
      <c r="E1284" s="1"/>
      <c r="F1284" s="124" t="s">
        <v>41</v>
      </c>
      <c r="G1284" s="1"/>
      <c r="H1284" s="1"/>
      <c r="I1284" s="1"/>
      <c r="J1284" s="1">
        <f>SUM(J1282:J1283)</f>
        <v>1010000</v>
      </c>
      <c r="K1284" s="1"/>
      <c r="L1284" s="1"/>
      <c r="M1284" s="1"/>
      <c r="N1284" s="1"/>
      <c r="O1284" s="1"/>
      <c r="P1284" s="1"/>
      <c r="Q1284" s="1"/>
      <c r="R1284" s="1"/>
      <c r="S1284" s="1"/>
      <c r="T1284" s="1"/>
      <c r="U1284" s="1"/>
      <c r="V1284" s="1"/>
      <c r="W1284" s="142"/>
    </row>
    <row r="1285" spans="1:23" x14ac:dyDescent="0.3">
      <c r="A1285" s="1"/>
      <c r="B1285" s="1"/>
      <c r="C1285" s="1"/>
      <c r="D1285" s="1"/>
      <c r="E1285" s="1"/>
      <c r="F1285" s="124"/>
      <c r="G1285" s="1"/>
      <c r="H1285" s="1"/>
      <c r="I1285" s="1"/>
      <c r="J1285" s="1"/>
      <c r="K1285" s="1"/>
      <c r="L1285" s="1"/>
      <c r="M1285" s="1"/>
      <c r="N1285" s="1"/>
      <c r="O1285" s="1"/>
      <c r="P1285" s="1"/>
      <c r="Q1285" s="1"/>
      <c r="R1285" s="1"/>
      <c r="S1285" s="1"/>
      <c r="T1285" s="1"/>
      <c r="U1285" s="1"/>
      <c r="V1285" s="1"/>
      <c r="W1285" s="142"/>
    </row>
    <row r="1286" spans="1:23" x14ac:dyDescent="0.3">
      <c r="A1286" s="16">
        <v>101</v>
      </c>
      <c r="B1286" s="16">
        <v>8100018694</v>
      </c>
      <c r="C1286" s="16" t="s">
        <v>1241</v>
      </c>
      <c r="D1286" s="16" t="s">
        <v>43</v>
      </c>
      <c r="E1286" s="16" t="s">
        <v>127</v>
      </c>
      <c r="F1286" s="16" t="s">
        <v>1242</v>
      </c>
      <c r="G1286" s="16">
        <v>1</v>
      </c>
      <c r="H1286" s="16" t="s">
        <v>28</v>
      </c>
      <c r="I1286" s="16">
        <v>268750</v>
      </c>
      <c r="J1286" s="16">
        <f>G1286*I1286</f>
        <v>268750</v>
      </c>
      <c r="K1286" s="16"/>
      <c r="L1286" s="16"/>
      <c r="M1286" s="16"/>
      <c r="N1286" s="16"/>
      <c r="O1286" s="16">
        <v>1</v>
      </c>
      <c r="P1286" s="16">
        <v>268750</v>
      </c>
      <c r="Q1286" s="16">
        <f t="shared" ref="Q1286" si="271">O1286*P1286</f>
        <v>268750</v>
      </c>
      <c r="R1286" s="18">
        <v>0.18</v>
      </c>
      <c r="S1286" s="16">
        <f t="shared" ref="S1286" si="272">Q1286*R1286</f>
        <v>48375</v>
      </c>
      <c r="T1286" s="16">
        <f t="shared" ref="T1286" si="273">Q1286+S1286</f>
        <v>317125</v>
      </c>
      <c r="U1286" s="16" t="s">
        <v>1380</v>
      </c>
      <c r="V1286" s="19" t="s">
        <v>1381</v>
      </c>
      <c r="W1286" s="142" t="s">
        <v>1419</v>
      </c>
    </row>
    <row r="1287" spans="1:23" ht="25.2" x14ac:dyDescent="0.3">
      <c r="A1287" s="1"/>
      <c r="B1287" s="1"/>
      <c r="C1287" s="1"/>
      <c r="D1287" s="1"/>
      <c r="E1287" s="16" t="s">
        <v>123</v>
      </c>
      <c r="F1287" s="39" t="s">
        <v>1243</v>
      </c>
      <c r="G1287" s="16">
        <v>1</v>
      </c>
      <c r="H1287" s="16" t="s">
        <v>28</v>
      </c>
      <c r="I1287" s="16">
        <v>85250</v>
      </c>
      <c r="J1287" s="16">
        <f t="shared" si="267"/>
        <v>85250</v>
      </c>
      <c r="K1287" s="16">
        <v>1</v>
      </c>
      <c r="L1287" s="16" t="s">
        <v>28</v>
      </c>
      <c r="M1287" s="16" t="s">
        <v>91</v>
      </c>
      <c r="N1287" s="16" t="s">
        <v>1382</v>
      </c>
      <c r="O1287" s="16">
        <v>1</v>
      </c>
      <c r="P1287" s="16">
        <v>85250</v>
      </c>
      <c r="Q1287" s="16">
        <f t="shared" ref="Q1287" si="274">O1287*P1287</f>
        <v>85250</v>
      </c>
      <c r="R1287" s="18">
        <v>0.18</v>
      </c>
      <c r="S1287" s="16">
        <f t="shared" ref="S1287" si="275">Q1287*R1287</f>
        <v>15345</v>
      </c>
      <c r="T1287" s="16">
        <f t="shared" ref="T1287" si="276">Q1287+S1287</f>
        <v>100595</v>
      </c>
      <c r="U1287" s="97" t="s">
        <v>1453</v>
      </c>
      <c r="V1287" s="110">
        <v>45998</v>
      </c>
      <c r="W1287" s="142" t="s">
        <v>1622</v>
      </c>
    </row>
    <row r="1288" spans="1:23" x14ac:dyDescent="0.3">
      <c r="A1288" s="1"/>
      <c r="B1288" s="1"/>
      <c r="C1288" s="1"/>
      <c r="D1288" s="1"/>
      <c r="E1288" s="16" t="s">
        <v>127</v>
      </c>
      <c r="F1288" s="16" t="s">
        <v>1244</v>
      </c>
      <c r="G1288" s="16">
        <v>1</v>
      </c>
      <c r="H1288" s="16" t="s">
        <v>28</v>
      </c>
      <c r="I1288" s="16">
        <v>56250</v>
      </c>
      <c r="J1288" s="16">
        <f t="shared" si="267"/>
        <v>56250</v>
      </c>
      <c r="K1288" s="16"/>
      <c r="L1288" s="16"/>
      <c r="M1288" s="16"/>
      <c r="N1288" s="16"/>
      <c r="O1288" s="16">
        <v>1</v>
      </c>
      <c r="P1288" s="16">
        <v>56250</v>
      </c>
      <c r="Q1288" s="16">
        <f t="shared" ref="Q1288" si="277">O1288*P1288</f>
        <v>56250</v>
      </c>
      <c r="R1288" s="18">
        <v>0.18</v>
      </c>
      <c r="S1288" s="16">
        <f t="shared" ref="S1288" si="278">Q1288*R1288</f>
        <v>10125</v>
      </c>
      <c r="T1288" s="16">
        <f t="shared" ref="T1288" si="279">Q1288+S1288</f>
        <v>66375</v>
      </c>
      <c r="U1288" s="16" t="s">
        <v>1380</v>
      </c>
      <c r="V1288" s="19" t="s">
        <v>1381</v>
      </c>
      <c r="W1288" s="142" t="s">
        <v>1419</v>
      </c>
    </row>
    <row r="1289" spans="1:23" x14ac:dyDescent="0.3">
      <c r="A1289" s="1"/>
      <c r="B1289" s="1"/>
      <c r="C1289" s="1"/>
      <c r="D1289" s="1"/>
      <c r="E1289" s="1"/>
      <c r="F1289" s="124" t="s">
        <v>39</v>
      </c>
      <c r="G1289" s="1"/>
      <c r="H1289" s="1"/>
      <c r="I1289" s="1"/>
      <c r="J1289" s="124">
        <f>SUM(J1286:J1288)</f>
        <v>410250</v>
      </c>
      <c r="K1289" s="1"/>
      <c r="L1289" s="1"/>
      <c r="M1289" s="1"/>
      <c r="N1289" s="1"/>
      <c r="O1289" s="1"/>
      <c r="P1289" s="1"/>
      <c r="Q1289" s="1"/>
      <c r="R1289" s="1"/>
      <c r="S1289" s="1"/>
      <c r="T1289" s="1"/>
      <c r="U1289" s="1"/>
      <c r="V1289" s="1"/>
      <c r="W1289" s="142"/>
    </row>
    <row r="1290" spans="1:23" x14ac:dyDescent="0.3">
      <c r="A1290" s="1"/>
      <c r="B1290" s="1"/>
      <c r="C1290" s="1"/>
      <c r="D1290" s="1"/>
      <c r="E1290" s="1"/>
      <c r="F1290" s="124" t="s">
        <v>187</v>
      </c>
      <c r="G1290" s="1"/>
      <c r="H1290" s="1"/>
      <c r="I1290" s="1"/>
      <c r="J1290" s="124">
        <f>J1289*18/100</f>
        <v>73845</v>
      </c>
      <c r="K1290" s="1"/>
      <c r="L1290" s="1"/>
      <c r="M1290" s="1"/>
      <c r="N1290" s="1"/>
      <c r="O1290" s="1"/>
      <c r="P1290" s="1"/>
      <c r="Q1290" s="1"/>
      <c r="R1290" s="1"/>
      <c r="S1290" s="1"/>
      <c r="T1290" s="1"/>
      <c r="U1290" s="1"/>
      <c r="V1290" s="1"/>
      <c r="W1290" s="142"/>
    </row>
    <row r="1291" spans="1:23" x14ac:dyDescent="0.3">
      <c r="A1291" s="1"/>
      <c r="B1291" s="1"/>
      <c r="C1291" s="1"/>
      <c r="D1291" s="1"/>
      <c r="E1291" s="1"/>
      <c r="F1291" s="124" t="s">
        <v>41</v>
      </c>
      <c r="G1291" s="1"/>
      <c r="H1291" s="1"/>
      <c r="I1291" s="1"/>
      <c r="J1291" s="124">
        <f>SUM(J1289:J1290)</f>
        <v>484095</v>
      </c>
      <c r="K1291" s="1"/>
      <c r="L1291" s="1"/>
      <c r="M1291" s="1"/>
      <c r="N1291" s="1"/>
      <c r="O1291" s="1"/>
      <c r="P1291" s="1"/>
      <c r="Q1291" s="1"/>
      <c r="R1291" s="1"/>
      <c r="S1291" s="1"/>
      <c r="T1291" s="1">
        <f>SUM(T1286:T1290)</f>
        <v>484095</v>
      </c>
      <c r="U1291" s="1"/>
      <c r="V1291" s="1"/>
      <c r="W1291" s="142"/>
    </row>
    <row r="1292" spans="1:23" x14ac:dyDescent="0.3">
      <c r="A1292" s="1"/>
      <c r="B1292" s="1"/>
      <c r="C1292" s="1"/>
      <c r="D1292" s="1"/>
      <c r="E1292" s="1"/>
      <c r="F1292" s="1"/>
      <c r="G1292" s="1"/>
      <c r="H1292" s="1"/>
      <c r="I1292" s="1"/>
      <c r="J1292" s="1"/>
      <c r="K1292" s="1"/>
      <c r="L1292" s="1"/>
      <c r="M1292" s="1"/>
      <c r="N1292" s="1"/>
      <c r="O1292" s="1"/>
      <c r="P1292" s="1"/>
      <c r="Q1292" s="1"/>
      <c r="R1292" s="1"/>
      <c r="S1292" s="1"/>
      <c r="T1292" s="1"/>
      <c r="U1292" s="1"/>
      <c r="V1292" s="1"/>
      <c r="W1292" s="142"/>
    </row>
    <row r="1293" spans="1:23" x14ac:dyDescent="0.3">
      <c r="A1293" s="16">
        <v>102</v>
      </c>
      <c r="B1293" s="16">
        <v>9200140719</v>
      </c>
      <c r="C1293" s="19">
        <v>45694</v>
      </c>
      <c r="D1293" s="16" t="s">
        <v>43</v>
      </c>
      <c r="E1293" s="16" t="s">
        <v>123</v>
      </c>
      <c r="F1293" s="16" t="s">
        <v>1265</v>
      </c>
      <c r="G1293" s="16">
        <v>80</v>
      </c>
      <c r="H1293" s="16" t="s">
        <v>308</v>
      </c>
      <c r="I1293" s="16">
        <v>350</v>
      </c>
      <c r="J1293" s="16">
        <f t="shared" si="267"/>
        <v>28000</v>
      </c>
      <c r="K1293" s="16">
        <v>80</v>
      </c>
      <c r="L1293" s="16" t="s">
        <v>308</v>
      </c>
      <c r="M1293" s="16" t="s">
        <v>1400</v>
      </c>
      <c r="N1293" s="16" t="s">
        <v>1401</v>
      </c>
      <c r="O1293" s="16">
        <v>80</v>
      </c>
      <c r="P1293" s="16">
        <v>350</v>
      </c>
      <c r="Q1293" s="16">
        <f>O1293*P1293</f>
        <v>28000</v>
      </c>
      <c r="R1293" s="18">
        <v>0.18</v>
      </c>
      <c r="S1293" s="16">
        <f>Q1293*R1293</f>
        <v>5040</v>
      </c>
      <c r="T1293" s="16">
        <f>Q1293+S1293</f>
        <v>33040</v>
      </c>
      <c r="U1293" s="16" t="s">
        <v>1784</v>
      </c>
      <c r="V1293" s="19" t="s">
        <v>1776</v>
      </c>
      <c r="W1293" s="142" t="s">
        <v>1803</v>
      </c>
    </row>
    <row r="1294" spans="1:23" x14ac:dyDescent="0.3">
      <c r="A1294" s="85"/>
      <c r="B1294" s="85"/>
      <c r="C1294" s="85"/>
      <c r="D1294" s="85"/>
      <c r="E1294" s="16" t="s">
        <v>123</v>
      </c>
      <c r="F1294" s="16" t="s">
        <v>1266</v>
      </c>
      <c r="G1294" s="16">
        <v>4</v>
      </c>
      <c r="H1294" s="16" t="s">
        <v>28</v>
      </c>
      <c r="I1294" s="16">
        <v>7000</v>
      </c>
      <c r="J1294" s="16">
        <f t="shared" si="267"/>
        <v>28000</v>
      </c>
      <c r="K1294" s="16">
        <v>6</v>
      </c>
      <c r="L1294" s="16" t="s">
        <v>28</v>
      </c>
      <c r="M1294" s="16" t="s">
        <v>1400</v>
      </c>
      <c r="N1294" s="16" t="s">
        <v>1507</v>
      </c>
      <c r="O1294" s="16">
        <v>4</v>
      </c>
      <c r="P1294" s="16">
        <v>7000</v>
      </c>
      <c r="Q1294" s="16">
        <f t="shared" ref="Q1294:Q1299" si="280">O1294*P1294</f>
        <v>28000</v>
      </c>
      <c r="R1294" s="18">
        <v>0.18</v>
      </c>
      <c r="S1294" s="16">
        <f t="shared" ref="S1294:S1299" si="281">Q1294*R1294</f>
        <v>5040</v>
      </c>
      <c r="T1294" s="16">
        <f t="shared" ref="T1294:T1299" si="282">Q1294+S1294</f>
        <v>33040</v>
      </c>
      <c r="U1294" s="16" t="s">
        <v>1784</v>
      </c>
      <c r="V1294" s="19" t="s">
        <v>1776</v>
      </c>
      <c r="W1294" s="142" t="s">
        <v>1803</v>
      </c>
    </row>
    <row r="1295" spans="1:23" ht="37.799999999999997" x14ac:dyDescent="0.3">
      <c r="A1295" s="85"/>
      <c r="B1295" s="85"/>
      <c r="C1295" s="85"/>
      <c r="D1295" s="85"/>
      <c r="E1295" s="16" t="s">
        <v>123</v>
      </c>
      <c r="F1295" s="39" t="s">
        <v>1267</v>
      </c>
      <c r="G1295" s="16">
        <v>4</v>
      </c>
      <c r="H1295" s="16" t="s">
        <v>28</v>
      </c>
      <c r="I1295" s="16">
        <v>35000</v>
      </c>
      <c r="J1295" s="16">
        <f t="shared" si="267"/>
        <v>140000</v>
      </c>
      <c r="K1295" s="16">
        <v>10</v>
      </c>
      <c r="L1295" s="16" t="s">
        <v>28</v>
      </c>
      <c r="M1295" s="16" t="s">
        <v>1400</v>
      </c>
      <c r="N1295" s="39" t="s">
        <v>1754</v>
      </c>
      <c r="O1295" s="16">
        <v>4</v>
      </c>
      <c r="P1295" s="16">
        <v>35000</v>
      </c>
      <c r="Q1295" s="16">
        <f t="shared" si="280"/>
        <v>140000</v>
      </c>
      <c r="R1295" s="18">
        <v>0.18</v>
      </c>
      <c r="S1295" s="16">
        <f t="shared" si="281"/>
        <v>25200</v>
      </c>
      <c r="T1295" s="16">
        <f t="shared" si="282"/>
        <v>165200</v>
      </c>
      <c r="U1295" s="16" t="s">
        <v>1784</v>
      </c>
      <c r="V1295" s="19" t="s">
        <v>1776</v>
      </c>
      <c r="W1295" s="142" t="s">
        <v>1803</v>
      </c>
    </row>
    <row r="1296" spans="1:23" x14ac:dyDescent="0.3">
      <c r="A1296" s="85"/>
      <c r="B1296" s="85"/>
      <c r="C1296" s="85"/>
      <c r="D1296" s="85"/>
      <c r="E1296" s="16" t="s">
        <v>123</v>
      </c>
      <c r="F1296" s="16" t="s">
        <v>1268</v>
      </c>
      <c r="G1296" s="16">
        <v>100</v>
      </c>
      <c r="H1296" s="16" t="s">
        <v>308</v>
      </c>
      <c r="I1296" s="16">
        <v>25</v>
      </c>
      <c r="J1296" s="16">
        <f t="shared" si="267"/>
        <v>2500</v>
      </c>
      <c r="K1296" s="16">
        <v>4</v>
      </c>
      <c r="L1296" s="16" t="s">
        <v>53</v>
      </c>
      <c r="M1296" s="16" t="s">
        <v>1400</v>
      </c>
      <c r="N1296" s="16" t="s">
        <v>1775</v>
      </c>
      <c r="O1296" s="16">
        <v>100</v>
      </c>
      <c r="P1296" s="16">
        <v>25</v>
      </c>
      <c r="Q1296" s="16">
        <f t="shared" si="280"/>
        <v>2500</v>
      </c>
      <c r="R1296" s="18">
        <v>0.18</v>
      </c>
      <c r="S1296" s="16">
        <f t="shared" si="281"/>
        <v>450</v>
      </c>
      <c r="T1296" s="16">
        <f t="shared" si="282"/>
        <v>2950</v>
      </c>
      <c r="U1296" s="16" t="s">
        <v>1784</v>
      </c>
      <c r="V1296" s="19" t="s">
        <v>1776</v>
      </c>
      <c r="W1296" s="142" t="s">
        <v>1803</v>
      </c>
    </row>
    <row r="1297" spans="1:23" ht="25.2" x14ac:dyDescent="0.3">
      <c r="A1297" s="85"/>
      <c r="B1297" s="85"/>
      <c r="C1297" s="85"/>
      <c r="D1297" s="85"/>
      <c r="E1297" s="16" t="s">
        <v>123</v>
      </c>
      <c r="F1297" s="39" t="s">
        <v>1269</v>
      </c>
      <c r="G1297" s="16">
        <v>8</v>
      </c>
      <c r="H1297" s="16" t="s">
        <v>28</v>
      </c>
      <c r="I1297" s="16">
        <v>3200</v>
      </c>
      <c r="J1297" s="16">
        <f t="shared" si="267"/>
        <v>25600</v>
      </c>
      <c r="K1297" s="16">
        <v>8</v>
      </c>
      <c r="L1297" s="16" t="s">
        <v>28</v>
      </c>
      <c r="M1297" s="16" t="s">
        <v>1400</v>
      </c>
      <c r="N1297" s="16" t="s">
        <v>1590</v>
      </c>
      <c r="O1297" s="16">
        <v>8</v>
      </c>
      <c r="P1297" s="16">
        <v>3200</v>
      </c>
      <c r="Q1297" s="16">
        <f t="shared" si="280"/>
        <v>25600</v>
      </c>
      <c r="R1297" s="18">
        <v>0.18</v>
      </c>
      <c r="S1297" s="16">
        <f t="shared" si="281"/>
        <v>4608</v>
      </c>
      <c r="T1297" s="16">
        <f t="shared" si="282"/>
        <v>30208</v>
      </c>
      <c r="U1297" s="16" t="s">
        <v>1784</v>
      </c>
      <c r="V1297" s="19" t="s">
        <v>1776</v>
      </c>
      <c r="W1297" s="142" t="s">
        <v>1803</v>
      </c>
    </row>
    <row r="1298" spans="1:23" ht="25.2" x14ac:dyDescent="0.3">
      <c r="A1298" s="85"/>
      <c r="B1298" s="85"/>
      <c r="C1298" s="85"/>
      <c r="D1298" s="85"/>
      <c r="E1298" s="16" t="s">
        <v>123</v>
      </c>
      <c r="F1298" s="39" t="s">
        <v>1270</v>
      </c>
      <c r="G1298" s="16">
        <v>2</v>
      </c>
      <c r="H1298" s="16" t="s">
        <v>87</v>
      </c>
      <c r="I1298" s="16">
        <v>5500</v>
      </c>
      <c r="J1298" s="16">
        <f t="shared" si="267"/>
        <v>11000</v>
      </c>
      <c r="K1298" s="16">
        <v>2</v>
      </c>
      <c r="L1298" s="16" t="s">
        <v>28</v>
      </c>
      <c r="M1298" s="16" t="s">
        <v>1400</v>
      </c>
      <c r="N1298" s="16" t="s">
        <v>1401</v>
      </c>
      <c r="O1298" s="16">
        <v>2</v>
      </c>
      <c r="P1298" s="16">
        <v>5500</v>
      </c>
      <c r="Q1298" s="16">
        <f t="shared" si="280"/>
        <v>11000</v>
      </c>
      <c r="R1298" s="18">
        <v>0.18</v>
      </c>
      <c r="S1298" s="16">
        <f t="shared" si="281"/>
        <v>1980</v>
      </c>
      <c r="T1298" s="16">
        <f t="shared" si="282"/>
        <v>12980</v>
      </c>
      <c r="U1298" s="16" t="s">
        <v>1784</v>
      </c>
      <c r="V1298" s="19" t="s">
        <v>1776</v>
      </c>
      <c r="W1298" s="142" t="s">
        <v>1803</v>
      </c>
    </row>
    <row r="1299" spans="1:23" ht="25.2" x14ac:dyDescent="0.3">
      <c r="A1299" s="85"/>
      <c r="B1299" s="85"/>
      <c r="C1299" s="85"/>
      <c r="D1299" s="85"/>
      <c r="E1299" s="16" t="s">
        <v>123</v>
      </c>
      <c r="F1299" s="39" t="s">
        <v>1271</v>
      </c>
      <c r="G1299" s="16">
        <v>1</v>
      </c>
      <c r="H1299" s="16" t="s">
        <v>87</v>
      </c>
      <c r="I1299" s="16">
        <v>13000</v>
      </c>
      <c r="J1299" s="16">
        <f t="shared" si="267"/>
        <v>13000</v>
      </c>
      <c r="K1299" s="16">
        <v>1</v>
      </c>
      <c r="L1299" s="16" t="s">
        <v>28</v>
      </c>
      <c r="M1299" s="16" t="s">
        <v>1400</v>
      </c>
      <c r="N1299" s="16" t="s">
        <v>1401</v>
      </c>
      <c r="O1299" s="16">
        <v>1</v>
      </c>
      <c r="P1299" s="16">
        <v>13000</v>
      </c>
      <c r="Q1299" s="16">
        <f t="shared" si="280"/>
        <v>13000</v>
      </c>
      <c r="R1299" s="18">
        <v>0.18</v>
      </c>
      <c r="S1299" s="16">
        <f t="shared" si="281"/>
        <v>2340</v>
      </c>
      <c r="T1299" s="16">
        <f t="shared" si="282"/>
        <v>15340</v>
      </c>
      <c r="U1299" s="16" t="s">
        <v>1784</v>
      </c>
      <c r="V1299" s="19" t="s">
        <v>1776</v>
      </c>
      <c r="W1299" s="142" t="s">
        <v>1803</v>
      </c>
    </row>
    <row r="1300" spans="1:23" x14ac:dyDescent="0.3">
      <c r="A1300" s="1"/>
      <c r="B1300" s="1"/>
      <c r="C1300" s="1"/>
      <c r="D1300" s="1"/>
      <c r="E1300" s="1"/>
      <c r="F1300" s="124" t="s">
        <v>39</v>
      </c>
      <c r="G1300" s="1"/>
      <c r="H1300" s="1"/>
      <c r="I1300" s="1"/>
      <c r="J1300" s="124">
        <f>SUM(J1293:J1299)</f>
        <v>248100</v>
      </c>
      <c r="K1300" s="1"/>
      <c r="L1300" s="1"/>
      <c r="M1300" s="1"/>
      <c r="N1300" s="1"/>
      <c r="O1300" s="1"/>
      <c r="P1300" s="1"/>
      <c r="Q1300" s="1"/>
      <c r="R1300" s="1"/>
      <c r="S1300" s="1"/>
      <c r="T1300" s="1"/>
      <c r="U1300" s="1"/>
      <c r="V1300" s="1"/>
      <c r="W1300" s="142"/>
    </row>
    <row r="1301" spans="1:23" x14ac:dyDescent="0.3">
      <c r="A1301" s="1"/>
      <c r="B1301" s="1"/>
      <c r="C1301" s="1"/>
      <c r="D1301" s="1"/>
      <c r="E1301" s="1"/>
      <c r="F1301" s="124" t="s">
        <v>187</v>
      </c>
      <c r="G1301" s="1"/>
      <c r="H1301" s="1"/>
      <c r="I1301" s="1"/>
      <c r="J1301" s="124">
        <f>J1300*18/100</f>
        <v>44658</v>
      </c>
      <c r="K1301" s="1"/>
      <c r="L1301" s="1"/>
      <c r="M1301" s="1"/>
      <c r="N1301" s="1"/>
      <c r="O1301" s="1"/>
      <c r="P1301" s="1"/>
      <c r="Q1301" s="1"/>
      <c r="R1301" s="1"/>
      <c r="S1301" s="1"/>
      <c r="T1301" s="1"/>
      <c r="U1301" s="1"/>
      <c r="V1301" s="1"/>
      <c r="W1301" s="142"/>
    </row>
    <row r="1302" spans="1:23" x14ac:dyDescent="0.3">
      <c r="A1302" s="1"/>
      <c r="B1302" s="1"/>
      <c r="C1302" s="1"/>
      <c r="D1302" s="1"/>
      <c r="E1302" s="1"/>
      <c r="F1302" s="124" t="s">
        <v>41</v>
      </c>
      <c r="G1302" s="1"/>
      <c r="H1302" s="1"/>
      <c r="I1302" s="1"/>
      <c r="J1302" s="124">
        <f>SUM(J1300:J1301)</f>
        <v>292758</v>
      </c>
      <c r="K1302" s="1"/>
      <c r="L1302" s="1"/>
      <c r="M1302" s="1"/>
      <c r="N1302" s="1"/>
      <c r="O1302" s="1"/>
      <c r="P1302" s="1"/>
      <c r="Q1302" s="1"/>
      <c r="R1302" s="1"/>
      <c r="S1302" s="1"/>
      <c r="T1302" s="1">
        <f>SUM(T1293:T1301)</f>
        <v>292758</v>
      </c>
      <c r="U1302" s="1"/>
      <c r="V1302" s="1"/>
      <c r="W1302" s="142"/>
    </row>
    <row r="1303" spans="1:23" x14ac:dyDescent="0.3">
      <c r="A1303" s="1"/>
      <c r="B1303" s="1"/>
      <c r="C1303" s="1"/>
      <c r="D1303" s="1"/>
      <c r="E1303" s="1"/>
      <c r="F1303" s="1"/>
      <c r="G1303" s="1"/>
      <c r="H1303" s="1"/>
      <c r="I1303" s="1"/>
      <c r="J1303" s="1"/>
      <c r="K1303" s="1"/>
      <c r="L1303" s="1"/>
      <c r="M1303" s="1"/>
      <c r="N1303" s="1"/>
      <c r="O1303" s="1"/>
      <c r="P1303" s="1"/>
      <c r="Q1303" s="1"/>
      <c r="R1303" s="1"/>
      <c r="S1303" s="1"/>
      <c r="T1303" s="1"/>
      <c r="U1303" s="1"/>
      <c r="V1303" s="1"/>
      <c r="W1303" s="142"/>
    </row>
    <row r="1304" spans="1:23" ht="25.2" x14ac:dyDescent="0.3">
      <c r="A1304" s="16">
        <v>103</v>
      </c>
      <c r="B1304" s="16">
        <v>9200140724</v>
      </c>
      <c r="C1304" s="19">
        <v>45694</v>
      </c>
      <c r="D1304" s="16" t="s">
        <v>43</v>
      </c>
      <c r="E1304" s="16" t="s">
        <v>123</v>
      </c>
      <c r="F1304" s="39" t="s">
        <v>1272</v>
      </c>
      <c r="G1304" s="16">
        <v>5</v>
      </c>
      <c r="H1304" s="16" t="s">
        <v>28</v>
      </c>
      <c r="I1304" s="16">
        <v>47000</v>
      </c>
      <c r="J1304" s="16">
        <f t="shared" si="267"/>
        <v>235000</v>
      </c>
      <c r="K1304" s="16">
        <v>5</v>
      </c>
      <c r="L1304" s="16" t="s">
        <v>28</v>
      </c>
      <c r="M1304" s="16" t="s">
        <v>91</v>
      </c>
      <c r="N1304" s="16" t="s">
        <v>1367</v>
      </c>
      <c r="O1304" s="16">
        <v>5</v>
      </c>
      <c r="P1304" s="16">
        <v>47000</v>
      </c>
      <c r="Q1304" s="16">
        <f>O1304*P1304</f>
        <v>235000</v>
      </c>
      <c r="R1304" s="18">
        <v>0</v>
      </c>
      <c r="S1304" s="16">
        <f>Q1304*R1304</f>
        <v>0</v>
      </c>
      <c r="T1304" s="16">
        <f>Q1304+S1304</f>
        <v>235000</v>
      </c>
      <c r="U1304" s="16" t="s">
        <v>1623</v>
      </c>
      <c r="V1304" s="19">
        <v>45697</v>
      </c>
      <c r="W1304" s="142" t="s">
        <v>1689</v>
      </c>
    </row>
    <row r="1305" spans="1:23" x14ac:dyDescent="0.3">
      <c r="A1305" s="1"/>
      <c r="B1305" s="1"/>
      <c r="C1305" s="1"/>
      <c r="D1305" s="1"/>
      <c r="E1305" s="1"/>
      <c r="F1305" s="124" t="s">
        <v>39</v>
      </c>
      <c r="G1305" s="1"/>
      <c r="H1305" s="1"/>
      <c r="I1305" s="1"/>
      <c r="J1305" s="124">
        <f>SUM(J1304)</f>
        <v>235000</v>
      </c>
      <c r="K1305" s="1"/>
      <c r="L1305" s="1"/>
      <c r="M1305" s="1"/>
      <c r="N1305" s="1"/>
      <c r="O1305" s="1"/>
      <c r="P1305" s="1"/>
      <c r="Q1305" s="1"/>
      <c r="R1305" s="1"/>
      <c r="S1305" s="1"/>
      <c r="T1305" s="1"/>
      <c r="U1305" s="1"/>
      <c r="V1305" s="1"/>
      <c r="W1305" s="142"/>
    </row>
    <row r="1306" spans="1:23" x14ac:dyDescent="0.3">
      <c r="A1306" s="1"/>
      <c r="B1306" s="1"/>
      <c r="C1306" s="1"/>
      <c r="D1306" s="1"/>
      <c r="E1306" s="1"/>
      <c r="F1306" s="124" t="s">
        <v>599</v>
      </c>
      <c r="G1306" s="1"/>
      <c r="H1306" s="1"/>
      <c r="I1306" s="1"/>
      <c r="J1306" s="124">
        <f>J1305*0/100</f>
        <v>0</v>
      </c>
      <c r="K1306" s="1"/>
      <c r="L1306" s="1"/>
      <c r="M1306" s="1"/>
      <c r="N1306" s="1"/>
      <c r="O1306" s="1"/>
      <c r="P1306" s="1"/>
      <c r="Q1306" s="1"/>
      <c r="R1306" s="1"/>
      <c r="S1306" s="1"/>
      <c r="T1306" s="1"/>
      <c r="U1306" s="1"/>
      <c r="V1306" s="1"/>
      <c r="W1306" s="142"/>
    </row>
    <row r="1307" spans="1:23" x14ac:dyDescent="0.3">
      <c r="A1307" s="1"/>
      <c r="B1307" s="1"/>
      <c r="C1307" s="1"/>
      <c r="D1307" s="1"/>
      <c r="E1307" s="1"/>
      <c r="F1307" s="124" t="s">
        <v>41</v>
      </c>
      <c r="G1307" s="1"/>
      <c r="H1307" s="1"/>
      <c r="I1307" s="1"/>
      <c r="J1307" s="124">
        <f>SUM(J1305:J1306)</f>
        <v>235000</v>
      </c>
      <c r="K1307" s="1"/>
      <c r="L1307" s="1"/>
      <c r="M1307" s="1"/>
      <c r="N1307" s="1"/>
      <c r="O1307" s="1"/>
      <c r="P1307" s="1"/>
      <c r="Q1307" s="1"/>
      <c r="R1307" s="1"/>
      <c r="S1307" s="1"/>
      <c r="T1307" s="1"/>
      <c r="U1307" s="1"/>
      <c r="V1307" s="1"/>
      <c r="W1307" s="142"/>
    </row>
    <row r="1308" spans="1:23" x14ac:dyDescent="0.3">
      <c r="A1308" s="1"/>
      <c r="B1308" s="1"/>
      <c r="C1308" s="1"/>
      <c r="D1308" s="1"/>
      <c r="E1308" s="1"/>
      <c r="F1308" s="124"/>
      <c r="G1308" s="1"/>
      <c r="H1308" s="1"/>
      <c r="I1308" s="1"/>
      <c r="J1308" s="124"/>
      <c r="K1308" s="1"/>
      <c r="L1308" s="1"/>
      <c r="M1308" s="1"/>
      <c r="N1308" s="1"/>
      <c r="O1308" s="1"/>
      <c r="P1308" s="1"/>
      <c r="Q1308" s="1"/>
      <c r="R1308" s="1"/>
      <c r="S1308" s="1"/>
      <c r="T1308" s="1"/>
      <c r="U1308" s="1"/>
      <c r="V1308" s="1"/>
      <c r="W1308" s="142"/>
    </row>
    <row r="1309" spans="1:23" x14ac:dyDescent="0.3">
      <c r="A1309" s="16">
        <v>104</v>
      </c>
      <c r="B1309" s="16">
        <v>9200141383</v>
      </c>
      <c r="C1309" s="19">
        <v>45967</v>
      </c>
      <c r="D1309" s="16" t="s">
        <v>43</v>
      </c>
      <c r="E1309" s="16" t="s">
        <v>123</v>
      </c>
      <c r="F1309" s="39" t="s">
        <v>1351</v>
      </c>
      <c r="G1309" s="16">
        <v>3</v>
      </c>
      <c r="H1309" s="16" t="s">
        <v>28</v>
      </c>
      <c r="I1309" s="16">
        <v>3500</v>
      </c>
      <c r="J1309" s="16">
        <f>G1309*I1309</f>
        <v>10500</v>
      </c>
      <c r="K1309" s="16">
        <v>3</v>
      </c>
      <c r="L1309" s="16" t="s">
        <v>28</v>
      </c>
      <c r="M1309" s="16" t="s">
        <v>91</v>
      </c>
      <c r="N1309" s="16" t="s">
        <v>1395</v>
      </c>
      <c r="O1309" s="16">
        <v>3</v>
      </c>
      <c r="P1309" s="16">
        <v>3500</v>
      </c>
      <c r="Q1309" s="16">
        <f>O1309*P1309</f>
        <v>10500</v>
      </c>
      <c r="R1309" s="18">
        <v>0</v>
      </c>
      <c r="S1309" s="16">
        <f>Q1309*R1309</f>
        <v>0</v>
      </c>
      <c r="T1309" s="16">
        <f>Q1309+S1309</f>
        <v>10500</v>
      </c>
      <c r="U1309" s="16" t="s">
        <v>1449</v>
      </c>
      <c r="V1309" s="19">
        <v>45998</v>
      </c>
      <c r="W1309" s="142" t="s">
        <v>1557</v>
      </c>
    </row>
    <row r="1310" spans="1:23" x14ac:dyDescent="0.3">
      <c r="A1310" s="1"/>
      <c r="B1310" s="1"/>
      <c r="C1310" s="1"/>
      <c r="D1310" s="1"/>
      <c r="E1310" s="16" t="s">
        <v>123</v>
      </c>
      <c r="F1310" s="16" t="s">
        <v>1352</v>
      </c>
      <c r="G1310" s="16">
        <v>2</v>
      </c>
      <c r="H1310" s="16" t="s">
        <v>28</v>
      </c>
      <c r="I1310" s="16">
        <v>3000</v>
      </c>
      <c r="J1310" s="16">
        <f t="shared" ref="J1310:J1316" si="283">G1310*I1310</f>
        <v>6000</v>
      </c>
      <c r="K1310" s="16">
        <v>2</v>
      </c>
      <c r="L1310" s="16" t="s">
        <v>28</v>
      </c>
      <c r="M1310" s="16" t="s">
        <v>91</v>
      </c>
      <c r="N1310" s="16" t="s">
        <v>1395</v>
      </c>
      <c r="O1310" s="16">
        <v>2</v>
      </c>
      <c r="P1310" s="16">
        <v>3000</v>
      </c>
      <c r="Q1310" s="16">
        <f t="shared" ref="Q1310:Q1316" si="284">O1310*P1310</f>
        <v>6000</v>
      </c>
      <c r="R1310" s="18">
        <v>0</v>
      </c>
      <c r="S1310" s="16">
        <f t="shared" ref="S1310:S1316" si="285">Q1310*R1310</f>
        <v>0</v>
      </c>
      <c r="T1310" s="16">
        <f t="shared" ref="T1310:T1316" si="286">Q1310+S1310</f>
        <v>6000</v>
      </c>
      <c r="U1310" s="16" t="s">
        <v>1449</v>
      </c>
      <c r="V1310" s="19">
        <v>45998</v>
      </c>
      <c r="W1310" s="142" t="s">
        <v>1557</v>
      </c>
    </row>
    <row r="1311" spans="1:23" x14ac:dyDescent="0.3">
      <c r="A1311" s="1"/>
      <c r="B1311" s="1"/>
      <c r="C1311" s="1"/>
      <c r="D1311" s="1"/>
      <c r="E1311" s="16" t="s">
        <v>123</v>
      </c>
      <c r="F1311" s="16" t="s">
        <v>1353</v>
      </c>
      <c r="G1311" s="16">
        <v>1</v>
      </c>
      <c r="H1311" s="16" t="s">
        <v>87</v>
      </c>
      <c r="I1311" s="16">
        <v>4000</v>
      </c>
      <c r="J1311" s="16">
        <f t="shared" si="283"/>
        <v>4000</v>
      </c>
      <c r="K1311" s="16"/>
      <c r="L1311" s="16"/>
      <c r="M1311" s="16"/>
      <c r="N1311" s="16"/>
      <c r="O1311" s="16">
        <v>1</v>
      </c>
      <c r="P1311" s="16">
        <v>4000</v>
      </c>
      <c r="Q1311" s="16">
        <f t="shared" si="284"/>
        <v>4000</v>
      </c>
      <c r="R1311" s="18">
        <v>0</v>
      </c>
      <c r="S1311" s="16">
        <f t="shared" si="285"/>
        <v>0</v>
      </c>
      <c r="T1311" s="16">
        <f t="shared" si="286"/>
        <v>4000</v>
      </c>
      <c r="U1311" s="16" t="s">
        <v>1449</v>
      </c>
      <c r="V1311" s="19">
        <v>45998</v>
      </c>
      <c r="W1311" s="142" t="s">
        <v>1557</v>
      </c>
    </row>
    <row r="1312" spans="1:23" ht="25.2" x14ac:dyDescent="0.3">
      <c r="A1312" s="1"/>
      <c r="B1312" s="1"/>
      <c r="C1312" s="1"/>
      <c r="D1312" s="1"/>
      <c r="E1312" s="16" t="s">
        <v>123</v>
      </c>
      <c r="F1312" s="39" t="s">
        <v>1354</v>
      </c>
      <c r="G1312" s="16">
        <v>1</v>
      </c>
      <c r="H1312" s="16" t="s">
        <v>87</v>
      </c>
      <c r="I1312" s="16">
        <v>15000</v>
      </c>
      <c r="J1312" s="16">
        <f t="shared" si="283"/>
        <v>15000</v>
      </c>
      <c r="K1312" s="16"/>
      <c r="L1312" s="16"/>
      <c r="M1312" s="16"/>
      <c r="N1312" s="16"/>
      <c r="O1312" s="16">
        <v>1</v>
      </c>
      <c r="P1312" s="16">
        <v>15000</v>
      </c>
      <c r="Q1312" s="16">
        <f t="shared" si="284"/>
        <v>15000</v>
      </c>
      <c r="R1312" s="18">
        <v>0</v>
      </c>
      <c r="S1312" s="16">
        <f t="shared" si="285"/>
        <v>0</v>
      </c>
      <c r="T1312" s="16">
        <f t="shared" si="286"/>
        <v>15000</v>
      </c>
      <c r="U1312" s="16" t="s">
        <v>1449</v>
      </c>
      <c r="V1312" s="19">
        <v>45998</v>
      </c>
      <c r="W1312" s="142" t="s">
        <v>1557</v>
      </c>
    </row>
    <row r="1313" spans="1:23" x14ac:dyDescent="0.3">
      <c r="A1313" s="1"/>
      <c r="B1313" s="1"/>
      <c r="C1313" s="1"/>
      <c r="D1313" s="1"/>
      <c r="E1313" s="16" t="s">
        <v>123</v>
      </c>
      <c r="F1313" s="16" t="s">
        <v>1355</v>
      </c>
      <c r="G1313" s="16">
        <v>1</v>
      </c>
      <c r="H1313" s="16" t="s">
        <v>28</v>
      </c>
      <c r="I1313" s="16">
        <v>4000</v>
      </c>
      <c r="J1313" s="16">
        <f t="shared" si="283"/>
        <v>4000</v>
      </c>
      <c r="K1313" s="16">
        <v>1</v>
      </c>
      <c r="L1313" s="16" t="s">
        <v>28</v>
      </c>
      <c r="M1313" s="16" t="s">
        <v>91</v>
      </c>
      <c r="N1313" s="16" t="s">
        <v>1394</v>
      </c>
      <c r="O1313" s="16">
        <v>1</v>
      </c>
      <c r="P1313" s="16">
        <v>4000</v>
      </c>
      <c r="Q1313" s="16">
        <f t="shared" si="284"/>
        <v>4000</v>
      </c>
      <c r="R1313" s="18">
        <v>0</v>
      </c>
      <c r="S1313" s="16">
        <f t="shared" si="285"/>
        <v>0</v>
      </c>
      <c r="T1313" s="16">
        <f t="shared" si="286"/>
        <v>4000</v>
      </c>
      <c r="U1313" s="16" t="s">
        <v>1449</v>
      </c>
      <c r="V1313" s="19">
        <v>45998</v>
      </c>
      <c r="W1313" s="142" t="s">
        <v>1557</v>
      </c>
    </row>
    <row r="1314" spans="1:23" x14ac:dyDescent="0.3">
      <c r="A1314" s="1"/>
      <c r="B1314" s="1"/>
      <c r="C1314" s="1"/>
      <c r="D1314" s="1"/>
      <c r="E1314" s="16" t="s">
        <v>123</v>
      </c>
      <c r="F1314" s="16" t="s">
        <v>1356</v>
      </c>
      <c r="G1314" s="16">
        <v>1</v>
      </c>
      <c r="H1314" s="16" t="s">
        <v>28</v>
      </c>
      <c r="I1314" s="16">
        <v>1000</v>
      </c>
      <c r="J1314" s="16">
        <f t="shared" si="283"/>
        <v>1000</v>
      </c>
      <c r="K1314" s="16">
        <v>1</v>
      </c>
      <c r="L1314" s="16" t="s">
        <v>28</v>
      </c>
      <c r="M1314" s="16" t="s">
        <v>91</v>
      </c>
      <c r="N1314" s="16" t="s">
        <v>1394</v>
      </c>
      <c r="O1314" s="16">
        <v>1</v>
      </c>
      <c r="P1314" s="16">
        <v>1000</v>
      </c>
      <c r="Q1314" s="16">
        <f t="shared" si="284"/>
        <v>1000</v>
      </c>
      <c r="R1314" s="18">
        <v>0</v>
      </c>
      <c r="S1314" s="16">
        <f t="shared" si="285"/>
        <v>0</v>
      </c>
      <c r="T1314" s="16">
        <f t="shared" si="286"/>
        <v>1000</v>
      </c>
      <c r="U1314" s="16" t="s">
        <v>1449</v>
      </c>
      <c r="V1314" s="19">
        <v>45998</v>
      </c>
      <c r="W1314" s="142" t="s">
        <v>1557</v>
      </c>
    </row>
    <row r="1315" spans="1:23" x14ac:dyDescent="0.3">
      <c r="A1315" s="1"/>
      <c r="B1315" s="1"/>
      <c r="C1315" s="1"/>
      <c r="D1315" s="1"/>
      <c r="E1315" s="16" t="s">
        <v>123</v>
      </c>
      <c r="F1315" s="16" t="s">
        <v>1357</v>
      </c>
      <c r="G1315" s="16">
        <v>6</v>
      </c>
      <c r="H1315" s="16" t="s">
        <v>60</v>
      </c>
      <c r="I1315" s="16">
        <v>3600</v>
      </c>
      <c r="J1315" s="16">
        <f t="shared" si="283"/>
        <v>21600</v>
      </c>
      <c r="K1315" s="16">
        <v>3</v>
      </c>
      <c r="L1315" s="16" t="s">
        <v>60</v>
      </c>
      <c r="M1315" s="16" t="s">
        <v>91</v>
      </c>
      <c r="N1315" s="16" t="s">
        <v>1395</v>
      </c>
      <c r="O1315" s="16">
        <v>6</v>
      </c>
      <c r="P1315" s="16">
        <v>3600</v>
      </c>
      <c r="Q1315" s="16">
        <f t="shared" si="284"/>
        <v>21600</v>
      </c>
      <c r="R1315" s="18">
        <v>0</v>
      </c>
      <c r="S1315" s="16">
        <f t="shared" si="285"/>
        <v>0</v>
      </c>
      <c r="T1315" s="16">
        <f t="shared" si="286"/>
        <v>21600</v>
      </c>
      <c r="U1315" s="16" t="s">
        <v>1449</v>
      </c>
      <c r="V1315" s="19">
        <v>45998</v>
      </c>
      <c r="W1315" s="142" t="s">
        <v>1557</v>
      </c>
    </row>
    <row r="1316" spans="1:23" ht="37.799999999999997" x14ac:dyDescent="0.3">
      <c r="A1316" s="1"/>
      <c r="B1316" s="1"/>
      <c r="C1316" s="1"/>
      <c r="D1316" s="1"/>
      <c r="E1316" s="16" t="s">
        <v>123</v>
      </c>
      <c r="F1316" s="39" t="s">
        <v>1358</v>
      </c>
      <c r="G1316" s="16">
        <v>1</v>
      </c>
      <c r="H1316" s="16" t="s">
        <v>87</v>
      </c>
      <c r="I1316" s="16">
        <v>25000</v>
      </c>
      <c r="J1316" s="16">
        <f t="shared" si="283"/>
        <v>25000</v>
      </c>
      <c r="K1316" s="16"/>
      <c r="L1316" s="16"/>
      <c r="M1316" s="16"/>
      <c r="N1316" s="16"/>
      <c r="O1316" s="16">
        <v>1</v>
      </c>
      <c r="P1316" s="16">
        <v>25000</v>
      </c>
      <c r="Q1316" s="16">
        <f t="shared" si="284"/>
        <v>25000</v>
      </c>
      <c r="R1316" s="18">
        <v>0</v>
      </c>
      <c r="S1316" s="16">
        <f t="shared" si="285"/>
        <v>0</v>
      </c>
      <c r="T1316" s="16">
        <f t="shared" si="286"/>
        <v>25000</v>
      </c>
      <c r="U1316" s="16" t="s">
        <v>1449</v>
      </c>
      <c r="V1316" s="19">
        <v>45998</v>
      </c>
      <c r="W1316" s="142" t="s">
        <v>1557</v>
      </c>
    </row>
    <row r="1317" spans="1:23" x14ac:dyDescent="0.3">
      <c r="A1317" s="1"/>
      <c r="B1317" s="1"/>
      <c r="C1317" s="1"/>
      <c r="D1317" s="1"/>
      <c r="E1317" s="1"/>
      <c r="F1317" s="124" t="s">
        <v>39</v>
      </c>
      <c r="G1317" s="1"/>
      <c r="H1317" s="1"/>
      <c r="I1317" s="1"/>
      <c r="J1317" s="124">
        <f>SUM(J1309:J1316)</f>
        <v>87100</v>
      </c>
      <c r="K1317" s="1"/>
      <c r="L1317" s="1"/>
      <c r="M1317" s="1"/>
      <c r="N1317" s="1"/>
      <c r="O1317" s="1"/>
      <c r="P1317" s="1"/>
      <c r="Q1317" s="1"/>
      <c r="R1317" s="1"/>
      <c r="S1317" s="1"/>
      <c r="T1317" s="1"/>
      <c r="U1317" s="1"/>
      <c r="V1317" s="1"/>
      <c r="W1317" s="142"/>
    </row>
    <row r="1318" spans="1:23" x14ac:dyDescent="0.3">
      <c r="A1318" s="1"/>
      <c r="B1318" s="1"/>
      <c r="C1318" s="1"/>
      <c r="D1318" s="1"/>
      <c r="E1318" s="1"/>
      <c r="F1318" s="124" t="s">
        <v>599</v>
      </c>
      <c r="G1318" s="1"/>
      <c r="H1318" s="1"/>
      <c r="I1318" s="1"/>
      <c r="J1318" s="124">
        <f>J1317*0/100</f>
        <v>0</v>
      </c>
      <c r="K1318" s="1"/>
      <c r="L1318" s="1"/>
      <c r="M1318" s="1"/>
      <c r="N1318" s="1"/>
      <c r="O1318" s="1"/>
      <c r="P1318" s="1"/>
      <c r="Q1318" s="1"/>
      <c r="R1318" s="1"/>
      <c r="S1318" s="1"/>
      <c r="T1318" s="1"/>
      <c r="U1318" s="1"/>
      <c r="V1318" s="1"/>
      <c r="W1318" s="142"/>
    </row>
    <row r="1319" spans="1:23" x14ac:dyDescent="0.3">
      <c r="A1319" s="1"/>
      <c r="B1319" s="1"/>
      <c r="C1319" s="1"/>
      <c r="D1319" s="1"/>
      <c r="E1319" s="1"/>
      <c r="F1319" s="124" t="s">
        <v>41</v>
      </c>
      <c r="G1319" s="1"/>
      <c r="H1319" s="1"/>
      <c r="I1319" s="1"/>
      <c r="J1319" s="124">
        <f>SUM(J1317:J1318)</f>
        <v>87100</v>
      </c>
      <c r="K1319" s="1"/>
      <c r="L1319" s="1"/>
      <c r="M1319" s="1"/>
      <c r="N1319" s="1"/>
      <c r="O1319" s="1"/>
      <c r="P1319" s="1"/>
      <c r="Q1319" s="1"/>
      <c r="R1319" s="1"/>
      <c r="S1319" s="1"/>
      <c r="T1319" s="1">
        <f>SUM(T1309:T1318)</f>
        <v>87100</v>
      </c>
      <c r="U1319" s="1"/>
      <c r="V1319" s="1"/>
      <c r="W1319" s="142"/>
    </row>
    <row r="1320" spans="1:23" x14ac:dyDescent="0.3">
      <c r="A1320" s="1"/>
      <c r="B1320" s="1"/>
      <c r="C1320" s="1"/>
      <c r="D1320" s="1"/>
      <c r="E1320" s="1"/>
      <c r="F1320" s="124"/>
      <c r="G1320" s="1"/>
      <c r="H1320" s="1"/>
      <c r="I1320" s="1"/>
      <c r="J1320" s="124"/>
      <c r="K1320" s="1"/>
      <c r="L1320" s="1"/>
      <c r="M1320" s="1"/>
      <c r="N1320" s="1"/>
      <c r="O1320" s="1"/>
      <c r="P1320" s="1"/>
      <c r="Q1320" s="1"/>
      <c r="R1320" s="1"/>
      <c r="S1320" s="1"/>
      <c r="T1320" s="1"/>
      <c r="U1320" s="1"/>
      <c r="V1320" s="1"/>
      <c r="W1320" s="142"/>
    </row>
    <row r="1321" spans="1:23" ht="50.4" x14ac:dyDescent="0.3">
      <c r="A1321" s="16">
        <v>105</v>
      </c>
      <c r="B1321" s="16">
        <v>8500035762</v>
      </c>
      <c r="C1321" s="19">
        <v>45967</v>
      </c>
      <c r="D1321" s="16" t="s">
        <v>300</v>
      </c>
      <c r="E1321" s="16" t="s">
        <v>127</v>
      </c>
      <c r="F1321" s="39" t="s">
        <v>1359</v>
      </c>
      <c r="G1321" s="16">
        <v>2</v>
      </c>
      <c r="H1321" s="16" t="s">
        <v>28</v>
      </c>
      <c r="I1321" s="16">
        <v>48594</v>
      </c>
      <c r="J1321" s="16">
        <f>G1321*I1321</f>
        <v>97188</v>
      </c>
      <c r="K1321" s="16"/>
      <c r="L1321" s="16"/>
      <c r="M1321" s="16"/>
      <c r="N1321" s="16"/>
      <c r="O1321" s="16">
        <v>2</v>
      </c>
      <c r="P1321" s="16">
        <v>48594</v>
      </c>
      <c r="Q1321" s="16">
        <f>O1321*P1321</f>
        <v>97188</v>
      </c>
      <c r="R1321" s="18">
        <v>0.18</v>
      </c>
      <c r="S1321" s="16">
        <f>Q1321*R1321</f>
        <v>17493.84</v>
      </c>
      <c r="T1321" s="16">
        <f>Q1321+S1321</f>
        <v>114681.84</v>
      </c>
      <c r="U1321" s="16" t="s">
        <v>1468</v>
      </c>
      <c r="V1321" s="19" t="s">
        <v>1469</v>
      </c>
      <c r="W1321" s="142" t="s">
        <v>1577</v>
      </c>
    </row>
    <row r="1322" spans="1:23" x14ac:dyDescent="0.3">
      <c r="A1322" s="1"/>
      <c r="B1322" s="1"/>
      <c r="C1322" s="1"/>
      <c r="D1322" s="1"/>
      <c r="E1322" s="16" t="s">
        <v>127</v>
      </c>
      <c r="F1322" s="16" t="s">
        <v>1360</v>
      </c>
      <c r="G1322" s="16">
        <v>60</v>
      </c>
      <c r="H1322" s="16" t="s">
        <v>60</v>
      </c>
      <c r="I1322" s="16">
        <v>322</v>
      </c>
      <c r="J1322" s="16">
        <f t="shared" ref="J1322:J1324" si="287">G1322*I1322</f>
        <v>19320</v>
      </c>
      <c r="K1322" s="16"/>
      <c r="L1322" s="16"/>
      <c r="M1322" s="16"/>
      <c r="N1322" s="16"/>
      <c r="O1322" s="16">
        <v>60</v>
      </c>
      <c r="P1322" s="16">
        <v>322</v>
      </c>
      <c r="Q1322" s="16">
        <f t="shared" ref="Q1322:Q1324" si="288">O1322*P1322</f>
        <v>19320</v>
      </c>
      <c r="R1322" s="18">
        <v>0.18</v>
      </c>
      <c r="S1322" s="16">
        <f t="shared" ref="S1322:S1324" si="289">Q1322*R1322</f>
        <v>3477.6</v>
      </c>
      <c r="T1322" s="16">
        <f t="shared" ref="T1322:T1324" si="290">Q1322+S1322</f>
        <v>22797.599999999999</v>
      </c>
      <c r="U1322" s="16" t="s">
        <v>1468</v>
      </c>
      <c r="V1322" s="19" t="s">
        <v>1469</v>
      </c>
      <c r="W1322" s="142" t="s">
        <v>1577</v>
      </c>
    </row>
    <row r="1323" spans="1:23" x14ac:dyDescent="0.3">
      <c r="A1323" s="1"/>
      <c r="B1323" s="1"/>
      <c r="C1323" s="1"/>
      <c r="D1323" s="1"/>
      <c r="E1323" s="16" t="s">
        <v>127</v>
      </c>
      <c r="F1323" s="16" t="s">
        <v>1361</v>
      </c>
      <c r="G1323" s="16">
        <v>80</v>
      </c>
      <c r="H1323" s="16" t="s">
        <v>60</v>
      </c>
      <c r="I1323" s="16">
        <v>280</v>
      </c>
      <c r="J1323" s="16">
        <f t="shared" si="287"/>
        <v>22400</v>
      </c>
      <c r="K1323" s="16" t="s">
        <v>1572</v>
      </c>
      <c r="L1323" s="16" t="s">
        <v>28</v>
      </c>
      <c r="M1323" s="16" t="s">
        <v>1570</v>
      </c>
      <c r="N1323" s="16" t="s">
        <v>1571</v>
      </c>
      <c r="O1323" s="16">
        <v>80</v>
      </c>
      <c r="P1323" s="16">
        <v>280</v>
      </c>
      <c r="Q1323" s="16">
        <f t="shared" si="288"/>
        <v>22400</v>
      </c>
      <c r="R1323" s="18">
        <v>0.18</v>
      </c>
      <c r="S1323" s="16">
        <f t="shared" si="289"/>
        <v>4032</v>
      </c>
      <c r="T1323" s="16">
        <f t="shared" si="290"/>
        <v>26432</v>
      </c>
      <c r="U1323" s="16" t="s">
        <v>1468</v>
      </c>
      <c r="V1323" s="19" t="s">
        <v>1469</v>
      </c>
      <c r="W1323" s="142" t="s">
        <v>1577</v>
      </c>
    </row>
    <row r="1324" spans="1:23" x14ac:dyDescent="0.3">
      <c r="A1324" s="1"/>
      <c r="B1324" s="1"/>
      <c r="C1324" s="1"/>
      <c r="D1324" s="1"/>
      <c r="E1324" s="16" t="s">
        <v>127</v>
      </c>
      <c r="F1324" s="16" t="s">
        <v>1362</v>
      </c>
      <c r="G1324" s="16">
        <v>1</v>
      </c>
      <c r="H1324" s="16" t="s">
        <v>28</v>
      </c>
      <c r="I1324" s="16">
        <v>15800</v>
      </c>
      <c r="J1324" s="16">
        <f t="shared" si="287"/>
        <v>15800</v>
      </c>
      <c r="K1324" s="16"/>
      <c r="L1324" s="16"/>
      <c r="M1324" s="16"/>
      <c r="N1324" s="16"/>
      <c r="O1324" s="16">
        <v>1</v>
      </c>
      <c r="P1324" s="16">
        <v>15800</v>
      </c>
      <c r="Q1324" s="16">
        <f t="shared" si="288"/>
        <v>15800</v>
      </c>
      <c r="R1324" s="18">
        <v>0.18</v>
      </c>
      <c r="S1324" s="16">
        <f t="shared" si="289"/>
        <v>2844</v>
      </c>
      <c r="T1324" s="16">
        <f t="shared" si="290"/>
        <v>18644</v>
      </c>
      <c r="U1324" s="16" t="s">
        <v>1468</v>
      </c>
      <c r="V1324" s="19" t="s">
        <v>1469</v>
      </c>
      <c r="W1324" s="142" t="s">
        <v>1577</v>
      </c>
    </row>
    <row r="1325" spans="1:23" x14ac:dyDescent="0.3">
      <c r="A1325" s="1"/>
      <c r="B1325" s="1"/>
      <c r="C1325" s="1"/>
      <c r="D1325" s="1"/>
      <c r="E1325" s="1"/>
      <c r="F1325" s="124" t="s">
        <v>39</v>
      </c>
      <c r="G1325" s="1"/>
      <c r="H1325" s="1"/>
      <c r="I1325" s="1"/>
      <c r="J1325" s="124">
        <f>SUM(J1321:J1324)</f>
        <v>154708</v>
      </c>
      <c r="K1325" s="1"/>
      <c r="L1325" s="1"/>
      <c r="M1325" s="1"/>
      <c r="N1325" s="1"/>
      <c r="O1325" s="1"/>
      <c r="P1325" s="1"/>
      <c r="Q1325" s="1"/>
      <c r="R1325" s="1"/>
      <c r="S1325" s="1"/>
      <c r="T1325" s="1"/>
      <c r="U1325" s="1"/>
      <c r="V1325" s="1"/>
      <c r="W1325" s="142"/>
    </row>
    <row r="1326" spans="1:23" x14ac:dyDescent="0.3">
      <c r="A1326" s="1"/>
      <c r="B1326" s="1"/>
      <c r="C1326" s="1"/>
      <c r="D1326" s="1"/>
      <c r="E1326" s="1"/>
      <c r="F1326" s="124" t="s">
        <v>187</v>
      </c>
      <c r="G1326" s="1"/>
      <c r="H1326" s="1"/>
      <c r="I1326" s="1"/>
      <c r="J1326" s="124">
        <f>J1325*18/100</f>
        <v>27847.439999999999</v>
      </c>
      <c r="K1326" s="1"/>
      <c r="L1326" s="1"/>
      <c r="M1326" s="1"/>
      <c r="N1326" s="1"/>
      <c r="O1326" s="1"/>
      <c r="P1326" s="1"/>
      <c r="Q1326" s="1"/>
      <c r="R1326" s="1"/>
      <c r="S1326" s="1"/>
      <c r="T1326" s="1"/>
      <c r="U1326" s="1"/>
      <c r="V1326" s="1"/>
      <c r="W1326" s="142"/>
    </row>
    <row r="1327" spans="1:23" x14ac:dyDescent="0.3">
      <c r="A1327" s="1"/>
      <c r="B1327" s="1"/>
      <c r="C1327" s="1"/>
      <c r="D1327" s="1"/>
      <c r="E1327" s="1"/>
      <c r="F1327" s="124" t="s">
        <v>41</v>
      </c>
      <c r="G1327" s="1"/>
      <c r="H1327" s="1"/>
      <c r="I1327" s="1"/>
      <c r="J1327" s="124">
        <f>SUM(J1325:J1326)</f>
        <v>182555.44</v>
      </c>
      <c r="K1327" s="1"/>
      <c r="L1327" s="1"/>
      <c r="M1327" s="1"/>
      <c r="N1327" s="1"/>
      <c r="O1327" s="1"/>
      <c r="P1327" s="1"/>
      <c r="Q1327" s="1"/>
      <c r="R1327" s="1"/>
      <c r="S1327" s="1"/>
      <c r="T1327" s="1">
        <f>SUM(T1321:T1326)</f>
        <v>182555.44</v>
      </c>
      <c r="U1327" s="1"/>
      <c r="V1327" s="1"/>
      <c r="W1327" s="142"/>
    </row>
    <row r="1328" spans="1:23" x14ac:dyDescent="0.3">
      <c r="A1328" s="1"/>
      <c r="B1328" s="1"/>
      <c r="C1328" s="1"/>
      <c r="D1328" s="1"/>
      <c r="E1328" s="1"/>
      <c r="F1328" s="1"/>
      <c r="G1328" s="1"/>
      <c r="H1328" s="1"/>
      <c r="I1328" s="1"/>
      <c r="J1328" s="1"/>
      <c r="K1328" s="1"/>
      <c r="L1328" s="1"/>
      <c r="M1328" s="1"/>
      <c r="N1328" s="1"/>
      <c r="O1328" s="1"/>
      <c r="P1328" s="1"/>
      <c r="Q1328" s="1"/>
      <c r="R1328" s="1"/>
      <c r="S1328" s="1"/>
      <c r="T1328" s="1"/>
      <c r="U1328" s="1"/>
      <c r="V1328" s="1"/>
      <c r="W1328" s="142"/>
    </row>
    <row r="1329" spans="1:23" x14ac:dyDescent="0.3">
      <c r="A1329" s="16">
        <v>106</v>
      </c>
      <c r="B1329" s="39">
        <v>8100019253</v>
      </c>
      <c r="C1329" s="19">
        <v>45723</v>
      </c>
      <c r="D1329" s="108" t="s">
        <v>1368</v>
      </c>
      <c r="E1329" s="16" t="s">
        <v>127</v>
      </c>
      <c r="F1329" s="39" t="s">
        <v>1369</v>
      </c>
      <c r="G1329" s="16">
        <v>200</v>
      </c>
      <c r="H1329" s="16" t="s">
        <v>28</v>
      </c>
      <c r="I1329" s="16">
        <v>140</v>
      </c>
      <c r="J1329" s="16">
        <f t="shared" si="267"/>
        <v>28000</v>
      </c>
      <c r="K1329" s="16"/>
      <c r="L1329" s="16"/>
      <c r="M1329" s="16"/>
      <c r="N1329" s="16"/>
      <c r="O1329" s="16">
        <v>200</v>
      </c>
      <c r="P1329" s="16">
        <v>140</v>
      </c>
      <c r="Q1329" s="16">
        <f>O1329*P1329</f>
        <v>28000</v>
      </c>
      <c r="R1329" s="18">
        <v>0.18</v>
      </c>
      <c r="S1329" s="16">
        <f>Q1329*R1329</f>
        <v>5040</v>
      </c>
      <c r="T1329" s="16">
        <f>Q1329+S1329</f>
        <v>33040</v>
      </c>
      <c r="U1329" s="16" t="s">
        <v>1457</v>
      </c>
      <c r="V1329" s="19" t="s">
        <v>1458</v>
      </c>
      <c r="W1329" s="142" t="s">
        <v>1557</v>
      </c>
    </row>
    <row r="1330" spans="1:23" x14ac:dyDescent="0.3">
      <c r="A1330" s="85"/>
      <c r="B1330" s="85"/>
      <c r="C1330" s="85" t="s">
        <v>1181</v>
      </c>
      <c r="D1330" s="85"/>
      <c r="E1330" s="16" t="s">
        <v>127</v>
      </c>
      <c r="F1330" s="39" t="s">
        <v>1370</v>
      </c>
      <c r="G1330" s="16">
        <v>100</v>
      </c>
      <c r="H1330" s="16" t="s">
        <v>28</v>
      </c>
      <c r="I1330" s="16">
        <v>160</v>
      </c>
      <c r="J1330" s="16">
        <f t="shared" si="267"/>
        <v>16000</v>
      </c>
      <c r="K1330" s="16"/>
      <c r="L1330" s="16"/>
      <c r="M1330" s="16"/>
      <c r="N1330" s="16"/>
      <c r="O1330" s="16">
        <v>100</v>
      </c>
      <c r="P1330" s="16">
        <v>160</v>
      </c>
      <c r="Q1330" s="16">
        <f t="shared" ref="Q1330:Q1336" si="291">O1330*P1330</f>
        <v>16000</v>
      </c>
      <c r="R1330" s="18">
        <v>0.18</v>
      </c>
      <c r="S1330" s="16">
        <f t="shared" ref="S1330:S1336" si="292">Q1330*R1330</f>
        <v>2880</v>
      </c>
      <c r="T1330" s="16">
        <f t="shared" ref="T1330:T1336" si="293">Q1330+S1330</f>
        <v>18880</v>
      </c>
      <c r="U1330" s="16" t="s">
        <v>1457</v>
      </c>
      <c r="V1330" s="19" t="s">
        <v>1458</v>
      </c>
      <c r="W1330" s="142" t="s">
        <v>1557</v>
      </c>
    </row>
    <row r="1331" spans="1:23" x14ac:dyDescent="0.3">
      <c r="A1331" s="85"/>
      <c r="B1331" s="85"/>
      <c r="C1331" s="85"/>
      <c r="D1331" s="85"/>
      <c r="E1331" s="16" t="s">
        <v>127</v>
      </c>
      <c r="F1331" s="16" t="s">
        <v>1371</v>
      </c>
      <c r="G1331" s="16">
        <v>100</v>
      </c>
      <c r="H1331" s="16" t="s">
        <v>28</v>
      </c>
      <c r="I1331" s="16">
        <v>215</v>
      </c>
      <c r="J1331" s="16">
        <f t="shared" si="267"/>
        <v>21500</v>
      </c>
      <c r="K1331" s="16"/>
      <c r="L1331" s="16"/>
      <c r="M1331" s="16"/>
      <c r="N1331" s="16"/>
      <c r="O1331" s="16">
        <v>100</v>
      </c>
      <c r="P1331" s="16">
        <v>215</v>
      </c>
      <c r="Q1331" s="16">
        <f t="shared" si="291"/>
        <v>21500</v>
      </c>
      <c r="R1331" s="18">
        <v>0.18</v>
      </c>
      <c r="S1331" s="16">
        <f t="shared" si="292"/>
        <v>3870</v>
      </c>
      <c r="T1331" s="16">
        <f t="shared" si="293"/>
        <v>25370</v>
      </c>
      <c r="U1331" s="16" t="s">
        <v>1457</v>
      </c>
      <c r="V1331" s="19" t="s">
        <v>1458</v>
      </c>
      <c r="W1331" s="142" t="s">
        <v>1557</v>
      </c>
    </row>
    <row r="1332" spans="1:23" x14ac:dyDescent="0.3">
      <c r="A1332" s="85"/>
      <c r="B1332" s="85"/>
      <c r="C1332" s="85"/>
      <c r="D1332" s="85"/>
      <c r="E1332" s="16" t="s">
        <v>127</v>
      </c>
      <c r="F1332" s="39" t="s">
        <v>1372</v>
      </c>
      <c r="G1332" s="16">
        <v>10</v>
      </c>
      <c r="H1332" s="16" t="s">
        <v>28</v>
      </c>
      <c r="I1332" s="16">
        <v>215</v>
      </c>
      <c r="J1332" s="16">
        <f t="shared" si="267"/>
        <v>2150</v>
      </c>
      <c r="K1332" s="16"/>
      <c r="L1332" s="16"/>
      <c r="M1332" s="16"/>
      <c r="N1332" s="16"/>
      <c r="O1332" s="16">
        <v>10</v>
      </c>
      <c r="P1332" s="16">
        <v>215</v>
      </c>
      <c r="Q1332" s="16">
        <f t="shared" si="291"/>
        <v>2150</v>
      </c>
      <c r="R1332" s="18">
        <v>0.18</v>
      </c>
      <c r="S1332" s="16">
        <f t="shared" si="292"/>
        <v>387</v>
      </c>
      <c r="T1332" s="16">
        <f t="shared" si="293"/>
        <v>2537</v>
      </c>
      <c r="U1332" s="16" t="s">
        <v>1457</v>
      </c>
      <c r="V1332" s="19" t="s">
        <v>1458</v>
      </c>
      <c r="W1332" s="142" t="s">
        <v>1557</v>
      </c>
    </row>
    <row r="1333" spans="1:23" x14ac:dyDescent="0.3">
      <c r="A1333" s="85"/>
      <c r="B1333" s="85"/>
      <c r="C1333" s="85"/>
      <c r="D1333" s="85"/>
      <c r="E1333" s="16" t="s">
        <v>127</v>
      </c>
      <c r="F1333" s="16" t="s">
        <v>1373</v>
      </c>
      <c r="G1333" s="16">
        <v>2</v>
      </c>
      <c r="H1333" s="16" t="s">
        <v>28</v>
      </c>
      <c r="I1333" s="16">
        <v>1080</v>
      </c>
      <c r="J1333" s="16">
        <f t="shared" si="267"/>
        <v>2160</v>
      </c>
      <c r="K1333" s="16"/>
      <c r="L1333" s="16"/>
      <c r="M1333" s="16"/>
      <c r="N1333" s="16"/>
      <c r="O1333" s="16">
        <v>2</v>
      </c>
      <c r="P1333" s="16">
        <v>1080</v>
      </c>
      <c r="Q1333" s="16">
        <f t="shared" si="291"/>
        <v>2160</v>
      </c>
      <c r="R1333" s="18">
        <v>0.18</v>
      </c>
      <c r="S1333" s="16">
        <f t="shared" si="292"/>
        <v>388.8</v>
      </c>
      <c r="T1333" s="16">
        <f t="shared" si="293"/>
        <v>2548.8000000000002</v>
      </c>
      <c r="U1333" s="16" t="s">
        <v>1457</v>
      </c>
      <c r="V1333" s="19" t="s">
        <v>1458</v>
      </c>
      <c r="W1333" s="142" t="s">
        <v>1557</v>
      </c>
    </row>
    <row r="1334" spans="1:23" x14ac:dyDescent="0.3">
      <c r="A1334" s="85"/>
      <c r="B1334" s="85"/>
      <c r="C1334" s="85"/>
      <c r="D1334" s="85"/>
      <c r="E1334" s="16" t="s">
        <v>127</v>
      </c>
      <c r="F1334" s="16" t="s">
        <v>1374</v>
      </c>
      <c r="G1334" s="16">
        <v>200</v>
      </c>
      <c r="H1334" s="16" t="s">
        <v>28</v>
      </c>
      <c r="I1334" s="16">
        <v>225</v>
      </c>
      <c r="J1334" s="16">
        <f t="shared" si="267"/>
        <v>45000</v>
      </c>
      <c r="K1334" s="16"/>
      <c r="L1334" s="16"/>
      <c r="M1334" s="16"/>
      <c r="N1334" s="16"/>
      <c r="O1334" s="16">
        <v>200</v>
      </c>
      <c r="P1334" s="16">
        <v>225</v>
      </c>
      <c r="Q1334" s="16">
        <f t="shared" si="291"/>
        <v>45000</v>
      </c>
      <c r="R1334" s="18">
        <v>0.18</v>
      </c>
      <c r="S1334" s="16">
        <f t="shared" si="292"/>
        <v>8100</v>
      </c>
      <c r="T1334" s="16">
        <f t="shared" si="293"/>
        <v>53100</v>
      </c>
      <c r="U1334" s="16" t="s">
        <v>1457</v>
      </c>
      <c r="V1334" s="19" t="s">
        <v>1458</v>
      </c>
      <c r="W1334" s="142" t="s">
        <v>1557</v>
      </c>
    </row>
    <row r="1335" spans="1:23" ht="37.799999999999997" x14ac:dyDescent="0.3">
      <c r="A1335" s="85"/>
      <c r="B1335" s="155"/>
      <c r="C1335" s="94"/>
      <c r="D1335" s="155"/>
      <c r="E1335" s="16" t="s">
        <v>127</v>
      </c>
      <c r="F1335" s="39" t="s">
        <v>1375</v>
      </c>
      <c r="G1335" s="16">
        <v>10</v>
      </c>
      <c r="H1335" s="16" t="s">
        <v>28</v>
      </c>
      <c r="I1335" s="16">
        <v>930</v>
      </c>
      <c r="J1335" s="16">
        <f t="shared" si="267"/>
        <v>9300</v>
      </c>
      <c r="K1335" s="16"/>
      <c r="L1335" s="16"/>
      <c r="M1335" s="16"/>
      <c r="N1335" s="16"/>
      <c r="O1335" s="16">
        <v>10</v>
      </c>
      <c r="P1335" s="16">
        <v>930</v>
      </c>
      <c r="Q1335" s="16">
        <f t="shared" si="291"/>
        <v>9300</v>
      </c>
      <c r="R1335" s="18">
        <v>0.18</v>
      </c>
      <c r="S1335" s="16">
        <f t="shared" si="292"/>
        <v>1674</v>
      </c>
      <c r="T1335" s="16">
        <f t="shared" si="293"/>
        <v>10974</v>
      </c>
      <c r="U1335" s="16" t="s">
        <v>1457</v>
      </c>
      <c r="V1335" s="19" t="s">
        <v>1458</v>
      </c>
      <c r="W1335" s="142" t="s">
        <v>1557</v>
      </c>
    </row>
    <row r="1336" spans="1:23" x14ac:dyDescent="0.3">
      <c r="A1336" s="85"/>
      <c r="B1336" s="85"/>
      <c r="C1336" s="85"/>
      <c r="D1336" s="85"/>
      <c r="E1336" s="16" t="s">
        <v>123</v>
      </c>
      <c r="F1336" s="39" t="s">
        <v>1376</v>
      </c>
      <c r="G1336" s="16">
        <v>2</v>
      </c>
      <c r="H1336" s="16" t="s">
        <v>28</v>
      </c>
      <c r="I1336" s="16">
        <v>18500</v>
      </c>
      <c r="J1336" s="16">
        <f t="shared" si="267"/>
        <v>37000</v>
      </c>
      <c r="K1336" s="16"/>
      <c r="L1336" s="16"/>
      <c r="M1336" s="16"/>
      <c r="N1336" s="16"/>
      <c r="O1336" s="16">
        <v>2</v>
      </c>
      <c r="P1336" s="16">
        <v>18500</v>
      </c>
      <c r="Q1336" s="16">
        <f t="shared" si="291"/>
        <v>37000</v>
      </c>
      <c r="R1336" s="18">
        <v>0.18</v>
      </c>
      <c r="S1336" s="16">
        <f t="shared" si="292"/>
        <v>6660</v>
      </c>
      <c r="T1336" s="16">
        <f t="shared" si="293"/>
        <v>43660</v>
      </c>
      <c r="U1336" s="121" t="s">
        <v>1556</v>
      </c>
      <c r="V1336" s="123">
        <v>45999</v>
      </c>
      <c r="W1336" s="142" t="s">
        <v>1557</v>
      </c>
    </row>
    <row r="1337" spans="1:23" x14ac:dyDescent="0.3">
      <c r="A1337" s="1"/>
      <c r="B1337" s="1"/>
      <c r="C1337" s="1"/>
      <c r="D1337" s="1"/>
      <c r="E1337" s="1"/>
      <c r="F1337" s="124" t="s">
        <v>39</v>
      </c>
      <c r="G1337" s="85"/>
      <c r="H1337" s="85"/>
      <c r="I1337" s="85"/>
      <c r="J1337" s="156">
        <f>SUM(J1329:J1336)</f>
        <v>161110</v>
      </c>
      <c r="K1337" s="85"/>
      <c r="L1337" s="85"/>
      <c r="M1337" s="85"/>
      <c r="N1337" s="1"/>
      <c r="O1337" s="1"/>
      <c r="P1337" s="1"/>
      <c r="Q1337" s="1"/>
      <c r="R1337" s="1"/>
      <c r="S1337" s="1"/>
      <c r="T1337" s="1">
        <f>SUM(T1329:T1336)</f>
        <v>190109.8</v>
      </c>
      <c r="U1337" s="1"/>
      <c r="V1337" s="1"/>
      <c r="W1337" s="142"/>
    </row>
    <row r="1338" spans="1:23" x14ac:dyDescent="0.3">
      <c r="A1338" s="1"/>
      <c r="B1338" s="1"/>
      <c r="C1338" s="1"/>
      <c r="D1338" s="1"/>
      <c r="E1338" s="1"/>
      <c r="F1338" s="124" t="s">
        <v>187</v>
      </c>
      <c r="G1338" s="85"/>
      <c r="H1338" s="85"/>
      <c r="I1338" s="85"/>
      <c r="J1338" s="156">
        <f>J1337*18/100</f>
        <v>28999.8</v>
      </c>
      <c r="K1338" s="85"/>
      <c r="L1338" s="85"/>
      <c r="M1338" s="85"/>
      <c r="N1338" s="1"/>
      <c r="O1338" s="1"/>
      <c r="P1338" s="1"/>
      <c r="Q1338" s="1"/>
      <c r="R1338" s="1"/>
      <c r="S1338" s="1"/>
      <c r="T1338" s="1"/>
      <c r="U1338" s="1"/>
      <c r="V1338" s="1"/>
      <c r="W1338" s="142"/>
    </row>
    <row r="1339" spans="1:23" x14ac:dyDescent="0.3">
      <c r="A1339" s="1"/>
      <c r="B1339" s="1"/>
      <c r="C1339" s="1"/>
      <c r="D1339" s="1"/>
      <c r="E1339" s="1"/>
      <c r="F1339" s="124" t="s">
        <v>41</v>
      </c>
      <c r="G1339" s="85"/>
      <c r="H1339" s="85"/>
      <c r="I1339" s="85"/>
      <c r="J1339" s="156">
        <f>SUM(J1337:J1338)</f>
        <v>190109.8</v>
      </c>
      <c r="K1339" s="85"/>
      <c r="L1339" s="85"/>
      <c r="M1339" s="85"/>
      <c r="N1339" s="1"/>
      <c r="O1339" s="1"/>
      <c r="P1339" s="1"/>
      <c r="Q1339" s="1"/>
      <c r="R1339" s="1"/>
      <c r="S1339" s="1"/>
      <c r="T1339" s="1"/>
      <c r="U1339" s="1"/>
      <c r="V1339" s="1"/>
      <c r="W1339" s="142"/>
    </row>
    <row r="1340" spans="1:23" x14ac:dyDescent="0.3">
      <c r="A1340" s="85"/>
      <c r="B1340" s="85"/>
      <c r="C1340" s="85"/>
      <c r="D1340" s="85"/>
      <c r="E1340" s="85"/>
      <c r="F1340" s="103"/>
      <c r="G1340" s="85"/>
      <c r="H1340" s="85"/>
      <c r="I1340" s="85"/>
      <c r="J1340" s="85">
        <f t="shared" si="267"/>
        <v>0</v>
      </c>
      <c r="K1340" s="85"/>
      <c r="L1340" s="85"/>
      <c r="M1340" s="85"/>
      <c r="N1340" s="1"/>
      <c r="O1340" s="1"/>
      <c r="P1340" s="1"/>
      <c r="Q1340" s="1"/>
      <c r="R1340" s="1"/>
      <c r="S1340" s="1"/>
      <c r="T1340" s="1"/>
      <c r="U1340" s="1"/>
      <c r="V1340" s="1"/>
      <c r="W1340" s="142"/>
    </row>
    <row r="1341" spans="1:23" ht="25.2" x14ac:dyDescent="0.3">
      <c r="A1341" s="16">
        <v>107</v>
      </c>
      <c r="B1341" s="16">
        <v>8600057915</v>
      </c>
      <c r="C1341" s="16" t="s">
        <v>1387</v>
      </c>
      <c r="D1341" s="16" t="s">
        <v>43</v>
      </c>
      <c r="E1341" s="16" t="s">
        <v>127</v>
      </c>
      <c r="F1341" s="39" t="s">
        <v>1386</v>
      </c>
      <c r="G1341" s="16">
        <v>6</v>
      </c>
      <c r="H1341" s="16" t="s">
        <v>28</v>
      </c>
      <c r="I1341" s="16">
        <v>2825</v>
      </c>
      <c r="J1341" s="16">
        <f t="shared" si="267"/>
        <v>16950</v>
      </c>
      <c r="K1341" s="16"/>
      <c r="L1341" s="16"/>
      <c r="M1341" s="16"/>
      <c r="N1341" s="16"/>
      <c r="O1341" s="16">
        <v>6</v>
      </c>
      <c r="P1341" s="16">
        <v>2825</v>
      </c>
      <c r="Q1341" s="16">
        <f>O1341*P1341</f>
        <v>16950</v>
      </c>
      <c r="R1341" s="18">
        <v>0.18</v>
      </c>
      <c r="S1341" s="16">
        <f>Q1341*R1341</f>
        <v>3051</v>
      </c>
      <c r="T1341" s="16">
        <f>Q1341+S1341</f>
        <v>20001</v>
      </c>
      <c r="U1341" s="16" t="s">
        <v>1448</v>
      </c>
      <c r="V1341" s="19">
        <v>45664</v>
      </c>
      <c r="W1341" s="142" t="s">
        <v>1766</v>
      </c>
    </row>
    <row r="1342" spans="1:23" x14ac:dyDescent="0.3">
      <c r="A1342" s="1"/>
      <c r="B1342" s="1"/>
      <c r="C1342" s="1"/>
      <c r="D1342" s="1"/>
      <c r="E1342" s="1"/>
      <c r="F1342" s="124" t="s">
        <v>39</v>
      </c>
      <c r="G1342" s="85"/>
      <c r="H1342" s="85"/>
      <c r="I1342" s="85"/>
      <c r="J1342" s="156">
        <f>SUM(J1341)</f>
        <v>16950</v>
      </c>
      <c r="K1342" s="85"/>
      <c r="L1342" s="85"/>
      <c r="M1342" s="85"/>
      <c r="N1342" s="1"/>
      <c r="O1342" s="1"/>
      <c r="P1342" s="1"/>
      <c r="Q1342" s="1"/>
      <c r="R1342" s="1"/>
      <c r="S1342" s="1"/>
      <c r="T1342" s="1"/>
      <c r="U1342" s="1"/>
      <c r="V1342" s="1"/>
      <c r="W1342" s="142"/>
    </row>
    <row r="1343" spans="1:23" x14ac:dyDescent="0.3">
      <c r="A1343" s="1"/>
      <c r="B1343" s="1"/>
      <c r="C1343" s="1"/>
      <c r="D1343" s="1"/>
      <c r="E1343" s="1"/>
      <c r="F1343" s="124" t="s">
        <v>187</v>
      </c>
      <c r="G1343" s="85"/>
      <c r="H1343" s="85"/>
      <c r="I1343" s="85"/>
      <c r="J1343" s="156">
        <f>J1342*18/100</f>
        <v>3051</v>
      </c>
      <c r="K1343" s="85"/>
      <c r="L1343" s="85"/>
      <c r="M1343" s="85"/>
      <c r="N1343" s="1"/>
      <c r="O1343" s="1"/>
      <c r="P1343" s="1"/>
      <c r="Q1343" s="1"/>
      <c r="R1343" s="1"/>
      <c r="S1343" s="1"/>
      <c r="T1343" s="1"/>
      <c r="U1343" s="1"/>
      <c r="V1343" s="1"/>
      <c r="W1343" s="142"/>
    </row>
    <row r="1344" spans="1:23" x14ac:dyDescent="0.3">
      <c r="A1344" s="1"/>
      <c r="B1344" s="1"/>
      <c r="C1344" s="1"/>
      <c r="D1344" s="1"/>
      <c r="E1344" s="1"/>
      <c r="F1344" s="124" t="s">
        <v>41</v>
      </c>
      <c r="G1344" s="85"/>
      <c r="H1344" s="85"/>
      <c r="I1344" s="85"/>
      <c r="J1344" s="156">
        <f>SUM(J1342:J1343)</f>
        <v>20001</v>
      </c>
      <c r="K1344" s="85"/>
      <c r="L1344" s="85"/>
      <c r="M1344" s="85"/>
      <c r="N1344" s="1"/>
      <c r="O1344" s="1"/>
      <c r="P1344" s="1"/>
      <c r="Q1344" s="1"/>
      <c r="R1344" s="1"/>
      <c r="S1344" s="1"/>
      <c r="T1344" s="1"/>
      <c r="U1344" s="1"/>
      <c r="V1344" s="1"/>
      <c r="W1344" s="142"/>
    </row>
    <row r="1345" spans="1:23" x14ac:dyDescent="0.3">
      <c r="A1345" s="1"/>
      <c r="B1345" s="1"/>
      <c r="C1345" s="1"/>
      <c r="D1345" s="1"/>
      <c r="E1345" s="1"/>
      <c r="F1345" s="124"/>
      <c r="G1345" s="85"/>
      <c r="H1345" s="85"/>
      <c r="I1345" s="85"/>
      <c r="J1345" s="156"/>
      <c r="K1345" s="85"/>
      <c r="L1345" s="85"/>
      <c r="M1345" s="85"/>
      <c r="N1345" s="1"/>
      <c r="O1345" s="1"/>
      <c r="P1345" s="1"/>
      <c r="Q1345" s="1"/>
      <c r="R1345" s="1"/>
      <c r="S1345" s="1"/>
      <c r="T1345" s="1"/>
      <c r="U1345" s="1"/>
      <c r="V1345" s="1"/>
      <c r="W1345" s="142"/>
    </row>
    <row r="1346" spans="1:23" ht="25.2" x14ac:dyDescent="0.3">
      <c r="A1346" s="16">
        <v>108</v>
      </c>
      <c r="B1346" s="16">
        <v>8600058107</v>
      </c>
      <c r="C1346" s="19">
        <v>45664</v>
      </c>
      <c r="D1346" s="39" t="s">
        <v>1388</v>
      </c>
      <c r="E1346" s="16" t="s">
        <v>127</v>
      </c>
      <c r="F1346" s="16" t="s">
        <v>1389</v>
      </c>
      <c r="G1346" s="16">
        <v>4</v>
      </c>
      <c r="H1346" s="16" t="s">
        <v>28</v>
      </c>
      <c r="I1346" s="16">
        <v>2185</v>
      </c>
      <c r="J1346" s="16">
        <f>G1346*I1346</f>
        <v>8740</v>
      </c>
      <c r="K1346" s="16"/>
      <c r="L1346" s="16"/>
      <c r="M1346" s="16"/>
      <c r="N1346" s="16"/>
      <c r="O1346" s="16">
        <v>4</v>
      </c>
      <c r="P1346" s="16">
        <v>2185</v>
      </c>
      <c r="Q1346" s="16">
        <f>O1346*P1346</f>
        <v>8740</v>
      </c>
      <c r="R1346" s="18">
        <v>0.18</v>
      </c>
      <c r="S1346" s="16">
        <f>Q1346*R1346</f>
        <v>1573.2</v>
      </c>
      <c r="T1346" s="16">
        <f>Q1346+S1346</f>
        <v>10313.200000000001</v>
      </c>
      <c r="U1346" s="16" t="s">
        <v>1461</v>
      </c>
      <c r="V1346" s="19" t="s">
        <v>1458</v>
      </c>
      <c r="W1346" s="142" t="s">
        <v>1557</v>
      </c>
    </row>
    <row r="1347" spans="1:23" x14ac:dyDescent="0.3">
      <c r="A1347" s="85"/>
      <c r="B1347" s="85"/>
      <c r="C1347" s="85"/>
      <c r="D1347" s="85"/>
      <c r="E1347" s="16" t="s">
        <v>127</v>
      </c>
      <c r="F1347" s="39" t="s">
        <v>1390</v>
      </c>
      <c r="G1347" s="16">
        <v>4</v>
      </c>
      <c r="H1347" s="16" t="s">
        <v>28</v>
      </c>
      <c r="I1347" s="16">
        <v>1880</v>
      </c>
      <c r="J1347" s="16">
        <f>G1347*I1347</f>
        <v>7520</v>
      </c>
      <c r="K1347" s="16"/>
      <c r="L1347" s="16"/>
      <c r="M1347" s="16"/>
      <c r="N1347" s="16"/>
      <c r="O1347" s="16">
        <v>4</v>
      </c>
      <c r="P1347" s="16">
        <v>1880</v>
      </c>
      <c r="Q1347" s="16">
        <f>O1347*P1347</f>
        <v>7520</v>
      </c>
      <c r="R1347" s="18">
        <v>0.18</v>
      </c>
      <c r="S1347" s="16">
        <f>Q1347*R1347</f>
        <v>1353.6</v>
      </c>
      <c r="T1347" s="16">
        <f>Q1347+S1347</f>
        <v>8873.6</v>
      </c>
      <c r="U1347" s="16" t="s">
        <v>1461</v>
      </c>
      <c r="V1347" s="19" t="s">
        <v>1458</v>
      </c>
      <c r="W1347" s="142" t="s">
        <v>1557</v>
      </c>
    </row>
    <row r="1348" spans="1:23" x14ac:dyDescent="0.3">
      <c r="A1348" s="1"/>
      <c r="B1348" s="1"/>
      <c r="C1348" s="1"/>
      <c r="D1348" s="1"/>
      <c r="E1348" s="1"/>
      <c r="F1348" s="124" t="s">
        <v>39</v>
      </c>
      <c r="G1348" s="85"/>
      <c r="H1348" s="85"/>
      <c r="I1348" s="85"/>
      <c r="J1348" s="156">
        <f>SUM(J1346:J1347)</f>
        <v>16260</v>
      </c>
      <c r="K1348" s="85"/>
      <c r="L1348" s="85"/>
      <c r="M1348" s="85"/>
      <c r="N1348" s="1"/>
      <c r="O1348" s="1"/>
      <c r="P1348" s="1"/>
      <c r="Q1348" s="1"/>
      <c r="R1348" s="1"/>
      <c r="S1348" s="1"/>
      <c r="T1348" s="1"/>
      <c r="U1348" s="1"/>
      <c r="V1348" s="1"/>
      <c r="W1348" s="142"/>
    </row>
    <row r="1349" spans="1:23" x14ac:dyDescent="0.3">
      <c r="A1349" s="1"/>
      <c r="B1349" s="1"/>
      <c r="C1349" s="1"/>
      <c r="D1349" s="1"/>
      <c r="E1349" s="1"/>
      <c r="F1349" s="124" t="s">
        <v>187</v>
      </c>
      <c r="G1349" s="85"/>
      <c r="H1349" s="85"/>
      <c r="I1349" s="85"/>
      <c r="J1349" s="156">
        <f>J1348*18/100</f>
        <v>2926.8</v>
      </c>
      <c r="K1349" s="85"/>
      <c r="L1349" s="85"/>
      <c r="M1349" s="85"/>
      <c r="N1349" s="1"/>
      <c r="O1349" s="1"/>
      <c r="P1349" s="1"/>
      <c r="Q1349" s="1"/>
      <c r="R1349" s="1"/>
      <c r="S1349" s="1"/>
      <c r="T1349" s="1">
        <f>SUM(T1346:T1348)</f>
        <v>19186.800000000003</v>
      </c>
      <c r="U1349" s="1"/>
      <c r="V1349" s="1"/>
      <c r="W1349" s="142"/>
    </row>
    <row r="1350" spans="1:23" x14ac:dyDescent="0.3">
      <c r="A1350" s="1"/>
      <c r="B1350" s="1"/>
      <c r="C1350" s="1"/>
      <c r="D1350" s="1"/>
      <c r="E1350" s="1"/>
      <c r="F1350" s="124" t="s">
        <v>41</v>
      </c>
      <c r="G1350" s="85"/>
      <c r="H1350" s="85"/>
      <c r="I1350" s="85"/>
      <c r="J1350" s="156">
        <f>SUM(J1348:J1349)</f>
        <v>19186.8</v>
      </c>
      <c r="K1350" s="85"/>
      <c r="L1350" s="85"/>
      <c r="M1350" s="85"/>
      <c r="N1350" s="1"/>
      <c r="O1350" s="1"/>
      <c r="P1350" s="1"/>
      <c r="Q1350" s="1"/>
      <c r="R1350" s="1"/>
      <c r="S1350" s="1"/>
      <c r="T1350" s="1"/>
      <c r="U1350" s="1"/>
      <c r="V1350" s="1"/>
      <c r="W1350" s="142"/>
    </row>
    <row r="1351" spans="1:23" x14ac:dyDescent="0.3">
      <c r="A1351" s="1"/>
      <c r="B1351" s="1"/>
      <c r="C1351" s="1"/>
      <c r="D1351" s="1"/>
      <c r="E1351" s="1"/>
      <c r="F1351" s="124"/>
      <c r="G1351" s="85"/>
      <c r="H1351" s="85"/>
      <c r="I1351" s="85"/>
      <c r="J1351" s="156"/>
      <c r="K1351" s="85"/>
      <c r="L1351" s="85"/>
      <c r="M1351" s="85"/>
      <c r="N1351" s="1"/>
      <c r="O1351" s="1"/>
      <c r="P1351" s="1"/>
      <c r="Q1351" s="1"/>
      <c r="R1351" s="1"/>
      <c r="S1351" s="1"/>
      <c r="T1351" s="1"/>
      <c r="U1351" s="1"/>
      <c r="V1351" s="1"/>
      <c r="W1351" s="142"/>
    </row>
    <row r="1352" spans="1:23" ht="25.2" x14ac:dyDescent="0.3">
      <c r="A1352" s="16">
        <v>109</v>
      </c>
      <c r="B1352" s="16">
        <v>8500036043</v>
      </c>
      <c r="C1352" s="19">
        <v>45723</v>
      </c>
      <c r="D1352" s="39" t="s">
        <v>1393</v>
      </c>
      <c r="E1352" s="16" t="s">
        <v>127</v>
      </c>
      <c r="F1352" s="39" t="s">
        <v>1391</v>
      </c>
      <c r="G1352" s="16">
        <v>4</v>
      </c>
      <c r="H1352" s="16" t="s">
        <v>28</v>
      </c>
      <c r="I1352" s="16">
        <v>11700</v>
      </c>
      <c r="J1352" s="16">
        <f>G1352*I1352</f>
        <v>46800</v>
      </c>
      <c r="K1352" s="16"/>
      <c r="L1352" s="16"/>
      <c r="M1352" s="16"/>
      <c r="N1352" s="16"/>
      <c r="O1352" s="16">
        <v>4</v>
      </c>
      <c r="P1352" s="16">
        <v>11700</v>
      </c>
      <c r="Q1352" s="16">
        <f>O1352*P1352</f>
        <v>46800</v>
      </c>
      <c r="R1352" s="18">
        <v>0</v>
      </c>
      <c r="S1352" s="16">
        <f>Q1352*R1352</f>
        <v>0</v>
      </c>
      <c r="T1352" s="16">
        <f>Q1352+S1352</f>
        <v>46800</v>
      </c>
      <c r="U1352" s="16" t="s">
        <v>1427</v>
      </c>
      <c r="V1352" s="19">
        <v>45876</v>
      </c>
      <c r="W1352" s="142" t="s">
        <v>1428</v>
      </c>
    </row>
    <row r="1353" spans="1:23" x14ac:dyDescent="0.3">
      <c r="A1353" s="1"/>
      <c r="B1353" s="1"/>
      <c r="C1353" s="1"/>
      <c r="D1353" s="1"/>
      <c r="E1353" s="16" t="s">
        <v>127</v>
      </c>
      <c r="F1353" s="16" t="s">
        <v>1392</v>
      </c>
      <c r="G1353" s="16">
        <v>2</v>
      </c>
      <c r="H1353" s="16" t="s">
        <v>28</v>
      </c>
      <c r="I1353" s="16">
        <v>12800</v>
      </c>
      <c r="J1353" s="16">
        <f t="shared" ref="J1353" si="294">G1353*I1353</f>
        <v>25600</v>
      </c>
      <c r="K1353" s="16"/>
      <c r="L1353" s="16"/>
      <c r="M1353" s="16"/>
      <c r="N1353" s="16"/>
      <c r="O1353" s="16">
        <v>2</v>
      </c>
      <c r="P1353" s="16">
        <v>12800</v>
      </c>
      <c r="Q1353" s="16">
        <f>O1353*P1353</f>
        <v>25600</v>
      </c>
      <c r="R1353" s="18">
        <v>0</v>
      </c>
      <c r="S1353" s="16">
        <f>Q1353*R1353</f>
        <v>0</v>
      </c>
      <c r="T1353" s="16">
        <f>Q1353+S1353</f>
        <v>25600</v>
      </c>
      <c r="U1353" s="16" t="s">
        <v>1427</v>
      </c>
      <c r="V1353" s="19">
        <v>45876</v>
      </c>
      <c r="W1353" s="142" t="s">
        <v>1428</v>
      </c>
    </row>
    <row r="1354" spans="1:23" x14ac:dyDescent="0.3">
      <c r="A1354" s="1"/>
      <c r="B1354" s="1"/>
      <c r="C1354" s="1"/>
      <c r="D1354" s="1"/>
      <c r="E1354" s="1"/>
      <c r="F1354" s="124" t="s">
        <v>39</v>
      </c>
      <c r="G1354" s="1"/>
      <c r="H1354" s="1"/>
      <c r="I1354" s="1"/>
      <c r="J1354" s="156">
        <f>SUM(J1352:J1353)</f>
        <v>72400</v>
      </c>
      <c r="K1354" s="1"/>
      <c r="L1354" s="1"/>
      <c r="M1354" s="1"/>
      <c r="N1354" s="1"/>
      <c r="O1354" s="1"/>
      <c r="P1354" s="1"/>
      <c r="Q1354" s="1"/>
      <c r="R1354" s="1"/>
      <c r="S1354" s="1"/>
      <c r="T1354" s="1"/>
      <c r="U1354" s="1"/>
      <c r="V1354" s="1"/>
      <c r="W1354" s="142"/>
    </row>
    <row r="1355" spans="1:23" x14ac:dyDescent="0.3">
      <c r="A1355" s="1"/>
      <c r="B1355" s="1"/>
      <c r="C1355" s="1"/>
      <c r="D1355" s="1"/>
      <c r="E1355" s="1"/>
      <c r="F1355" s="124" t="s">
        <v>599</v>
      </c>
      <c r="G1355" s="1"/>
      <c r="H1355" s="1"/>
      <c r="I1355" s="1"/>
      <c r="J1355" s="156">
        <f>J1354*0/100</f>
        <v>0</v>
      </c>
      <c r="K1355" s="1"/>
      <c r="L1355" s="1"/>
      <c r="M1355" s="1"/>
      <c r="N1355" s="1"/>
      <c r="O1355" s="1"/>
      <c r="P1355" s="1"/>
      <c r="Q1355" s="1"/>
      <c r="R1355" s="1"/>
      <c r="S1355" s="1"/>
      <c r="T1355" s="1"/>
      <c r="U1355" s="1"/>
      <c r="V1355" s="1"/>
      <c r="W1355" s="142"/>
    </row>
    <row r="1356" spans="1:23" x14ac:dyDescent="0.3">
      <c r="A1356" s="1"/>
      <c r="B1356" s="1"/>
      <c r="C1356" s="1"/>
      <c r="D1356" s="1"/>
      <c r="E1356" s="1"/>
      <c r="F1356" s="124" t="s">
        <v>41</v>
      </c>
      <c r="G1356" s="1"/>
      <c r="H1356" s="1"/>
      <c r="I1356" s="1"/>
      <c r="J1356" s="156">
        <f>SUM(J1354:J1355)</f>
        <v>72400</v>
      </c>
      <c r="K1356" s="1"/>
      <c r="L1356" s="1"/>
      <c r="M1356" s="1"/>
      <c r="N1356" s="1"/>
      <c r="O1356" s="1"/>
      <c r="P1356" s="1"/>
      <c r="Q1356" s="1"/>
      <c r="R1356" s="1"/>
      <c r="S1356" s="1"/>
      <c r="T1356" s="1"/>
      <c r="U1356" s="1"/>
      <c r="V1356" s="1"/>
      <c r="W1356" s="142"/>
    </row>
    <row r="1357" spans="1:23" x14ac:dyDescent="0.3">
      <c r="A1357" s="1"/>
      <c r="B1357" s="1"/>
      <c r="C1357" s="1"/>
      <c r="D1357" s="1"/>
      <c r="E1357" s="1"/>
      <c r="F1357" s="124"/>
      <c r="G1357" s="1"/>
      <c r="H1357" s="1"/>
      <c r="I1357" s="1"/>
      <c r="J1357" s="156"/>
      <c r="K1357" s="1"/>
      <c r="L1357" s="1"/>
      <c r="M1357" s="1"/>
      <c r="N1357" s="1"/>
      <c r="O1357" s="1"/>
      <c r="P1357" s="1"/>
      <c r="Q1357" s="1"/>
      <c r="R1357" s="1"/>
      <c r="S1357" s="1"/>
      <c r="T1357" s="1"/>
      <c r="U1357" s="1"/>
      <c r="V1357" s="1"/>
      <c r="W1357" s="142"/>
    </row>
    <row r="1358" spans="1:23" x14ac:dyDescent="0.3">
      <c r="A1358" s="16">
        <v>110</v>
      </c>
      <c r="B1358" s="16">
        <v>8100019545</v>
      </c>
      <c r="C1358" s="19">
        <v>45845</v>
      </c>
      <c r="D1358" s="38" t="s">
        <v>154</v>
      </c>
      <c r="E1358" s="16" t="s">
        <v>127</v>
      </c>
      <c r="F1358" s="16" t="s">
        <v>1407</v>
      </c>
      <c r="G1358" s="16">
        <v>20</v>
      </c>
      <c r="H1358" s="16" t="s">
        <v>60</v>
      </c>
      <c r="I1358" s="16">
        <v>2700</v>
      </c>
      <c r="J1358" s="16">
        <f>G1358*I1358</f>
        <v>54000</v>
      </c>
      <c r="K1358" s="16"/>
      <c r="L1358" s="16"/>
      <c r="M1358" s="16"/>
      <c r="N1358" s="16"/>
      <c r="O1358" s="16">
        <v>20</v>
      </c>
      <c r="P1358" s="16">
        <v>2700</v>
      </c>
      <c r="Q1358" s="16">
        <f>O1358*P1358</f>
        <v>54000</v>
      </c>
      <c r="R1358" s="18">
        <v>0.18</v>
      </c>
      <c r="S1358" s="16">
        <f>Q1358*R1358</f>
        <v>9720</v>
      </c>
      <c r="T1358" s="16">
        <f>Q1358+S1358</f>
        <v>63720</v>
      </c>
      <c r="U1358" s="16" t="s">
        <v>1504</v>
      </c>
      <c r="V1358" s="19" t="s">
        <v>1505</v>
      </c>
      <c r="W1358" s="142" t="s">
        <v>1578</v>
      </c>
    </row>
    <row r="1359" spans="1:23" x14ac:dyDescent="0.3">
      <c r="A1359" s="1"/>
      <c r="B1359" s="1"/>
      <c r="C1359" s="1"/>
      <c r="D1359" s="1"/>
      <c r="E1359" s="16" t="s">
        <v>127</v>
      </c>
      <c r="F1359" s="39" t="s">
        <v>1408</v>
      </c>
      <c r="G1359" s="16">
        <v>9</v>
      </c>
      <c r="H1359" s="16" t="s">
        <v>60</v>
      </c>
      <c r="I1359" s="16">
        <v>280</v>
      </c>
      <c r="J1359" s="16">
        <f t="shared" ref="J1359:J1367" si="295">G1359*I1359</f>
        <v>2520</v>
      </c>
      <c r="K1359" s="16"/>
      <c r="L1359" s="16"/>
      <c r="M1359" s="16"/>
      <c r="N1359" s="16"/>
      <c r="O1359" s="16">
        <v>9</v>
      </c>
      <c r="P1359" s="16">
        <v>280</v>
      </c>
      <c r="Q1359" s="16">
        <f t="shared" ref="Q1359:Q1367" si="296">O1359*P1359</f>
        <v>2520</v>
      </c>
      <c r="R1359" s="18">
        <v>0.18</v>
      </c>
      <c r="S1359" s="16">
        <f t="shared" ref="S1359:S1362" si="297">Q1359*R1359</f>
        <v>453.59999999999997</v>
      </c>
      <c r="T1359" s="16">
        <f t="shared" ref="T1359:T1362" si="298">Q1359+S1359</f>
        <v>2973.6</v>
      </c>
      <c r="U1359" s="16" t="s">
        <v>1504</v>
      </c>
      <c r="V1359" s="19" t="s">
        <v>1505</v>
      </c>
      <c r="W1359" s="142" t="s">
        <v>1578</v>
      </c>
    </row>
    <row r="1360" spans="1:23" x14ac:dyDescent="0.3">
      <c r="A1360" s="1"/>
      <c r="B1360" s="1"/>
      <c r="C1360" s="1"/>
      <c r="D1360" s="1"/>
      <c r="E1360" s="16" t="s">
        <v>127</v>
      </c>
      <c r="F1360" s="16" t="s">
        <v>1409</v>
      </c>
      <c r="G1360" s="16">
        <v>5</v>
      </c>
      <c r="H1360" s="16" t="s">
        <v>141</v>
      </c>
      <c r="I1360" s="16">
        <v>170</v>
      </c>
      <c r="J1360" s="16">
        <f t="shared" si="295"/>
        <v>850</v>
      </c>
      <c r="K1360" s="16"/>
      <c r="L1360" s="16"/>
      <c r="M1360" s="16"/>
      <c r="N1360" s="16"/>
      <c r="O1360" s="16">
        <v>5</v>
      </c>
      <c r="P1360" s="16">
        <v>170</v>
      </c>
      <c r="Q1360" s="16">
        <f t="shared" si="296"/>
        <v>850</v>
      </c>
      <c r="R1360" s="18">
        <v>0.18</v>
      </c>
      <c r="S1360" s="16">
        <f t="shared" si="297"/>
        <v>153</v>
      </c>
      <c r="T1360" s="16">
        <f t="shared" si="298"/>
        <v>1003</v>
      </c>
      <c r="U1360" s="16" t="s">
        <v>1504</v>
      </c>
      <c r="V1360" s="19" t="s">
        <v>1505</v>
      </c>
      <c r="W1360" s="142" t="s">
        <v>1578</v>
      </c>
    </row>
    <row r="1361" spans="1:23" x14ac:dyDescent="0.3">
      <c r="A1361" s="1"/>
      <c r="B1361" s="1"/>
      <c r="C1361" s="1"/>
      <c r="D1361" s="1"/>
      <c r="E1361" s="16" t="s">
        <v>127</v>
      </c>
      <c r="F1361" s="16" t="s">
        <v>1410</v>
      </c>
      <c r="G1361" s="16">
        <v>3</v>
      </c>
      <c r="H1361" s="16" t="s">
        <v>28</v>
      </c>
      <c r="I1361" s="16">
        <v>1440</v>
      </c>
      <c r="J1361" s="16">
        <f t="shared" si="295"/>
        <v>4320</v>
      </c>
      <c r="K1361" s="16"/>
      <c r="L1361" s="16"/>
      <c r="M1361" s="16"/>
      <c r="N1361" s="16"/>
      <c r="O1361" s="16">
        <v>3</v>
      </c>
      <c r="P1361" s="16">
        <v>1440</v>
      </c>
      <c r="Q1361" s="16">
        <f t="shared" si="296"/>
        <v>4320</v>
      </c>
      <c r="R1361" s="18">
        <v>0.18</v>
      </c>
      <c r="S1361" s="16">
        <f t="shared" si="297"/>
        <v>777.6</v>
      </c>
      <c r="T1361" s="16">
        <f t="shared" si="298"/>
        <v>5097.6000000000004</v>
      </c>
      <c r="U1361" s="16" t="s">
        <v>1504</v>
      </c>
      <c r="V1361" s="19" t="s">
        <v>1505</v>
      </c>
      <c r="W1361" s="142" t="s">
        <v>1578</v>
      </c>
    </row>
    <row r="1362" spans="1:23" x14ac:dyDescent="0.3">
      <c r="A1362" s="1"/>
      <c r="B1362" s="1"/>
      <c r="C1362" s="1"/>
      <c r="D1362" s="1"/>
      <c r="E1362" s="16" t="s">
        <v>127</v>
      </c>
      <c r="F1362" s="39" t="s">
        <v>1411</v>
      </c>
      <c r="G1362" s="16">
        <v>1</v>
      </c>
      <c r="H1362" s="16" t="s">
        <v>28</v>
      </c>
      <c r="I1362" s="16">
        <v>13900</v>
      </c>
      <c r="J1362" s="16">
        <f t="shared" si="295"/>
        <v>13900</v>
      </c>
      <c r="K1362" s="16"/>
      <c r="L1362" s="16"/>
      <c r="M1362" s="16"/>
      <c r="N1362" s="16"/>
      <c r="O1362" s="16">
        <v>1</v>
      </c>
      <c r="P1362" s="16">
        <v>13900</v>
      </c>
      <c r="Q1362" s="16">
        <f t="shared" si="296"/>
        <v>13900</v>
      </c>
      <c r="R1362" s="18">
        <v>0.18</v>
      </c>
      <c r="S1362" s="16">
        <f t="shared" si="297"/>
        <v>2502</v>
      </c>
      <c r="T1362" s="16">
        <f t="shared" si="298"/>
        <v>16402</v>
      </c>
      <c r="U1362" s="16" t="s">
        <v>1504</v>
      </c>
      <c r="V1362" s="19" t="s">
        <v>1505</v>
      </c>
      <c r="W1362" s="142" t="s">
        <v>1578</v>
      </c>
    </row>
    <row r="1363" spans="1:23" ht="113.4" x14ac:dyDescent="0.3">
      <c r="A1363" s="1"/>
      <c r="B1363" s="1"/>
      <c r="C1363" s="1"/>
      <c r="D1363" s="1"/>
      <c r="E1363" s="16" t="s">
        <v>123</v>
      </c>
      <c r="F1363" s="39" t="s">
        <v>1412</v>
      </c>
      <c r="G1363" s="16">
        <v>7</v>
      </c>
      <c r="H1363" s="16" t="s">
        <v>28</v>
      </c>
      <c r="I1363" s="16">
        <v>16990</v>
      </c>
      <c r="J1363" s="16">
        <f t="shared" si="295"/>
        <v>118930</v>
      </c>
      <c r="K1363" s="16">
        <v>7</v>
      </c>
      <c r="L1363" s="16" t="s">
        <v>28</v>
      </c>
      <c r="M1363" s="16" t="s">
        <v>91</v>
      </c>
      <c r="N1363" s="16" t="s">
        <v>1541</v>
      </c>
      <c r="O1363" s="16">
        <v>7</v>
      </c>
      <c r="P1363" s="16">
        <v>16990</v>
      </c>
      <c r="Q1363" s="16">
        <f t="shared" si="296"/>
        <v>118930</v>
      </c>
      <c r="R1363" s="18">
        <v>0.18</v>
      </c>
      <c r="S1363" s="16">
        <f t="shared" ref="S1363:S1367" si="299">Q1363*R1363</f>
        <v>21407.399999999998</v>
      </c>
      <c r="T1363" s="16">
        <f t="shared" ref="T1363:T1367" si="300">Q1363+S1363</f>
        <v>140337.4</v>
      </c>
      <c r="U1363" s="97" t="s">
        <v>1756</v>
      </c>
      <c r="V1363" s="110">
        <v>45788</v>
      </c>
      <c r="W1363" s="142" t="s">
        <v>1774</v>
      </c>
    </row>
    <row r="1364" spans="1:23" ht="100.8" x14ac:dyDescent="0.3">
      <c r="A1364" s="1"/>
      <c r="B1364" s="1"/>
      <c r="C1364" s="1"/>
      <c r="D1364" s="1"/>
      <c r="E1364" s="16" t="s">
        <v>123</v>
      </c>
      <c r="F1364" s="39" t="s">
        <v>1413</v>
      </c>
      <c r="G1364" s="16">
        <v>3</v>
      </c>
      <c r="H1364" s="16" t="s">
        <v>28</v>
      </c>
      <c r="I1364" s="16">
        <v>7400</v>
      </c>
      <c r="J1364" s="16">
        <f t="shared" si="295"/>
        <v>22200</v>
      </c>
      <c r="K1364" s="16">
        <v>3</v>
      </c>
      <c r="L1364" s="16" t="s">
        <v>28</v>
      </c>
      <c r="M1364" s="16" t="s">
        <v>91</v>
      </c>
      <c r="N1364" s="16" t="s">
        <v>1541</v>
      </c>
      <c r="O1364" s="16">
        <v>3</v>
      </c>
      <c r="P1364" s="16">
        <v>7400</v>
      </c>
      <c r="Q1364" s="16">
        <f t="shared" si="296"/>
        <v>22200</v>
      </c>
      <c r="R1364" s="18">
        <v>0.18</v>
      </c>
      <c r="S1364" s="16">
        <f t="shared" si="299"/>
        <v>3996</v>
      </c>
      <c r="T1364" s="16">
        <f t="shared" si="300"/>
        <v>26196</v>
      </c>
      <c r="U1364" s="97" t="s">
        <v>1756</v>
      </c>
      <c r="V1364" s="110">
        <v>45788</v>
      </c>
      <c r="W1364" s="142" t="s">
        <v>1774</v>
      </c>
    </row>
    <row r="1365" spans="1:23" ht="25.2" x14ac:dyDescent="0.3">
      <c r="A1365" s="1"/>
      <c r="B1365" s="1"/>
      <c r="C1365" s="1"/>
      <c r="D1365" s="101" t="s">
        <v>1581</v>
      </c>
      <c r="E1365" s="161" t="s">
        <v>123</v>
      </c>
      <c r="F1365" s="162" t="s">
        <v>1414</v>
      </c>
      <c r="G1365" s="16">
        <v>3</v>
      </c>
      <c r="H1365" s="16" t="s">
        <v>28</v>
      </c>
      <c r="I1365" s="16">
        <v>860</v>
      </c>
      <c r="J1365" s="16">
        <f t="shared" si="295"/>
        <v>2580</v>
      </c>
      <c r="K1365" s="16"/>
      <c r="L1365" s="16"/>
      <c r="M1365" s="16"/>
      <c r="N1365" s="16"/>
      <c r="O1365" s="16"/>
      <c r="P1365" s="16">
        <v>860</v>
      </c>
      <c r="Q1365" s="16">
        <f t="shared" si="296"/>
        <v>0</v>
      </c>
      <c r="R1365" s="18">
        <v>0.18</v>
      </c>
      <c r="S1365" s="16">
        <f t="shared" si="299"/>
        <v>0</v>
      </c>
      <c r="T1365" s="16">
        <f t="shared" si="300"/>
        <v>0</v>
      </c>
      <c r="U1365" s="85"/>
      <c r="V1365" s="94"/>
      <c r="W1365" s="142" t="s">
        <v>1774</v>
      </c>
    </row>
    <row r="1366" spans="1:23" ht="25.2" x14ac:dyDescent="0.3">
      <c r="A1366" s="1"/>
      <c r="B1366" s="1"/>
      <c r="C1366" s="1"/>
      <c r="D1366" s="1"/>
      <c r="E1366" s="16" t="s">
        <v>123</v>
      </c>
      <c r="F1366" s="39" t="s">
        <v>1415</v>
      </c>
      <c r="G1366" s="16">
        <v>1</v>
      </c>
      <c r="H1366" s="16" t="s">
        <v>28</v>
      </c>
      <c r="I1366" s="16">
        <v>2400</v>
      </c>
      <c r="J1366" s="16">
        <f t="shared" si="295"/>
        <v>2400</v>
      </c>
      <c r="K1366" s="16"/>
      <c r="L1366" s="16"/>
      <c r="M1366" s="16"/>
      <c r="N1366" s="16"/>
      <c r="O1366" s="16">
        <v>1</v>
      </c>
      <c r="P1366" s="16">
        <v>2400</v>
      </c>
      <c r="Q1366" s="16">
        <f t="shared" si="296"/>
        <v>2400</v>
      </c>
      <c r="R1366" s="18">
        <v>0.18</v>
      </c>
      <c r="S1366" s="16">
        <f t="shared" si="299"/>
        <v>432</v>
      </c>
      <c r="T1366" s="16">
        <f t="shared" si="300"/>
        <v>2832</v>
      </c>
      <c r="U1366" s="97" t="s">
        <v>1756</v>
      </c>
      <c r="V1366" s="110">
        <v>45788</v>
      </c>
      <c r="W1366" s="142" t="s">
        <v>1774</v>
      </c>
    </row>
    <row r="1367" spans="1:23" x14ac:dyDescent="0.3">
      <c r="A1367" s="1"/>
      <c r="B1367" s="1"/>
      <c r="C1367" s="1"/>
      <c r="D1367" s="1"/>
      <c r="E1367" s="16" t="s">
        <v>123</v>
      </c>
      <c r="F1367" s="16" t="s">
        <v>1416</v>
      </c>
      <c r="G1367" s="16">
        <v>1</v>
      </c>
      <c r="H1367" s="16" t="s">
        <v>87</v>
      </c>
      <c r="I1367" s="16">
        <v>25800</v>
      </c>
      <c r="J1367" s="16">
        <f t="shared" si="295"/>
        <v>25800</v>
      </c>
      <c r="K1367" s="16"/>
      <c r="L1367" s="16"/>
      <c r="M1367" s="16"/>
      <c r="N1367" s="16"/>
      <c r="O1367" s="16">
        <v>1</v>
      </c>
      <c r="P1367" s="16">
        <v>25800</v>
      </c>
      <c r="Q1367" s="16">
        <f t="shared" si="296"/>
        <v>25800</v>
      </c>
      <c r="R1367" s="18">
        <v>0.18</v>
      </c>
      <c r="S1367" s="16">
        <f t="shared" si="299"/>
        <v>4644</v>
      </c>
      <c r="T1367" s="16">
        <f t="shared" si="300"/>
        <v>30444</v>
      </c>
      <c r="U1367" s="97" t="s">
        <v>1756</v>
      </c>
      <c r="V1367" s="110">
        <v>45788</v>
      </c>
      <c r="W1367" s="142" t="s">
        <v>1774</v>
      </c>
    </row>
    <row r="1368" spans="1:23" x14ac:dyDescent="0.3">
      <c r="A1368" s="1"/>
      <c r="B1368" s="1"/>
      <c r="C1368" s="1"/>
      <c r="D1368" s="1"/>
      <c r="E1368" s="1"/>
      <c r="F1368" s="124" t="s">
        <v>39</v>
      </c>
      <c r="G1368" s="1"/>
      <c r="H1368" s="1"/>
      <c r="I1368" s="1"/>
      <c r="J1368" s="124">
        <f>SUM(J1358:J1367)</f>
        <v>247500</v>
      </c>
      <c r="K1368" s="1"/>
      <c r="L1368" s="1"/>
      <c r="M1368" s="1"/>
      <c r="N1368" s="1"/>
      <c r="O1368" s="1"/>
      <c r="P1368" s="1"/>
      <c r="Q1368" s="1"/>
      <c r="R1368" s="1"/>
      <c r="S1368" s="1"/>
      <c r="T1368" s="1"/>
      <c r="U1368" s="1"/>
      <c r="V1368" s="1"/>
      <c r="W1368" s="142"/>
    </row>
    <row r="1369" spans="1:23" x14ac:dyDescent="0.3">
      <c r="A1369" s="1"/>
      <c r="B1369" s="1"/>
      <c r="C1369" s="1"/>
      <c r="D1369" s="1"/>
      <c r="E1369" s="1"/>
      <c r="F1369" s="124" t="s">
        <v>187</v>
      </c>
      <c r="G1369" s="1"/>
      <c r="H1369" s="1"/>
      <c r="I1369" s="1"/>
      <c r="J1369" s="124">
        <f>J1368*18/100</f>
        <v>44550</v>
      </c>
      <c r="K1369" s="1"/>
      <c r="L1369" s="1"/>
      <c r="M1369" s="1"/>
      <c r="N1369" s="1"/>
      <c r="O1369" s="1"/>
      <c r="P1369" s="1"/>
      <c r="Q1369" s="1"/>
      <c r="R1369" s="1"/>
      <c r="S1369" s="1"/>
      <c r="T1369" s="1"/>
      <c r="U1369" s="1"/>
      <c r="V1369" s="1"/>
      <c r="W1369" s="142"/>
    </row>
    <row r="1370" spans="1:23" x14ac:dyDescent="0.3">
      <c r="A1370" s="1"/>
      <c r="B1370" s="1"/>
      <c r="C1370" s="1"/>
      <c r="D1370" s="1"/>
      <c r="E1370" s="1"/>
      <c r="F1370" s="124" t="s">
        <v>41</v>
      </c>
      <c r="G1370" s="1"/>
      <c r="H1370" s="1"/>
      <c r="I1370" s="1"/>
      <c r="J1370" s="124">
        <f>SUM(J1368:J1369)</f>
        <v>292050</v>
      </c>
      <c r="K1370" s="1"/>
      <c r="L1370" s="1"/>
      <c r="M1370" s="1"/>
      <c r="N1370" s="1"/>
      <c r="O1370" s="1"/>
      <c r="P1370" s="1"/>
      <c r="Q1370" s="1"/>
      <c r="R1370" s="1"/>
      <c r="S1370" s="1"/>
      <c r="T1370" s="1">
        <f>SUM(T1358:T1369)</f>
        <v>289005.59999999998</v>
      </c>
      <c r="U1370" s="1"/>
      <c r="V1370" s="1"/>
      <c r="W1370" s="142"/>
    </row>
    <row r="1371" spans="1:23" x14ac:dyDescent="0.3">
      <c r="A1371" s="1"/>
      <c r="B1371" s="1"/>
      <c r="C1371" s="1"/>
      <c r="D1371" s="1"/>
      <c r="E1371" s="1"/>
      <c r="F1371" s="124"/>
      <c r="G1371" s="1"/>
      <c r="H1371" s="1"/>
      <c r="I1371" s="1"/>
      <c r="J1371" s="124"/>
      <c r="K1371" s="1"/>
      <c r="L1371" s="1"/>
      <c r="M1371" s="1"/>
      <c r="N1371" s="1"/>
      <c r="O1371" s="1"/>
      <c r="P1371" s="1"/>
      <c r="Q1371" s="1"/>
      <c r="R1371" s="1"/>
      <c r="S1371" s="1"/>
      <c r="T1371" s="1"/>
      <c r="U1371" s="1"/>
      <c r="V1371" s="1"/>
      <c r="W1371" s="142"/>
    </row>
    <row r="1372" spans="1:23" ht="37.799999999999997" x14ac:dyDescent="0.3">
      <c r="A1372" s="16">
        <v>111</v>
      </c>
      <c r="B1372" s="16">
        <v>9200143285</v>
      </c>
      <c r="C1372" s="19">
        <v>45876</v>
      </c>
      <c r="D1372" s="16" t="s">
        <v>43</v>
      </c>
      <c r="E1372" s="16" t="s">
        <v>123</v>
      </c>
      <c r="F1372" s="39" t="s">
        <v>1420</v>
      </c>
      <c r="G1372" s="16">
        <v>280</v>
      </c>
      <c r="H1372" s="16" t="s">
        <v>141</v>
      </c>
      <c r="I1372" s="16">
        <v>130</v>
      </c>
      <c r="J1372" s="16">
        <f t="shared" si="267"/>
        <v>36400</v>
      </c>
      <c r="K1372" s="16">
        <v>20</v>
      </c>
      <c r="L1372" s="16" t="s">
        <v>28</v>
      </c>
      <c r="M1372" s="16" t="s">
        <v>91</v>
      </c>
      <c r="N1372" s="16" t="s">
        <v>1520</v>
      </c>
      <c r="O1372" s="16">
        <v>280</v>
      </c>
      <c r="P1372" s="16">
        <v>130</v>
      </c>
      <c r="Q1372" s="16">
        <f>O1372*P1372</f>
        <v>36400</v>
      </c>
      <c r="R1372" s="18">
        <v>0</v>
      </c>
      <c r="S1372" s="16">
        <f>Q1372*R1372</f>
        <v>0</v>
      </c>
      <c r="T1372" s="16">
        <f>Q1372+S1372</f>
        <v>36400</v>
      </c>
      <c r="U1372" s="16" t="s">
        <v>1589</v>
      </c>
      <c r="V1372" s="19" t="s">
        <v>1588</v>
      </c>
      <c r="W1372" s="142" t="s">
        <v>1656</v>
      </c>
    </row>
    <row r="1373" spans="1:23" ht="37.799999999999997" x14ac:dyDescent="0.3">
      <c r="A1373" s="1"/>
      <c r="B1373" s="1"/>
      <c r="C1373" s="1"/>
      <c r="D1373" s="1"/>
      <c r="E1373" s="16" t="s">
        <v>123</v>
      </c>
      <c r="F1373" s="39" t="s">
        <v>1421</v>
      </c>
      <c r="G1373" s="16">
        <v>470</v>
      </c>
      <c r="H1373" s="16" t="s">
        <v>141</v>
      </c>
      <c r="I1373" s="16">
        <v>130</v>
      </c>
      <c r="J1373" s="16">
        <f t="shared" si="267"/>
        <v>61100</v>
      </c>
      <c r="K1373" s="16">
        <v>133</v>
      </c>
      <c r="L1373" s="16" t="s">
        <v>141</v>
      </c>
      <c r="M1373" s="16" t="s">
        <v>91</v>
      </c>
      <c r="N1373" s="16" t="s">
        <v>1520</v>
      </c>
      <c r="O1373" s="16">
        <v>470</v>
      </c>
      <c r="P1373" s="16">
        <v>130</v>
      </c>
      <c r="Q1373" s="16">
        <f t="shared" ref="Q1373:Q1378" si="301">O1373*P1373</f>
        <v>61100</v>
      </c>
      <c r="R1373" s="18">
        <v>0</v>
      </c>
      <c r="S1373" s="16">
        <f t="shared" ref="S1373:S1378" si="302">Q1373*R1373</f>
        <v>0</v>
      </c>
      <c r="T1373" s="16">
        <f t="shared" ref="T1373:T1378" si="303">Q1373+S1373</f>
        <v>61100</v>
      </c>
      <c r="U1373" s="16" t="s">
        <v>1589</v>
      </c>
      <c r="V1373" s="19" t="s">
        <v>1588</v>
      </c>
      <c r="W1373" s="142" t="s">
        <v>1656</v>
      </c>
    </row>
    <row r="1374" spans="1:23" ht="37.799999999999997" x14ac:dyDescent="0.3">
      <c r="A1374" s="1"/>
      <c r="B1374" s="1"/>
      <c r="C1374" s="1"/>
      <c r="D1374" s="1"/>
      <c r="E1374" s="16" t="s">
        <v>123</v>
      </c>
      <c r="F1374" s="39" t="s">
        <v>1422</v>
      </c>
      <c r="G1374" s="16">
        <v>165</v>
      </c>
      <c r="H1374" s="16" t="s">
        <v>141</v>
      </c>
      <c r="I1374" s="16">
        <v>130</v>
      </c>
      <c r="J1374" s="16">
        <f t="shared" si="267"/>
        <v>21450</v>
      </c>
      <c r="K1374" s="16">
        <v>950</v>
      </c>
      <c r="L1374" s="16" t="s">
        <v>141</v>
      </c>
      <c r="M1374" s="16" t="s">
        <v>91</v>
      </c>
      <c r="N1374" s="16" t="s">
        <v>1499</v>
      </c>
      <c r="O1374" s="16">
        <v>165</v>
      </c>
      <c r="P1374" s="16">
        <v>130</v>
      </c>
      <c r="Q1374" s="16">
        <f t="shared" si="301"/>
        <v>21450</v>
      </c>
      <c r="R1374" s="18">
        <v>0</v>
      </c>
      <c r="S1374" s="16">
        <f t="shared" si="302"/>
        <v>0</v>
      </c>
      <c r="T1374" s="16">
        <f t="shared" si="303"/>
        <v>21450</v>
      </c>
      <c r="U1374" s="16" t="s">
        <v>1589</v>
      </c>
      <c r="V1374" s="19" t="s">
        <v>1588</v>
      </c>
      <c r="W1374" s="142" t="s">
        <v>1656</v>
      </c>
    </row>
    <row r="1375" spans="1:23" ht="50.4" x14ac:dyDescent="0.3">
      <c r="A1375" s="1"/>
      <c r="B1375" s="1"/>
      <c r="C1375" s="1"/>
      <c r="D1375" s="1"/>
      <c r="E1375" s="16" t="s">
        <v>123</v>
      </c>
      <c r="F1375" s="39" t="s">
        <v>1423</v>
      </c>
      <c r="G1375" s="16">
        <v>12</v>
      </c>
      <c r="H1375" s="16" t="s">
        <v>28</v>
      </c>
      <c r="I1375" s="16">
        <v>1500</v>
      </c>
      <c r="J1375" s="16">
        <f t="shared" si="267"/>
        <v>18000</v>
      </c>
      <c r="K1375" s="16">
        <v>10</v>
      </c>
      <c r="L1375" s="16" t="s">
        <v>28</v>
      </c>
      <c r="M1375" s="16" t="s">
        <v>91</v>
      </c>
      <c r="N1375" s="16" t="s">
        <v>1499</v>
      </c>
      <c r="O1375" s="16">
        <v>12</v>
      </c>
      <c r="P1375" s="16">
        <v>1500</v>
      </c>
      <c r="Q1375" s="16">
        <f t="shared" si="301"/>
        <v>18000</v>
      </c>
      <c r="R1375" s="18">
        <v>0</v>
      </c>
      <c r="S1375" s="16">
        <f t="shared" si="302"/>
        <v>0</v>
      </c>
      <c r="T1375" s="16">
        <f t="shared" si="303"/>
        <v>18000</v>
      </c>
      <c r="U1375" s="16" t="s">
        <v>1589</v>
      </c>
      <c r="V1375" s="19" t="s">
        <v>1588</v>
      </c>
      <c r="W1375" s="142" t="s">
        <v>1656</v>
      </c>
    </row>
    <row r="1376" spans="1:23" ht="50.4" x14ac:dyDescent="0.3">
      <c r="A1376" s="1"/>
      <c r="B1376" s="1"/>
      <c r="C1376" s="1"/>
      <c r="D1376" s="1"/>
      <c r="E1376" s="16" t="s">
        <v>123</v>
      </c>
      <c r="F1376" s="39" t="s">
        <v>1424</v>
      </c>
      <c r="G1376" s="16">
        <v>16</v>
      </c>
      <c r="H1376" s="16" t="s">
        <v>28</v>
      </c>
      <c r="I1376" s="16">
        <v>650</v>
      </c>
      <c r="J1376" s="16">
        <f t="shared" si="267"/>
        <v>10400</v>
      </c>
      <c r="K1376" s="16">
        <v>16</v>
      </c>
      <c r="L1376" s="16" t="s">
        <v>28</v>
      </c>
      <c r="M1376" s="16" t="s">
        <v>91</v>
      </c>
      <c r="N1376" s="16" t="s">
        <v>1499</v>
      </c>
      <c r="O1376" s="16">
        <v>16</v>
      </c>
      <c r="P1376" s="16">
        <v>650</v>
      </c>
      <c r="Q1376" s="16">
        <f t="shared" si="301"/>
        <v>10400</v>
      </c>
      <c r="R1376" s="18">
        <v>0</v>
      </c>
      <c r="S1376" s="16">
        <f t="shared" si="302"/>
        <v>0</v>
      </c>
      <c r="T1376" s="16">
        <f t="shared" si="303"/>
        <v>10400</v>
      </c>
      <c r="U1376" s="16" t="s">
        <v>1589</v>
      </c>
      <c r="V1376" s="19" t="s">
        <v>1588</v>
      </c>
      <c r="W1376" s="142" t="s">
        <v>1656</v>
      </c>
    </row>
    <row r="1377" spans="1:23" ht="50.4" x14ac:dyDescent="0.3">
      <c r="A1377" s="1"/>
      <c r="B1377" s="1"/>
      <c r="C1377" s="1"/>
      <c r="D1377" s="1"/>
      <c r="E1377" s="16" t="s">
        <v>123</v>
      </c>
      <c r="F1377" s="39" t="s">
        <v>1425</v>
      </c>
      <c r="G1377" s="16">
        <v>790</v>
      </c>
      <c r="H1377" s="16" t="s">
        <v>111</v>
      </c>
      <c r="I1377" s="16">
        <v>80</v>
      </c>
      <c r="J1377" s="16">
        <f t="shared" si="267"/>
        <v>63200</v>
      </c>
      <c r="K1377" s="16">
        <v>3</v>
      </c>
      <c r="L1377" s="16" t="s">
        <v>53</v>
      </c>
      <c r="M1377" s="16" t="s">
        <v>91</v>
      </c>
      <c r="N1377" s="16" t="s">
        <v>1519</v>
      </c>
      <c r="O1377" s="16">
        <v>790</v>
      </c>
      <c r="P1377" s="16">
        <v>80</v>
      </c>
      <c r="Q1377" s="16">
        <f t="shared" si="301"/>
        <v>63200</v>
      </c>
      <c r="R1377" s="18">
        <v>0</v>
      </c>
      <c r="S1377" s="16">
        <f t="shared" si="302"/>
        <v>0</v>
      </c>
      <c r="T1377" s="16">
        <f t="shared" si="303"/>
        <v>63200</v>
      </c>
      <c r="U1377" s="16" t="s">
        <v>1589</v>
      </c>
      <c r="V1377" s="19" t="s">
        <v>1588</v>
      </c>
      <c r="W1377" s="142" t="s">
        <v>1656</v>
      </c>
    </row>
    <row r="1378" spans="1:23" ht="37.799999999999997" x14ac:dyDescent="0.3">
      <c r="A1378" s="1"/>
      <c r="B1378" s="1"/>
      <c r="C1378" s="1"/>
      <c r="D1378" s="1"/>
      <c r="E1378" s="16" t="s">
        <v>123</v>
      </c>
      <c r="F1378" s="39" t="s">
        <v>1426</v>
      </c>
      <c r="G1378" s="16">
        <v>1</v>
      </c>
      <c r="H1378" s="16" t="s">
        <v>87</v>
      </c>
      <c r="I1378" s="16">
        <v>7500</v>
      </c>
      <c r="J1378" s="16">
        <f t="shared" si="267"/>
        <v>7500</v>
      </c>
      <c r="K1378" s="16" t="s">
        <v>1543</v>
      </c>
      <c r="L1378" s="16"/>
      <c r="M1378" s="16" t="s">
        <v>91</v>
      </c>
      <c r="N1378" s="16" t="s">
        <v>1542</v>
      </c>
      <c r="O1378" s="16">
        <v>1</v>
      </c>
      <c r="P1378" s="16">
        <v>7500</v>
      </c>
      <c r="Q1378" s="16">
        <f t="shared" si="301"/>
        <v>7500</v>
      </c>
      <c r="R1378" s="18">
        <v>0</v>
      </c>
      <c r="S1378" s="16">
        <f t="shared" si="302"/>
        <v>0</v>
      </c>
      <c r="T1378" s="16">
        <f t="shared" si="303"/>
        <v>7500</v>
      </c>
      <c r="U1378" s="16" t="s">
        <v>1589</v>
      </c>
      <c r="V1378" s="19" t="s">
        <v>1588</v>
      </c>
      <c r="W1378" s="142" t="s">
        <v>1656</v>
      </c>
    </row>
    <row r="1379" spans="1:23" x14ac:dyDescent="0.3">
      <c r="A1379" s="1"/>
      <c r="B1379" s="1"/>
      <c r="C1379" s="1"/>
      <c r="D1379" s="1"/>
      <c r="E1379" s="1"/>
      <c r="F1379" s="124" t="s">
        <v>39</v>
      </c>
      <c r="G1379" s="1"/>
      <c r="H1379" s="1"/>
      <c r="I1379" s="1"/>
      <c r="J1379" s="124">
        <f>SUM(J1372:J1378)</f>
        <v>218050</v>
      </c>
      <c r="K1379" s="1"/>
      <c r="L1379" s="1"/>
      <c r="M1379" s="1"/>
      <c r="N1379" s="1"/>
      <c r="O1379" s="1"/>
      <c r="P1379" s="1"/>
      <c r="Q1379" s="1"/>
      <c r="R1379" s="1"/>
      <c r="S1379" s="1"/>
      <c r="T1379" s="1"/>
      <c r="U1379" s="1"/>
      <c r="V1379" s="1"/>
      <c r="W1379" s="142"/>
    </row>
    <row r="1380" spans="1:23" x14ac:dyDescent="0.3">
      <c r="A1380" s="1"/>
      <c r="B1380" s="1"/>
      <c r="C1380" s="1"/>
      <c r="D1380" s="1"/>
      <c r="E1380" s="1"/>
      <c r="F1380" s="124" t="s">
        <v>187</v>
      </c>
      <c r="G1380" s="1"/>
      <c r="H1380" s="1"/>
      <c r="I1380" s="1"/>
      <c r="J1380" s="124">
        <f>J1379*0/100</f>
        <v>0</v>
      </c>
      <c r="K1380" s="1"/>
      <c r="L1380" s="1"/>
      <c r="M1380" s="1"/>
      <c r="N1380" s="1"/>
      <c r="O1380" s="1"/>
      <c r="P1380" s="1"/>
      <c r="Q1380" s="1"/>
      <c r="R1380" s="1"/>
      <c r="S1380" s="1"/>
      <c r="T1380" s="1"/>
      <c r="U1380" s="1"/>
      <c r="V1380" s="1"/>
      <c r="W1380" s="142"/>
    </row>
    <row r="1381" spans="1:23" x14ac:dyDescent="0.3">
      <c r="A1381" s="1"/>
      <c r="B1381" s="1"/>
      <c r="C1381" s="1"/>
      <c r="D1381" s="1"/>
      <c r="E1381" s="1"/>
      <c r="F1381" s="124" t="s">
        <v>41</v>
      </c>
      <c r="G1381" s="1"/>
      <c r="H1381" s="1"/>
      <c r="I1381" s="1"/>
      <c r="J1381" s="124">
        <f>SUM(J1379:J1380)</f>
        <v>218050</v>
      </c>
      <c r="K1381" s="1"/>
      <c r="L1381" s="1"/>
      <c r="M1381" s="1"/>
      <c r="N1381" s="1"/>
      <c r="O1381" s="1"/>
      <c r="P1381" s="1"/>
      <c r="Q1381" s="1"/>
      <c r="R1381" s="1"/>
      <c r="S1381" s="1"/>
      <c r="T1381" s="1">
        <f>SUM(T1372:T1380)</f>
        <v>218050</v>
      </c>
      <c r="U1381" s="1"/>
      <c r="V1381" s="1"/>
      <c r="W1381" s="142"/>
    </row>
    <row r="1382" spans="1:23" x14ac:dyDescent="0.3">
      <c r="A1382" s="1"/>
      <c r="B1382" s="1"/>
      <c r="C1382" s="1"/>
      <c r="D1382" s="1"/>
      <c r="E1382" s="1"/>
      <c r="F1382" s="124"/>
      <c r="G1382" s="1"/>
      <c r="H1382" s="1"/>
      <c r="I1382" s="1"/>
      <c r="J1382" s="124"/>
      <c r="K1382" s="1"/>
      <c r="L1382" s="1"/>
      <c r="M1382" s="1"/>
      <c r="N1382" s="1"/>
      <c r="O1382" s="1"/>
      <c r="P1382" s="1"/>
      <c r="Q1382" s="1"/>
      <c r="R1382" s="1"/>
      <c r="S1382" s="1"/>
      <c r="T1382" s="1"/>
      <c r="U1382" s="1"/>
      <c r="V1382" s="1"/>
      <c r="W1382" s="142"/>
    </row>
    <row r="1383" spans="1:23" ht="75.599999999999994" x14ac:dyDescent="0.3">
      <c r="A1383" s="101">
        <v>112</v>
      </c>
      <c r="B1383" s="101">
        <v>8100019592</v>
      </c>
      <c r="C1383" s="164">
        <v>45937</v>
      </c>
      <c r="D1383" s="101" t="s">
        <v>1429</v>
      </c>
      <c r="E1383" s="101" t="s">
        <v>127</v>
      </c>
      <c r="F1383" s="102" t="s">
        <v>1430</v>
      </c>
      <c r="G1383" s="101">
        <v>2</v>
      </c>
      <c r="H1383" s="101" t="s">
        <v>28</v>
      </c>
      <c r="I1383" s="101">
        <v>25200</v>
      </c>
      <c r="J1383" s="101">
        <f>G1383*I1383</f>
        <v>50400</v>
      </c>
      <c r="K1383" s="1"/>
      <c r="L1383" s="1"/>
      <c r="M1383" s="1"/>
      <c r="N1383" s="1"/>
      <c r="O1383" s="1"/>
      <c r="P1383" s="1"/>
      <c r="Q1383" s="1"/>
      <c r="R1383" s="1"/>
      <c r="S1383" s="1"/>
      <c r="T1383" s="1"/>
      <c r="U1383" s="1"/>
      <c r="V1383" s="1"/>
      <c r="W1383" s="142"/>
    </row>
    <row r="1384" spans="1:23" ht="25.2" x14ac:dyDescent="0.3">
      <c r="A1384" s="101"/>
      <c r="B1384" s="101" t="s">
        <v>1104</v>
      </c>
      <c r="C1384" s="101"/>
      <c r="D1384" s="101"/>
      <c r="E1384" s="101" t="s">
        <v>123</v>
      </c>
      <c r="F1384" s="102" t="s">
        <v>1431</v>
      </c>
      <c r="G1384" s="101">
        <v>1</v>
      </c>
      <c r="H1384" s="101" t="s">
        <v>28</v>
      </c>
      <c r="I1384" s="101">
        <v>4700</v>
      </c>
      <c r="J1384" s="101">
        <f>G1384*I1384</f>
        <v>4700</v>
      </c>
      <c r="K1384" s="1"/>
      <c r="L1384" s="1"/>
      <c r="M1384" s="1"/>
      <c r="N1384" s="1"/>
      <c r="O1384" s="1"/>
      <c r="P1384" s="1"/>
      <c r="Q1384" s="1"/>
      <c r="R1384" s="1"/>
      <c r="S1384" s="1"/>
      <c r="T1384" s="1"/>
      <c r="U1384" s="1"/>
      <c r="V1384" s="1"/>
      <c r="W1384" s="142"/>
    </row>
    <row r="1385" spans="1:23" x14ac:dyDescent="0.3">
      <c r="A1385" s="101"/>
      <c r="B1385" s="101"/>
      <c r="C1385" s="101"/>
      <c r="D1385" s="101"/>
      <c r="E1385" s="101"/>
      <c r="F1385" s="180" t="s">
        <v>39</v>
      </c>
      <c r="G1385" s="101"/>
      <c r="H1385" s="101"/>
      <c r="I1385" s="101"/>
      <c r="J1385" s="180">
        <f>SUM(J1383:J1384)</f>
        <v>55100</v>
      </c>
      <c r="K1385" s="1"/>
      <c r="L1385" s="1"/>
      <c r="M1385" s="1"/>
      <c r="N1385" s="1"/>
      <c r="O1385" s="1"/>
      <c r="P1385" s="1"/>
      <c r="Q1385" s="1"/>
      <c r="R1385" s="1"/>
      <c r="S1385" s="1"/>
      <c r="T1385" s="1"/>
      <c r="U1385" s="1"/>
      <c r="V1385" s="1"/>
      <c r="W1385" s="142"/>
    </row>
    <row r="1386" spans="1:23" x14ac:dyDescent="0.3">
      <c r="A1386" s="101"/>
      <c r="B1386" s="101"/>
      <c r="C1386" s="101"/>
      <c r="D1386" s="101"/>
      <c r="E1386" s="101"/>
      <c r="F1386" s="180" t="s">
        <v>599</v>
      </c>
      <c r="G1386" s="101"/>
      <c r="H1386" s="101"/>
      <c r="I1386" s="101"/>
      <c r="J1386" s="180">
        <f>J1385*0%</f>
        <v>0</v>
      </c>
      <c r="K1386" s="1"/>
      <c r="L1386" s="1"/>
      <c r="M1386" s="1"/>
      <c r="N1386" s="1"/>
      <c r="O1386" s="1"/>
      <c r="P1386" s="1"/>
      <c r="Q1386" s="1"/>
      <c r="R1386" s="1"/>
      <c r="S1386" s="1"/>
      <c r="T1386" s="1"/>
      <c r="U1386" s="1"/>
      <c r="V1386" s="1"/>
      <c r="W1386" s="142"/>
    </row>
    <row r="1387" spans="1:23" x14ac:dyDescent="0.3">
      <c r="A1387" s="101"/>
      <c r="B1387" s="101"/>
      <c r="C1387" s="101"/>
      <c r="D1387" s="101"/>
      <c r="E1387" s="101"/>
      <c r="F1387" s="180" t="s">
        <v>41</v>
      </c>
      <c r="G1387" s="101"/>
      <c r="H1387" s="101"/>
      <c r="I1387" s="101"/>
      <c r="J1387" s="180">
        <f>SUM(J1385:J1386)</f>
        <v>55100</v>
      </c>
      <c r="K1387" s="1"/>
      <c r="L1387" s="1"/>
      <c r="M1387" s="1"/>
      <c r="N1387" s="1"/>
      <c r="O1387" s="1"/>
      <c r="P1387" s="1"/>
      <c r="Q1387" s="1"/>
      <c r="R1387" s="1"/>
      <c r="S1387" s="1"/>
      <c r="T1387" s="1"/>
      <c r="U1387" s="1"/>
      <c r="V1387" s="1"/>
      <c r="W1387" s="142"/>
    </row>
    <row r="1388" spans="1:23" x14ac:dyDescent="0.3">
      <c r="A1388" s="1"/>
      <c r="B1388" s="1"/>
      <c r="C1388" s="1"/>
      <c r="D1388" s="1"/>
      <c r="E1388" s="1"/>
      <c r="F1388" s="124"/>
      <c r="G1388" s="1"/>
      <c r="H1388" s="1"/>
      <c r="I1388" s="1"/>
      <c r="J1388" s="124"/>
      <c r="K1388" s="1"/>
      <c r="L1388" s="1"/>
      <c r="M1388" s="1"/>
      <c r="N1388" s="1"/>
      <c r="O1388" s="1"/>
      <c r="P1388" s="1"/>
      <c r="Q1388" s="1"/>
      <c r="R1388" s="1"/>
      <c r="S1388" s="1"/>
      <c r="T1388" s="1"/>
      <c r="U1388" s="1"/>
      <c r="V1388" s="1"/>
      <c r="W1388" s="142"/>
    </row>
    <row r="1389" spans="1:23" ht="37.799999999999997" x14ac:dyDescent="0.3">
      <c r="A1389" s="16">
        <v>113</v>
      </c>
      <c r="B1389" s="16">
        <v>9200143444</v>
      </c>
      <c r="C1389" s="19">
        <v>45937</v>
      </c>
      <c r="D1389" s="16" t="s">
        <v>43</v>
      </c>
      <c r="E1389" s="16" t="s">
        <v>123</v>
      </c>
      <c r="F1389" s="39" t="s">
        <v>1432</v>
      </c>
      <c r="G1389" s="16">
        <v>10</v>
      </c>
      <c r="H1389" s="16" t="s">
        <v>28</v>
      </c>
      <c r="I1389" s="16">
        <v>5405</v>
      </c>
      <c r="J1389" s="16">
        <f>G1389*I1389</f>
        <v>54050</v>
      </c>
      <c r="K1389" s="16">
        <v>10</v>
      </c>
      <c r="L1389" s="16" t="s">
        <v>28</v>
      </c>
      <c r="M1389" s="16" t="s">
        <v>91</v>
      </c>
      <c r="N1389" s="16" t="s">
        <v>1462</v>
      </c>
      <c r="O1389" s="16">
        <v>10</v>
      </c>
      <c r="P1389" s="16">
        <v>5405</v>
      </c>
      <c r="Q1389" s="16">
        <f>O1389*P1389</f>
        <v>54050</v>
      </c>
      <c r="R1389" s="18">
        <v>0</v>
      </c>
      <c r="S1389" s="16">
        <f>Q1389*R1389</f>
        <v>0</v>
      </c>
      <c r="T1389" s="16">
        <f>Q1389+S1389</f>
        <v>54050</v>
      </c>
      <c r="U1389" s="16" t="s">
        <v>1655</v>
      </c>
      <c r="V1389" s="19">
        <v>45878</v>
      </c>
      <c r="W1389" s="142" t="s">
        <v>1689</v>
      </c>
    </row>
    <row r="1390" spans="1:23" ht="25.2" x14ac:dyDescent="0.3">
      <c r="A1390" s="1"/>
      <c r="B1390" s="1"/>
      <c r="C1390" s="1"/>
      <c r="D1390" s="1"/>
      <c r="E1390" s="16" t="s">
        <v>123</v>
      </c>
      <c r="F1390" s="39" t="s">
        <v>1433</v>
      </c>
      <c r="G1390" s="16">
        <v>1400</v>
      </c>
      <c r="H1390" s="16" t="s">
        <v>60</v>
      </c>
      <c r="I1390" s="16">
        <v>85</v>
      </c>
      <c r="J1390" s="16">
        <f t="shared" ref="J1390:J1399" si="304">G1390*I1390</f>
        <v>119000</v>
      </c>
      <c r="K1390" s="16">
        <v>1400</v>
      </c>
      <c r="L1390" s="16" t="s">
        <v>60</v>
      </c>
      <c r="M1390" s="16" t="s">
        <v>91</v>
      </c>
      <c r="N1390" s="16" t="s">
        <v>1463</v>
      </c>
      <c r="O1390" s="16">
        <v>1400</v>
      </c>
      <c r="P1390" s="16">
        <v>85</v>
      </c>
      <c r="Q1390" s="16">
        <f t="shared" ref="Q1390:Q1399" si="305">O1390*P1390</f>
        <v>119000</v>
      </c>
      <c r="R1390" s="18">
        <v>0</v>
      </c>
      <c r="S1390" s="16">
        <f t="shared" ref="S1390:S1399" si="306">Q1390*R1390</f>
        <v>0</v>
      </c>
      <c r="T1390" s="16">
        <f t="shared" ref="T1390:T1399" si="307">Q1390+S1390</f>
        <v>119000</v>
      </c>
      <c r="U1390" s="16" t="s">
        <v>1655</v>
      </c>
      <c r="V1390" s="19">
        <v>45878</v>
      </c>
      <c r="W1390" s="142" t="s">
        <v>1689</v>
      </c>
    </row>
    <row r="1391" spans="1:23" ht="50.4" x14ac:dyDescent="0.3">
      <c r="A1391" s="1"/>
      <c r="B1391" s="1"/>
      <c r="C1391" s="1"/>
      <c r="D1391" s="1"/>
      <c r="E1391" s="16" t="s">
        <v>123</v>
      </c>
      <c r="F1391" s="39" t="s">
        <v>1434</v>
      </c>
      <c r="G1391" s="16">
        <v>12</v>
      </c>
      <c r="H1391" s="16" t="s">
        <v>28</v>
      </c>
      <c r="I1391" s="16">
        <v>4517</v>
      </c>
      <c r="J1391" s="16">
        <f t="shared" si="304"/>
        <v>54204</v>
      </c>
      <c r="K1391" s="16">
        <v>12</v>
      </c>
      <c r="L1391" s="16" t="s">
        <v>28</v>
      </c>
      <c r="M1391" s="16" t="s">
        <v>91</v>
      </c>
      <c r="N1391" s="16" t="s">
        <v>1462</v>
      </c>
      <c r="O1391" s="16">
        <v>12</v>
      </c>
      <c r="P1391" s="16">
        <v>4517</v>
      </c>
      <c r="Q1391" s="16">
        <f t="shared" si="305"/>
        <v>54204</v>
      </c>
      <c r="R1391" s="18">
        <v>0</v>
      </c>
      <c r="S1391" s="16">
        <f t="shared" si="306"/>
        <v>0</v>
      </c>
      <c r="T1391" s="16">
        <f t="shared" si="307"/>
        <v>54204</v>
      </c>
      <c r="U1391" s="16" t="s">
        <v>1655</v>
      </c>
      <c r="V1391" s="19">
        <v>45878</v>
      </c>
      <c r="W1391" s="142" t="s">
        <v>1689</v>
      </c>
    </row>
    <row r="1392" spans="1:23" x14ac:dyDescent="0.3">
      <c r="A1392" s="1"/>
      <c r="B1392" s="1"/>
      <c r="C1392" s="1"/>
      <c r="D1392" s="1"/>
      <c r="E1392" s="16" t="s">
        <v>123</v>
      </c>
      <c r="F1392" s="39" t="s">
        <v>1435</v>
      </c>
      <c r="G1392" s="16">
        <v>140</v>
      </c>
      <c r="H1392" s="16" t="s">
        <v>60</v>
      </c>
      <c r="I1392" s="16">
        <v>535</v>
      </c>
      <c r="J1392" s="16">
        <f t="shared" si="304"/>
        <v>74900</v>
      </c>
      <c r="K1392" s="16">
        <v>140</v>
      </c>
      <c r="L1392" s="16" t="s">
        <v>60</v>
      </c>
      <c r="M1392" s="16" t="s">
        <v>91</v>
      </c>
      <c r="N1392" s="16" t="s">
        <v>1463</v>
      </c>
      <c r="O1392" s="16">
        <v>140</v>
      </c>
      <c r="P1392" s="16">
        <v>535</v>
      </c>
      <c r="Q1392" s="16">
        <f t="shared" si="305"/>
        <v>74900</v>
      </c>
      <c r="R1392" s="18">
        <v>0</v>
      </c>
      <c r="S1392" s="16">
        <f t="shared" si="306"/>
        <v>0</v>
      </c>
      <c r="T1392" s="16">
        <f t="shared" si="307"/>
        <v>74900</v>
      </c>
      <c r="U1392" s="16" t="s">
        <v>1655</v>
      </c>
      <c r="V1392" s="19">
        <v>45878</v>
      </c>
      <c r="W1392" s="142" t="s">
        <v>1689</v>
      </c>
    </row>
    <row r="1393" spans="1:23" x14ac:dyDescent="0.3">
      <c r="A1393" s="1"/>
      <c r="B1393" s="1"/>
      <c r="C1393" s="1"/>
      <c r="D1393" s="1"/>
      <c r="E1393" s="16" t="s">
        <v>123</v>
      </c>
      <c r="F1393" s="16" t="s">
        <v>1436</v>
      </c>
      <c r="G1393" s="16">
        <v>1000</v>
      </c>
      <c r="H1393" s="16" t="s">
        <v>60</v>
      </c>
      <c r="I1393" s="16">
        <v>40</v>
      </c>
      <c r="J1393" s="16">
        <f t="shared" si="304"/>
        <v>40000</v>
      </c>
      <c r="K1393" s="16">
        <v>1000</v>
      </c>
      <c r="L1393" s="16" t="s">
        <v>60</v>
      </c>
      <c r="M1393" s="16" t="s">
        <v>91</v>
      </c>
      <c r="N1393" s="16" t="s">
        <v>1498</v>
      </c>
      <c r="O1393" s="16">
        <v>810</v>
      </c>
      <c r="P1393" s="16">
        <v>40</v>
      </c>
      <c r="Q1393" s="16">
        <f t="shared" si="305"/>
        <v>32400</v>
      </c>
      <c r="R1393" s="18">
        <v>0</v>
      </c>
      <c r="S1393" s="16">
        <f t="shared" si="306"/>
        <v>0</v>
      </c>
      <c r="T1393" s="16">
        <f t="shared" si="307"/>
        <v>32400</v>
      </c>
      <c r="U1393" s="16" t="s">
        <v>1655</v>
      </c>
      <c r="V1393" s="19">
        <v>45878</v>
      </c>
      <c r="W1393" s="142" t="s">
        <v>1689</v>
      </c>
    </row>
    <row r="1394" spans="1:23" x14ac:dyDescent="0.3">
      <c r="A1394" s="1"/>
      <c r="B1394" s="1"/>
      <c r="C1394" s="1"/>
      <c r="D1394" s="1"/>
      <c r="E1394" s="16" t="s">
        <v>123</v>
      </c>
      <c r="F1394" s="16" t="s">
        <v>1437</v>
      </c>
      <c r="G1394" s="16">
        <v>80</v>
      </c>
      <c r="H1394" s="16" t="s">
        <v>87</v>
      </c>
      <c r="I1394" s="16">
        <v>244</v>
      </c>
      <c r="J1394" s="16">
        <f t="shared" si="304"/>
        <v>19520</v>
      </c>
      <c r="K1394" s="16"/>
      <c r="L1394" s="16"/>
      <c r="M1394" s="16"/>
      <c r="N1394" s="16"/>
      <c r="O1394" s="16">
        <v>66</v>
      </c>
      <c r="P1394" s="16">
        <v>244</v>
      </c>
      <c r="Q1394" s="16">
        <f t="shared" si="305"/>
        <v>16104</v>
      </c>
      <c r="R1394" s="18">
        <v>0</v>
      </c>
      <c r="S1394" s="16">
        <f t="shared" si="306"/>
        <v>0</v>
      </c>
      <c r="T1394" s="16">
        <f t="shared" si="307"/>
        <v>16104</v>
      </c>
      <c r="U1394" s="16" t="s">
        <v>1655</v>
      </c>
      <c r="V1394" s="19">
        <v>45878</v>
      </c>
      <c r="W1394" s="142" t="s">
        <v>1689</v>
      </c>
    </row>
    <row r="1395" spans="1:23" ht="28.8" customHeight="1" x14ac:dyDescent="0.3">
      <c r="A1395" s="1"/>
      <c r="B1395" s="1"/>
      <c r="C1395" s="1"/>
      <c r="D1395" s="1"/>
      <c r="E1395" s="16" t="s">
        <v>123</v>
      </c>
      <c r="F1395" s="39" t="s">
        <v>1438</v>
      </c>
      <c r="G1395" s="16">
        <v>40</v>
      </c>
      <c r="H1395" s="16" t="s">
        <v>87</v>
      </c>
      <c r="I1395" s="16">
        <v>708</v>
      </c>
      <c r="J1395" s="16">
        <f t="shared" si="304"/>
        <v>28320</v>
      </c>
      <c r="K1395" s="16">
        <v>40</v>
      </c>
      <c r="L1395" s="16" t="s">
        <v>28</v>
      </c>
      <c r="M1395" s="16" t="s">
        <v>91</v>
      </c>
      <c r="N1395" s="16" t="s">
        <v>1463</v>
      </c>
      <c r="O1395" s="16">
        <v>40</v>
      </c>
      <c r="P1395" s="16">
        <v>708</v>
      </c>
      <c r="Q1395" s="16">
        <f t="shared" si="305"/>
        <v>28320</v>
      </c>
      <c r="R1395" s="18">
        <v>0</v>
      </c>
      <c r="S1395" s="16">
        <f t="shared" si="306"/>
        <v>0</v>
      </c>
      <c r="T1395" s="16">
        <f t="shared" si="307"/>
        <v>28320</v>
      </c>
      <c r="U1395" s="16" t="s">
        <v>1655</v>
      </c>
      <c r="V1395" s="19">
        <v>45878</v>
      </c>
      <c r="W1395" s="142" t="s">
        <v>1689</v>
      </c>
    </row>
    <row r="1396" spans="1:23" ht="25.2" x14ac:dyDescent="0.3">
      <c r="A1396" s="1"/>
      <c r="B1396" s="1"/>
      <c r="C1396" s="1"/>
      <c r="D1396" s="1"/>
      <c r="E1396" s="16" t="s">
        <v>123</v>
      </c>
      <c r="F1396" s="39" t="s">
        <v>1439</v>
      </c>
      <c r="G1396" s="16">
        <v>24</v>
      </c>
      <c r="H1396" s="16" t="s">
        <v>28</v>
      </c>
      <c r="I1396" s="16">
        <v>978</v>
      </c>
      <c r="J1396" s="16">
        <f t="shared" si="304"/>
        <v>23472</v>
      </c>
      <c r="K1396" s="16"/>
      <c r="L1396" s="16"/>
      <c r="M1396" s="16"/>
      <c r="N1396" s="16"/>
      <c r="O1396" s="16">
        <v>24</v>
      </c>
      <c r="P1396" s="16">
        <v>978</v>
      </c>
      <c r="Q1396" s="16">
        <f t="shared" si="305"/>
        <v>23472</v>
      </c>
      <c r="R1396" s="18">
        <v>0</v>
      </c>
      <c r="S1396" s="16">
        <f t="shared" si="306"/>
        <v>0</v>
      </c>
      <c r="T1396" s="16">
        <f t="shared" si="307"/>
        <v>23472</v>
      </c>
      <c r="U1396" s="16" t="s">
        <v>1655</v>
      </c>
      <c r="V1396" s="19">
        <v>45878</v>
      </c>
      <c r="W1396" s="142" t="s">
        <v>1689</v>
      </c>
    </row>
    <row r="1397" spans="1:23" x14ac:dyDescent="0.3">
      <c r="A1397" s="1"/>
      <c r="B1397" s="1"/>
      <c r="C1397" s="1"/>
      <c r="D1397" s="1"/>
      <c r="E1397" s="16" t="s">
        <v>123</v>
      </c>
      <c r="F1397" s="16" t="s">
        <v>1440</v>
      </c>
      <c r="G1397" s="16">
        <v>20</v>
      </c>
      <c r="H1397" s="16" t="s">
        <v>28</v>
      </c>
      <c r="I1397" s="16">
        <v>289</v>
      </c>
      <c r="J1397" s="16">
        <f t="shared" si="304"/>
        <v>5780</v>
      </c>
      <c r="K1397" s="16"/>
      <c r="L1397" s="16"/>
      <c r="M1397" s="16"/>
      <c r="N1397" s="16"/>
      <c r="O1397" s="16">
        <v>20</v>
      </c>
      <c r="P1397" s="16">
        <v>289</v>
      </c>
      <c r="Q1397" s="16">
        <f t="shared" si="305"/>
        <v>5780</v>
      </c>
      <c r="R1397" s="18">
        <v>0</v>
      </c>
      <c r="S1397" s="16">
        <f t="shared" si="306"/>
        <v>0</v>
      </c>
      <c r="T1397" s="16">
        <f t="shared" si="307"/>
        <v>5780</v>
      </c>
      <c r="U1397" s="16" t="s">
        <v>1655</v>
      </c>
      <c r="V1397" s="19">
        <v>45878</v>
      </c>
      <c r="W1397" s="142" t="s">
        <v>1689</v>
      </c>
    </row>
    <row r="1398" spans="1:23" x14ac:dyDescent="0.3">
      <c r="A1398" s="1"/>
      <c r="B1398" s="1"/>
      <c r="C1398" s="1"/>
      <c r="D1398" s="1"/>
      <c r="E1398" s="16" t="s">
        <v>123</v>
      </c>
      <c r="F1398" s="16" t="s">
        <v>1441</v>
      </c>
      <c r="G1398" s="16">
        <v>250</v>
      </c>
      <c r="H1398" s="16" t="s">
        <v>111</v>
      </c>
      <c r="I1398" s="16">
        <v>110</v>
      </c>
      <c r="J1398" s="16">
        <f t="shared" si="304"/>
        <v>27500</v>
      </c>
      <c r="K1398" s="16"/>
      <c r="L1398" s="16"/>
      <c r="M1398" s="16"/>
      <c r="N1398" s="16"/>
      <c r="O1398" s="16">
        <v>82</v>
      </c>
      <c r="P1398" s="16">
        <v>110</v>
      </c>
      <c r="Q1398" s="16">
        <f t="shared" si="305"/>
        <v>9020</v>
      </c>
      <c r="R1398" s="18">
        <v>0</v>
      </c>
      <c r="S1398" s="16">
        <f t="shared" si="306"/>
        <v>0</v>
      </c>
      <c r="T1398" s="16">
        <f t="shared" si="307"/>
        <v>9020</v>
      </c>
      <c r="U1398" s="16" t="s">
        <v>1655</v>
      </c>
      <c r="V1398" s="19">
        <v>45878</v>
      </c>
      <c r="W1398" s="142" t="s">
        <v>1689</v>
      </c>
    </row>
    <row r="1399" spans="1:23" x14ac:dyDescent="0.3">
      <c r="A1399" s="1"/>
      <c r="B1399" s="1"/>
      <c r="C1399" s="1"/>
      <c r="D1399" s="1"/>
      <c r="E1399" s="16" t="s">
        <v>123</v>
      </c>
      <c r="F1399" s="16" t="s">
        <v>1442</v>
      </c>
      <c r="G1399" s="16">
        <v>250</v>
      </c>
      <c r="H1399" s="16" t="s">
        <v>111</v>
      </c>
      <c r="I1399" s="16">
        <v>153</v>
      </c>
      <c r="J1399" s="16">
        <f t="shared" si="304"/>
        <v>38250</v>
      </c>
      <c r="K1399" s="16"/>
      <c r="L1399" s="16"/>
      <c r="M1399" s="16"/>
      <c r="N1399" s="16"/>
      <c r="O1399" s="16">
        <v>130</v>
      </c>
      <c r="P1399" s="16">
        <v>153</v>
      </c>
      <c r="Q1399" s="16">
        <f t="shared" si="305"/>
        <v>19890</v>
      </c>
      <c r="R1399" s="18">
        <v>0</v>
      </c>
      <c r="S1399" s="16">
        <f t="shared" si="306"/>
        <v>0</v>
      </c>
      <c r="T1399" s="16">
        <f t="shared" si="307"/>
        <v>19890</v>
      </c>
      <c r="U1399" s="16" t="s">
        <v>1655</v>
      </c>
      <c r="V1399" s="19">
        <v>45878</v>
      </c>
      <c r="W1399" s="142" t="s">
        <v>1689</v>
      </c>
    </row>
    <row r="1400" spans="1:23" x14ac:dyDescent="0.3">
      <c r="A1400" s="1"/>
      <c r="B1400" s="1"/>
      <c r="C1400" s="1"/>
      <c r="D1400" s="1"/>
      <c r="E1400" s="1"/>
      <c r="F1400" s="124" t="s">
        <v>39</v>
      </c>
      <c r="G1400" s="1"/>
      <c r="H1400" s="1"/>
      <c r="I1400" s="1"/>
      <c r="J1400" s="124">
        <f>SUM(J1389:J1399)</f>
        <v>484996</v>
      </c>
      <c r="K1400" s="1"/>
      <c r="L1400" s="1"/>
      <c r="M1400" s="1"/>
      <c r="N1400" s="1"/>
      <c r="O1400" s="1"/>
      <c r="P1400" s="1"/>
      <c r="Q1400" s="1"/>
      <c r="R1400" s="1"/>
      <c r="S1400" s="1"/>
      <c r="T1400" s="1"/>
      <c r="U1400" s="1"/>
      <c r="V1400" s="1"/>
      <c r="W1400" s="142"/>
    </row>
    <row r="1401" spans="1:23" x14ac:dyDescent="0.3">
      <c r="A1401" s="1"/>
      <c r="B1401" s="1"/>
      <c r="C1401" s="1"/>
      <c r="D1401" s="1"/>
      <c r="E1401" s="1"/>
      <c r="F1401" s="124" t="s">
        <v>599</v>
      </c>
      <c r="G1401" s="1"/>
      <c r="H1401" s="1"/>
      <c r="I1401" s="1"/>
      <c r="J1401" s="124">
        <f>J1400*0/100</f>
        <v>0</v>
      </c>
      <c r="K1401" s="1"/>
      <c r="L1401" s="1"/>
      <c r="M1401" s="1"/>
      <c r="N1401" s="1"/>
      <c r="O1401" s="1"/>
      <c r="P1401" s="1"/>
      <c r="Q1401" s="1"/>
      <c r="R1401" s="1"/>
      <c r="S1401" s="1"/>
      <c r="T1401" s="1"/>
      <c r="U1401" s="1"/>
      <c r="V1401" s="1"/>
      <c r="W1401" s="142"/>
    </row>
    <row r="1402" spans="1:23" x14ac:dyDescent="0.3">
      <c r="A1402" s="1"/>
      <c r="B1402" s="1"/>
      <c r="C1402" s="1"/>
      <c r="D1402" s="1"/>
      <c r="E1402" s="1"/>
      <c r="F1402" s="124" t="s">
        <v>41</v>
      </c>
      <c r="G1402" s="1"/>
      <c r="H1402" s="1"/>
      <c r="I1402" s="1"/>
      <c r="J1402" s="124">
        <f>SUM(J1400:J1401)</f>
        <v>484996</v>
      </c>
      <c r="K1402" s="1"/>
      <c r="L1402" s="1"/>
      <c r="M1402" s="1"/>
      <c r="N1402" s="1"/>
      <c r="O1402" s="1"/>
      <c r="P1402" s="1"/>
      <c r="Q1402" s="1"/>
      <c r="R1402" s="1"/>
      <c r="S1402" s="1"/>
      <c r="T1402" s="1">
        <f>SUM(T1389:T1401)</f>
        <v>437140</v>
      </c>
      <c r="U1402" s="1"/>
      <c r="V1402" s="1"/>
      <c r="W1402" s="142"/>
    </row>
    <row r="1403" spans="1:23" x14ac:dyDescent="0.3">
      <c r="A1403" s="16">
        <v>114</v>
      </c>
      <c r="B1403" s="16">
        <v>8100019596</v>
      </c>
      <c r="C1403" s="19">
        <v>45937</v>
      </c>
      <c r="D1403" s="16" t="s">
        <v>43</v>
      </c>
      <c r="E1403" s="16" t="s">
        <v>127</v>
      </c>
      <c r="F1403" s="16" t="s">
        <v>1443</v>
      </c>
      <c r="G1403" s="16">
        <v>500</v>
      </c>
      <c r="H1403" s="16" t="s">
        <v>60</v>
      </c>
      <c r="I1403" s="16">
        <v>106</v>
      </c>
      <c r="J1403" s="16">
        <f>G1403*I1403</f>
        <v>53000</v>
      </c>
      <c r="K1403" s="16"/>
      <c r="L1403" s="16"/>
      <c r="M1403" s="16"/>
      <c r="N1403" s="16"/>
      <c r="O1403" s="16">
        <v>500</v>
      </c>
      <c r="P1403" s="16">
        <v>106</v>
      </c>
      <c r="Q1403" s="16">
        <f>O1403*P1403</f>
        <v>53000</v>
      </c>
      <c r="R1403" s="18">
        <v>0</v>
      </c>
      <c r="S1403" s="16">
        <f>Q1403*R1403</f>
        <v>0</v>
      </c>
      <c r="T1403" s="16">
        <f>Q1403+S1403</f>
        <v>53000</v>
      </c>
      <c r="U1403" s="16" t="s">
        <v>1459</v>
      </c>
      <c r="V1403" s="19" t="s">
        <v>1460</v>
      </c>
      <c r="W1403" s="142" t="s">
        <v>1544</v>
      </c>
    </row>
    <row r="1404" spans="1:23" x14ac:dyDescent="0.3">
      <c r="A1404" s="1"/>
      <c r="B1404" s="1"/>
      <c r="C1404" s="1"/>
      <c r="D1404" s="1"/>
      <c r="E1404" s="16" t="s">
        <v>127</v>
      </c>
      <c r="F1404" s="39" t="s">
        <v>1444</v>
      </c>
      <c r="G1404" s="16">
        <v>200</v>
      </c>
      <c r="H1404" s="16" t="s">
        <v>60</v>
      </c>
      <c r="I1404" s="16">
        <v>25</v>
      </c>
      <c r="J1404" s="16">
        <f t="shared" ref="J1404:J1407" si="308">G1404*I1404</f>
        <v>5000</v>
      </c>
      <c r="K1404" s="16"/>
      <c r="L1404" s="16"/>
      <c r="M1404" s="16"/>
      <c r="N1404" s="16"/>
      <c r="O1404" s="16">
        <v>200</v>
      </c>
      <c r="P1404" s="16">
        <v>25</v>
      </c>
      <c r="Q1404" s="16">
        <f t="shared" ref="Q1404:Q1407" si="309">O1404*P1404</f>
        <v>5000</v>
      </c>
      <c r="R1404" s="18">
        <v>0</v>
      </c>
      <c r="S1404" s="16">
        <f t="shared" ref="S1404:S1407" si="310">Q1404*R1404</f>
        <v>0</v>
      </c>
      <c r="T1404" s="16">
        <f t="shared" ref="T1404:T1407" si="311">Q1404+S1404</f>
        <v>5000</v>
      </c>
      <c r="U1404" s="16" t="s">
        <v>1492</v>
      </c>
      <c r="V1404" s="19" t="s">
        <v>1493</v>
      </c>
      <c r="W1404" s="142" t="s">
        <v>1823</v>
      </c>
    </row>
    <row r="1405" spans="1:23" ht="25.2" x14ac:dyDescent="0.3">
      <c r="A1405" s="1"/>
      <c r="B1405" s="1"/>
      <c r="C1405" s="1"/>
      <c r="D1405" s="1"/>
      <c r="E1405" s="16" t="s">
        <v>123</v>
      </c>
      <c r="F1405" s="39" t="s">
        <v>1445</v>
      </c>
      <c r="G1405" s="16">
        <v>700</v>
      </c>
      <c r="H1405" s="16" t="s">
        <v>60</v>
      </c>
      <c r="I1405" s="16">
        <v>75</v>
      </c>
      <c r="J1405" s="16">
        <f t="shared" si="308"/>
        <v>52500</v>
      </c>
      <c r="K1405" s="16"/>
      <c r="L1405" s="16"/>
      <c r="M1405" s="16"/>
      <c r="N1405" s="16"/>
      <c r="O1405" s="16">
        <v>700</v>
      </c>
      <c r="P1405" s="16">
        <v>75</v>
      </c>
      <c r="Q1405" s="16">
        <f t="shared" si="309"/>
        <v>52500</v>
      </c>
      <c r="R1405" s="18">
        <v>0</v>
      </c>
      <c r="S1405" s="16">
        <f t="shared" si="310"/>
        <v>0</v>
      </c>
      <c r="T1405" s="16">
        <f t="shared" si="311"/>
        <v>52500</v>
      </c>
      <c r="U1405" s="97" t="s">
        <v>1522</v>
      </c>
      <c r="V1405" s="110">
        <v>45816</v>
      </c>
      <c r="W1405" s="142" t="s">
        <v>1727</v>
      </c>
    </row>
    <row r="1406" spans="1:23" x14ac:dyDescent="0.3">
      <c r="A1406" s="1"/>
      <c r="B1406" s="1"/>
      <c r="C1406" s="1"/>
      <c r="D1406" s="101" t="s">
        <v>1581</v>
      </c>
      <c r="E1406" s="85" t="s">
        <v>123</v>
      </c>
      <c r="F1406" s="85" t="s">
        <v>1446</v>
      </c>
      <c r="G1406" s="85">
        <v>200</v>
      </c>
      <c r="H1406" s="85" t="s">
        <v>252</v>
      </c>
      <c r="I1406" s="85">
        <v>150</v>
      </c>
      <c r="J1406" s="85">
        <f t="shared" si="308"/>
        <v>30000</v>
      </c>
      <c r="K1406" s="85"/>
      <c r="L1406" s="85"/>
      <c r="M1406" s="85"/>
      <c r="N1406" s="85"/>
      <c r="O1406" s="85"/>
      <c r="P1406" s="85">
        <v>150</v>
      </c>
      <c r="Q1406" s="85">
        <f t="shared" si="309"/>
        <v>0</v>
      </c>
      <c r="R1406" s="104">
        <v>0</v>
      </c>
      <c r="S1406" s="85">
        <f t="shared" si="310"/>
        <v>0</v>
      </c>
      <c r="T1406" s="85">
        <f t="shared" si="311"/>
        <v>0</v>
      </c>
      <c r="U1406" s="85"/>
      <c r="V1406" s="94"/>
      <c r="W1406" s="142"/>
    </row>
    <row r="1407" spans="1:23" ht="25.2" x14ac:dyDescent="0.3">
      <c r="A1407" s="1"/>
      <c r="B1407" s="1"/>
      <c r="C1407" s="1"/>
      <c r="D1407" s="1"/>
      <c r="E1407" s="16" t="s">
        <v>123</v>
      </c>
      <c r="F1407" s="39" t="s">
        <v>1447</v>
      </c>
      <c r="G1407" s="16">
        <v>150</v>
      </c>
      <c r="H1407" s="16" t="s">
        <v>252</v>
      </c>
      <c r="I1407" s="16">
        <v>395</v>
      </c>
      <c r="J1407" s="16">
        <f t="shared" si="308"/>
        <v>59250</v>
      </c>
      <c r="K1407" s="16"/>
      <c r="L1407" s="16"/>
      <c r="M1407" s="16"/>
      <c r="N1407" s="16"/>
      <c r="O1407" s="16">
        <v>100</v>
      </c>
      <c r="P1407" s="16">
        <v>395</v>
      </c>
      <c r="Q1407" s="16">
        <f t="shared" si="309"/>
        <v>39500</v>
      </c>
      <c r="R1407" s="18">
        <v>0</v>
      </c>
      <c r="S1407" s="16">
        <f t="shared" si="310"/>
        <v>0</v>
      </c>
      <c r="T1407" s="16">
        <f t="shared" si="311"/>
        <v>39500</v>
      </c>
      <c r="U1407" s="97" t="s">
        <v>1522</v>
      </c>
      <c r="V1407" s="110">
        <v>45816</v>
      </c>
      <c r="W1407" s="142" t="s">
        <v>1727</v>
      </c>
    </row>
    <row r="1408" spans="1:23" x14ac:dyDescent="0.3">
      <c r="A1408" s="1"/>
      <c r="B1408" s="1"/>
      <c r="C1408" s="1"/>
      <c r="D1408" s="1"/>
      <c r="E1408" s="1"/>
      <c r="F1408" s="124" t="s">
        <v>39</v>
      </c>
      <c r="G1408" s="1"/>
      <c r="H1408" s="1"/>
      <c r="I1408" s="1"/>
      <c r="J1408" s="124">
        <f>SUM(J1403:J1407)</f>
        <v>199750</v>
      </c>
      <c r="K1408" s="1"/>
      <c r="L1408" s="1"/>
      <c r="M1408" s="1"/>
      <c r="N1408" s="1"/>
      <c r="O1408" s="1"/>
      <c r="P1408" s="1"/>
      <c r="Q1408" s="1"/>
      <c r="R1408" s="1"/>
      <c r="S1408" s="1"/>
      <c r="T1408" s="1"/>
      <c r="U1408" s="1"/>
      <c r="V1408" s="1"/>
      <c r="W1408" s="142"/>
    </row>
    <row r="1409" spans="1:23" x14ac:dyDescent="0.3">
      <c r="A1409" s="1"/>
      <c r="B1409" s="1"/>
      <c r="C1409" s="1"/>
      <c r="D1409" s="1"/>
      <c r="E1409" s="1"/>
      <c r="F1409" s="124" t="s">
        <v>599</v>
      </c>
      <c r="G1409" s="1"/>
      <c r="H1409" s="1"/>
      <c r="I1409" s="1"/>
      <c r="J1409" s="124">
        <f>J1408*0/100</f>
        <v>0</v>
      </c>
      <c r="K1409" s="1"/>
      <c r="L1409" s="1"/>
      <c r="M1409" s="1"/>
      <c r="N1409" s="1"/>
      <c r="O1409" s="1"/>
      <c r="P1409" s="1"/>
      <c r="Q1409" s="1"/>
      <c r="R1409" s="1"/>
      <c r="S1409" s="1"/>
      <c r="T1409" s="1"/>
      <c r="U1409" s="1"/>
      <c r="V1409" s="1"/>
      <c r="W1409" s="142"/>
    </row>
    <row r="1410" spans="1:23" x14ac:dyDescent="0.3">
      <c r="A1410" s="1"/>
      <c r="B1410" s="1"/>
      <c r="C1410" s="1"/>
      <c r="D1410" s="1"/>
      <c r="E1410" s="1"/>
      <c r="F1410" s="124" t="s">
        <v>41</v>
      </c>
      <c r="G1410" s="1"/>
      <c r="H1410" s="1"/>
      <c r="I1410" s="1"/>
      <c r="J1410" s="124">
        <f>SUM(J1408:J1409)</f>
        <v>199750</v>
      </c>
      <c r="K1410" s="1"/>
      <c r="L1410" s="1"/>
      <c r="M1410" s="1"/>
      <c r="N1410" s="1"/>
      <c r="O1410" s="1"/>
      <c r="P1410" s="1"/>
      <c r="Q1410" s="1"/>
      <c r="R1410" s="1"/>
      <c r="S1410" s="1"/>
      <c r="T1410" s="1">
        <f>SUM(T1403:T1409)</f>
        <v>150000</v>
      </c>
      <c r="U1410" s="1"/>
      <c r="V1410" s="1"/>
      <c r="W1410" s="142"/>
    </row>
    <row r="1411" spans="1:23" x14ac:dyDescent="0.3">
      <c r="A1411" s="1"/>
      <c r="B1411" s="1"/>
      <c r="C1411" s="1"/>
      <c r="D1411" s="1"/>
      <c r="E1411" s="1"/>
      <c r="F1411" s="124"/>
      <c r="G1411" s="1"/>
      <c r="H1411" s="1"/>
      <c r="I1411" s="1"/>
      <c r="J1411" s="124"/>
      <c r="K1411" s="1"/>
      <c r="L1411" s="1"/>
      <c r="M1411" s="1"/>
      <c r="N1411" s="1"/>
      <c r="O1411" s="1"/>
      <c r="P1411" s="1"/>
      <c r="Q1411" s="1"/>
      <c r="R1411" s="1"/>
      <c r="S1411" s="1"/>
      <c r="T1411" s="1"/>
      <c r="U1411" s="1"/>
      <c r="V1411" s="1"/>
      <c r="W1411" s="142"/>
    </row>
    <row r="1412" spans="1:23" ht="37.799999999999997" x14ac:dyDescent="0.3">
      <c r="A1412" s="16">
        <v>115</v>
      </c>
      <c r="B1412" s="16">
        <v>9200144050</v>
      </c>
      <c r="C1412" s="16" t="s">
        <v>1464</v>
      </c>
      <c r="D1412" s="16" t="s">
        <v>43</v>
      </c>
      <c r="E1412" s="16" t="s">
        <v>123</v>
      </c>
      <c r="F1412" s="39" t="s">
        <v>1465</v>
      </c>
      <c r="G1412" s="16">
        <v>11</v>
      </c>
      <c r="H1412" s="16" t="s">
        <v>87</v>
      </c>
      <c r="I1412" s="16">
        <v>5000</v>
      </c>
      <c r="J1412" s="16">
        <f>G1412*I1412</f>
        <v>55000</v>
      </c>
      <c r="K1412" s="16" t="s">
        <v>1494</v>
      </c>
      <c r="L1412" s="16">
        <v>41</v>
      </c>
      <c r="M1412" s="16" t="s">
        <v>91</v>
      </c>
      <c r="N1412" s="16" t="s">
        <v>1495</v>
      </c>
      <c r="O1412" s="16">
        <v>11</v>
      </c>
      <c r="P1412" s="16">
        <v>5000</v>
      </c>
      <c r="Q1412" s="16">
        <f>O1412*P1412</f>
        <v>55000</v>
      </c>
      <c r="R1412" s="18">
        <v>0</v>
      </c>
      <c r="S1412" s="16">
        <f>Q1412*R1412</f>
        <v>0</v>
      </c>
      <c r="T1412" s="16">
        <f>Q1412+S1412</f>
        <v>55000</v>
      </c>
      <c r="U1412" s="16" t="s">
        <v>1587</v>
      </c>
      <c r="V1412" s="19" t="s">
        <v>1588</v>
      </c>
      <c r="W1412" s="142" t="s">
        <v>1657</v>
      </c>
    </row>
    <row r="1413" spans="1:23" x14ac:dyDescent="0.3">
      <c r="A1413" s="1"/>
      <c r="B1413" s="1"/>
      <c r="C1413" s="1"/>
      <c r="D1413" s="1"/>
      <c r="E1413" s="1"/>
      <c r="F1413" s="124" t="s">
        <v>39</v>
      </c>
      <c r="G1413" s="1"/>
      <c r="H1413" s="1"/>
      <c r="I1413" s="1"/>
      <c r="J1413" s="124">
        <f>SUM(J1412)</f>
        <v>55000</v>
      </c>
      <c r="K1413" s="1"/>
      <c r="L1413" s="1"/>
      <c r="M1413" s="1"/>
      <c r="N1413" s="1"/>
      <c r="O1413" s="1"/>
      <c r="P1413" s="1"/>
      <c r="Q1413" s="1"/>
      <c r="R1413" s="1"/>
      <c r="S1413" s="1"/>
      <c r="T1413" s="1"/>
      <c r="U1413" s="1"/>
      <c r="V1413" s="1"/>
      <c r="W1413" s="142"/>
    </row>
    <row r="1414" spans="1:23" x14ac:dyDescent="0.3">
      <c r="A1414" s="1"/>
      <c r="B1414" s="1"/>
      <c r="C1414" s="1"/>
      <c r="D1414" s="1"/>
      <c r="E1414" s="1"/>
      <c r="F1414" s="124" t="s">
        <v>599</v>
      </c>
      <c r="G1414" s="1"/>
      <c r="H1414" s="1"/>
      <c r="I1414" s="1"/>
      <c r="J1414" s="124">
        <f>J1413*0/100</f>
        <v>0</v>
      </c>
      <c r="K1414" s="1"/>
      <c r="L1414" s="1"/>
      <c r="M1414" s="1"/>
      <c r="N1414" s="1"/>
      <c r="O1414" s="1"/>
      <c r="P1414" s="1"/>
      <c r="Q1414" s="1"/>
      <c r="R1414" s="1"/>
      <c r="S1414" s="1"/>
      <c r="T1414" s="1"/>
      <c r="U1414" s="1"/>
      <c r="V1414" s="1"/>
      <c r="W1414" s="142"/>
    </row>
    <row r="1415" spans="1:23" x14ac:dyDescent="0.3">
      <c r="A1415" s="1"/>
      <c r="B1415" s="1"/>
      <c r="C1415" s="1"/>
      <c r="D1415" s="1"/>
      <c r="E1415" s="1"/>
      <c r="F1415" s="124" t="s">
        <v>41</v>
      </c>
      <c r="G1415" s="1"/>
      <c r="H1415" s="1"/>
      <c r="I1415" s="1"/>
      <c r="J1415" s="124">
        <f>SUM(J1413:J1414)</f>
        <v>55000</v>
      </c>
      <c r="K1415" s="1"/>
      <c r="L1415" s="1"/>
      <c r="M1415" s="1"/>
      <c r="N1415" s="1"/>
      <c r="O1415" s="1"/>
      <c r="P1415" s="1"/>
      <c r="Q1415" s="1"/>
      <c r="R1415" s="1"/>
      <c r="S1415" s="1"/>
      <c r="T1415" s="1"/>
      <c r="U1415" s="1"/>
      <c r="V1415" s="1"/>
      <c r="W1415" s="142"/>
    </row>
    <row r="1416" spans="1:23" x14ac:dyDescent="0.3">
      <c r="A1416" s="1"/>
      <c r="B1416" s="1"/>
      <c r="C1416" s="1"/>
      <c r="D1416" s="1"/>
      <c r="E1416" s="1"/>
      <c r="F1416" s="124"/>
      <c r="G1416" s="1"/>
      <c r="H1416" s="1"/>
      <c r="I1416" s="1"/>
      <c r="J1416" s="124"/>
      <c r="K1416" s="1"/>
      <c r="L1416" s="1"/>
      <c r="M1416" s="1"/>
      <c r="N1416" s="1"/>
      <c r="O1416" s="1"/>
      <c r="P1416" s="1"/>
      <c r="Q1416" s="1"/>
      <c r="R1416" s="1"/>
      <c r="S1416" s="1"/>
      <c r="T1416" s="1"/>
      <c r="U1416" s="1"/>
      <c r="V1416" s="1"/>
      <c r="W1416" s="142"/>
    </row>
    <row r="1417" spans="1:23" x14ac:dyDescent="0.3">
      <c r="A1417" s="16">
        <v>116</v>
      </c>
      <c r="B1417" s="16">
        <v>8600058715</v>
      </c>
      <c r="C1417" s="16" t="s">
        <v>1490</v>
      </c>
      <c r="D1417" s="16" t="s">
        <v>43</v>
      </c>
      <c r="E1417" s="16" t="s">
        <v>127</v>
      </c>
      <c r="F1417" s="16" t="s">
        <v>1470</v>
      </c>
      <c r="G1417" s="16">
        <v>200</v>
      </c>
      <c r="H1417" s="16" t="s">
        <v>60</v>
      </c>
      <c r="I1417" s="16">
        <v>65</v>
      </c>
      <c r="J1417" s="16">
        <f t="shared" si="267"/>
        <v>13000</v>
      </c>
      <c r="K1417" s="16"/>
      <c r="L1417" s="16"/>
      <c r="M1417" s="16"/>
      <c r="N1417" s="16"/>
      <c r="O1417" s="16">
        <v>200</v>
      </c>
      <c r="P1417" s="16">
        <v>65</v>
      </c>
      <c r="Q1417" s="16">
        <f>O1417*P1417</f>
        <v>13000</v>
      </c>
      <c r="R1417" s="18">
        <v>0</v>
      </c>
      <c r="S1417" s="16">
        <f>Q1417*R1417</f>
        <v>0</v>
      </c>
      <c r="T1417" s="16">
        <f>Q1417+S1417</f>
        <v>13000</v>
      </c>
      <c r="U1417" s="16" t="s">
        <v>1540</v>
      </c>
      <c r="V1417" s="19">
        <v>45846</v>
      </c>
      <c r="W1417" s="142" t="s">
        <v>1626</v>
      </c>
    </row>
    <row r="1418" spans="1:23" x14ac:dyDescent="0.3">
      <c r="A1418" s="1"/>
      <c r="B1418" s="1"/>
      <c r="C1418" s="1"/>
      <c r="D1418" s="1"/>
      <c r="E1418" s="16" t="s">
        <v>127</v>
      </c>
      <c r="F1418" s="39" t="s">
        <v>1471</v>
      </c>
      <c r="G1418" s="16">
        <v>200</v>
      </c>
      <c r="H1418" s="16" t="s">
        <v>60</v>
      </c>
      <c r="I1418" s="16">
        <v>102</v>
      </c>
      <c r="J1418" s="16">
        <f t="shared" si="267"/>
        <v>20400</v>
      </c>
      <c r="K1418" s="16"/>
      <c r="L1418" s="16"/>
      <c r="M1418" s="16"/>
      <c r="N1418" s="16"/>
      <c r="O1418" s="16">
        <v>200</v>
      </c>
      <c r="P1418" s="16">
        <v>102</v>
      </c>
      <c r="Q1418" s="16">
        <f t="shared" ref="Q1418:Q1435" si="312">O1418*P1418</f>
        <v>20400</v>
      </c>
      <c r="R1418" s="18">
        <v>0</v>
      </c>
      <c r="S1418" s="16">
        <f t="shared" ref="S1418:S1435" si="313">Q1418*R1418</f>
        <v>0</v>
      </c>
      <c r="T1418" s="16">
        <f t="shared" ref="T1418:T1435" si="314">Q1418+S1418</f>
        <v>20400</v>
      </c>
      <c r="U1418" s="16" t="s">
        <v>1540</v>
      </c>
      <c r="V1418" s="19">
        <v>45846</v>
      </c>
      <c r="W1418" s="142" t="s">
        <v>1626</v>
      </c>
    </row>
    <row r="1419" spans="1:23" x14ac:dyDescent="0.3">
      <c r="A1419" s="1"/>
      <c r="B1419" s="1"/>
      <c r="C1419" s="1"/>
      <c r="D1419" s="1"/>
      <c r="E1419" s="16" t="s">
        <v>127</v>
      </c>
      <c r="F1419" s="16" t="s">
        <v>1472</v>
      </c>
      <c r="G1419" s="16">
        <v>200</v>
      </c>
      <c r="H1419" s="16" t="s">
        <v>60</v>
      </c>
      <c r="I1419" s="16">
        <v>45</v>
      </c>
      <c r="J1419" s="16">
        <f t="shared" si="267"/>
        <v>9000</v>
      </c>
      <c r="K1419" s="16"/>
      <c r="L1419" s="16"/>
      <c r="M1419" s="16"/>
      <c r="N1419" s="16"/>
      <c r="O1419" s="16">
        <v>200</v>
      </c>
      <c r="P1419" s="16">
        <v>45</v>
      </c>
      <c r="Q1419" s="16">
        <f t="shared" si="312"/>
        <v>9000</v>
      </c>
      <c r="R1419" s="18">
        <v>0</v>
      </c>
      <c r="S1419" s="16">
        <f t="shared" si="313"/>
        <v>0</v>
      </c>
      <c r="T1419" s="16">
        <f t="shared" si="314"/>
        <v>9000</v>
      </c>
      <c r="U1419" s="16" t="s">
        <v>1540</v>
      </c>
      <c r="V1419" s="19">
        <v>45846</v>
      </c>
      <c r="W1419" s="142" t="s">
        <v>1626</v>
      </c>
    </row>
    <row r="1420" spans="1:23" x14ac:dyDescent="0.3">
      <c r="A1420" s="1"/>
      <c r="B1420" s="1"/>
      <c r="C1420" s="1"/>
      <c r="D1420" s="1"/>
      <c r="E1420" s="16" t="s">
        <v>127</v>
      </c>
      <c r="F1420" s="16" t="s">
        <v>1473</v>
      </c>
      <c r="G1420" s="16">
        <v>200</v>
      </c>
      <c r="H1420" s="16" t="s">
        <v>60</v>
      </c>
      <c r="I1420" s="16">
        <v>75</v>
      </c>
      <c r="J1420" s="16">
        <f t="shared" si="267"/>
        <v>15000</v>
      </c>
      <c r="K1420" s="16"/>
      <c r="L1420" s="16"/>
      <c r="M1420" s="16"/>
      <c r="N1420" s="16"/>
      <c r="O1420" s="16">
        <v>200</v>
      </c>
      <c r="P1420" s="16">
        <v>75</v>
      </c>
      <c r="Q1420" s="16">
        <f t="shared" si="312"/>
        <v>15000</v>
      </c>
      <c r="R1420" s="18">
        <v>0</v>
      </c>
      <c r="S1420" s="16">
        <f t="shared" si="313"/>
        <v>0</v>
      </c>
      <c r="T1420" s="16">
        <f t="shared" si="314"/>
        <v>15000</v>
      </c>
      <c r="U1420" s="16" t="s">
        <v>1540</v>
      </c>
      <c r="V1420" s="19">
        <v>45846</v>
      </c>
      <c r="W1420" s="142" t="s">
        <v>1626</v>
      </c>
    </row>
    <row r="1421" spans="1:23" x14ac:dyDescent="0.3">
      <c r="A1421" s="1"/>
      <c r="B1421" s="1"/>
      <c r="C1421" s="1"/>
      <c r="D1421" s="1"/>
      <c r="E1421" s="16" t="s">
        <v>127</v>
      </c>
      <c r="F1421" s="16" t="s">
        <v>1474</v>
      </c>
      <c r="G1421" s="16">
        <v>100</v>
      </c>
      <c r="H1421" s="16" t="s">
        <v>53</v>
      </c>
      <c r="I1421" s="16">
        <v>13</v>
      </c>
      <c r="J1421" s="16">
        <f t="shared" si="267"/>
        <v>1300</v>
      </c>
      <c r="K1421" s="16"/>
      <c r="L1421" s="16"/>
      <c r="M1421" s="16"/>
      <c r="N1421" s="16"/>
      <c r="O1421" s="16">
        <v>100</v>
      </c>
      <c r="P1421" s="16">
        <v>13</v>
      </c>
      <c r="Q1421" s="16">
        <f t="shared" si="312"/>
        <v>1300</v>
      </c>
      <c r="R1421" s="18">
        <v>0</v>
      </c>
      <c r="S1421" s="16">
        <f t="shared" si="313"/>
        <v>0</v>
      </c>
      <c r="T1421" s="16">
        <f t="shared" si="314"/>
        <v>1300</v>
      </c>
      <c r="U1421" s="16" t="s">
        <v>1540</v>
      </c>
      <c r="V1421" s="19">
        <v>45846</v>
      </c>
      <c r="W1421" s="142" t="s">
        <v>1626</v>
      </c>
    </row>
    <row r="1422" spans="1:23" x14ac:dyDescent="0.3">
      <c r="A1422" s="1"/>
      <c r="B1422" s="1"/>
      <c r="C1422" s="1"/>
      <c r="D1422" s="1"/>
      <c r="E1422" s="16" t="s">
        <v>127</v>
      </c>
      <c r="F1422" s="16" t="s">
        <v>1475</v>
      </c>
      <c r="G1422" s="16">
        <v>10</v>
      </c>
      <c r="H1422" s="16" t="s">
        <v>28</v>
      </c>
      <c r="I1422" s="16">
        <v>9122</v>
      </c>
      <c r="J1422" s="16">
        <f t="shared" si="267"/>
        <v>91220</v>
      </c>
      <c r="K1422" s="16"/>
      <c r="L1422" s="16"/>
      <c r="M1422" s="16"/>
      <c r="N1422" s="16"/>
      <c r="O1422" s="16">
        <v>10</v>
      </c>
      <c r="P1422" s="16">
        <v>9122</v>
      </c>
      <c r="Q1422" s="16">
        <f t="shared" si="312"/>
        <v>91220</v>
      </c>
      <c r="R1422" s="18">
        <v>0</v>
      </c>
      <c r="S1422" s="16">
        <f t="shared" si="313"/>
        <v>0</v>
      </c>
      <c r="T1422" s="16">
        <f t="shared" si="314"/>
        <v>91220</v>
      </c>
      <c r="U1422" s="16" t="s">
        <v>1540</v>
      </c>
      <c r="V1422" s="19">
        <v>45846</v>
      </c>
      <c r="W1422" s="142" t="s">
        <v>1626</v>
      </c>
    </row>
    <row r="1423" spans="1:23" x14ac:dyDescent="0.3">
      <c r="A1423" s="1"/>
      <c r="B1423" s="1"/>
      <c r="C1423" s="1"/>
      <c r="D1423" s="1"/>
      <c r="E1423" s="16" t="s">
        <v>127</v>
      </c>
      <c r="F1423" s="16" t="s">
        <v>1476</v>
      </c>
      <c r="G1423" s="16">
        <v>50</v>
      </c>
      <c r="H1423" s="16" t="s">
        <v>28</v>
      </c>
      <c r="I1423" s="16">
        <v>1712</v>
      </c>
      <c r="J1423" s="16">
        <f t="shared" si="267"/>
        <v>85600</v>
      </c>
      <c r="K1423" s="16"/>
      <c r="L1423" s="16"/>
      <c r="M1423" s="16"/>
      <c r="N1423" s="16"/>
      <c r="O1423" s="16">
        <v>50</v>
      </c>
      <c r="P1423" s="16">
        <v>1712</v>
      </c>
      <c r="Q1423" s="16">
        <f t="shared" si="312"/>
        <v>85600</v>
      </c>
      <c r="R1423" s="18">
        <v>0</v>
      </c>
      <c r="S1423" s="16">
        <f t="shared" si="313"/>
        <v>0</v>
      </c>
      <c r="T1423" s="16">
        <f t="shared" si="314"/>
        <v>85600</v>
      </c>
      <c r="U1423" s="16" t="s">
        <v>1540</v>
      </c>
      <c r="V1423" s="19">
        <v>45846</v>
      </c>
      <c r="W1423" s="142" t="s">
        <v>1626</v>
      </c>
    </row>
    <row r="1424" spans="1:23" x14ac:dyDescent="0.3">
      <c r="A1424" s="1"/>
      <c r="B1424" s="1"/>
      <c r="C1424" s="1"/>
      <c r="D1424" s="1"/>
      <c r="E1424" s="16" t="s">
        <v>127</v>
      </c>
      <c r="F1424" s="16" t="s">
        <v>1477</v>
      </c>
      <c r="G1424" s="16">
        <v>100</v>
      </c>
      <c r="H1424" s="16" t="s">
        <v>28</v>
      </c>
      <c r="I1424" s="16">
        <v>130</v>
      </c>
      <c r="J1424" s="16">
        <f t="shared" si="267"/>
        <v>13000</v>
      </c>
      <c r="K1424" s="16"/>
      <c r="L1424" s="16"/>
      <c r="M1424" s="16"/>
      <c r="N1424" s="16"/>
      <c r="O1424" s="16">
        <v>100</v>
      </c>
      <c r="P1424" s="16">
        <v>130</v>
      </c>
      <c r="Q1424" s="16">
        <f t="shared" si="312"/>
        <v>13000</v>
      </c>
      <c r="R1424" s="18">
        <v>0</v>
      </c>
      <c r="S1424" s="16">
        <f t="shared" si="313"/>
        <v>0</v>
      </c>
      <c r="T1424" s="16">
        <f t="shared" si="314"/>
        <v>13000</v>
      </c>
      <c r="U1424" s="16" t="s">
        <v>1540</v>
      </c>
      <c r="V1424" s="19">
        <v>45846</v>
      </c>
      <c r="W1424" s="142" t="s">
        <v>1626</v>
      </c>
    </row>
    <row r="1425" spans="1:23" ht="25.2" x14ac:dyDescent="0.3">
      <c r="A1425" s="1"/>
      <c r="B1425" s="1"/>
      <c r="C1425" s="1"/>
      <c r="D1425" s="1"/>
      <c r="E1425" s="16" t="s">
        <v>127</v>
      </c>
      <c r="F1425" s="39" t="s">
        <v>1478</v>
      </c>
      <c r="G1425" s="16">
        <v>50</v>
      </c>
      <c r="H1425" s="16" t="s">
        <v>28</v>
      </c>
      <c r="I1425" s="16">
        <v>650</v>
      </c>
      <c r="J1425" s="16">
        <f t="shared" si="267"/>
        <v>32500</v>
      </c>
      <c r="K1425" s="16"/>
      <c r="L1425" s="16"/>
      <c r="M1425" s="16"/>
      <c r="N1425" s="16"/>
      <c r="O1425" s="16">
        <v>50</v>
      </c>
      <c r="P1425" s="16">
        <v>650</v>
      </c>
      <c r="Q1425" s="16">
        <f t="shared" si="312"/>
        <v>32500</v>
      </c>
      <c r="R1425" s="18">
        <v>0</v>
      </c>
      <c r="S1425" s="16">
        <f t="shared" si="313"/>
        <v>0</v>
      </c>
      <c r="T1425" s="16">
        <f t="shared" si="314"/>
        <v>32500</v>
      </c>
      <c r="U1425" s="16" t="s">
        <v>1540</v>
      </c>
      <c r="V1425" s="19">
        <v>45846</v>
      </c>
      <c r="W1425" s="142" t="s">
        <v>1626</v>
      </c>
    </row>
    <row r="1426" spans="1:23" x14ac:dyDescent="0.3">
      <c r="A1426" s="1"/>
      <c r="B1426" s="1"/>
      <c r="C1426" s="1"/>
      <c r="D1426" s="1"/>
      <c r="E1426" s="16" t="s">
        <v>127</v>
      </c>
      <c r="F1426" s="16" t="s">
        <v>1479</v>
      </c>
      <c r="G1426" s="16">
        <v>60</v>
      </c>
      <c r="H1426" s="16" t="s">
        <v>28</v>
      </c>
      <c r="I1426" s="16">
        <v>162</v>
      </c>
      <c r="J1426" s="16">
        <f t="shared" si="267"/>
        <v>9720</v>
      </c>
      <c r="K1426" s="16"/>
      <c r="L1426" s="16"/>
      <c r="M1426" s="16"/>
      <c r="N1426" s="16"/>
      <c r="O1426" s="16">
        <v>60</v>
      </c>
      <c r="P1426" s="16">
        <v>162</v>
      </c>
      <c r="Q1426" s="16">
        <f t="shared" si="312"/>
        <v>9720</v>
      </c>
      <c r="R1426" s="18">
        <v>0</v>
      </c>
      <c r="S1426" s="16">
        <f t="shared" si="313"/>
        <v>0</v>
      </c>
      <c r="T1426" s="16">
        <f t="shared" si="314"/>
        <v>9720</v>
      </c>
      <c r="U1426" s="16" t="s">
        <v>1540</v>
      </c>
      <c r="V1426" s="19">
        <v>45846</v>
      </c>
      <c r="W1426" s="142" t="s">
        <v>1626</v>
      </c>
    </row>
    <row r="1427" spans="1:23" x14ac:dyDescent="0.3">
      <c r="A1427" s="1"/>
      <c r="B1427" s="1"/>
      <c r="C1427" s="1"/>
      <c r="D1427" s="1"/>
      <c r="E1427" s="16" t="s">
        <v>127</v>
      </c>
      <c r="F1427" s="16" t="s">
        <v>1480</v>
      </c>
      <c r="G1427" s="16">
        <v>60</v>
      </c>
      <c r="H1427" s="16" t="s">
        <v>28</v>
      </c>
      <c r="I1427" s="16">
        <v>111</v>
      </c>
      <c r="J1427" s="16">
        <f t="shared" si="267"/>
        <v>6660</v>
      </c>
      <c r="K1427" s="16"/>
      <c r="L1427" s="16"/>
      <c r="M1427" s="16"/>
      <c r="N1427" s="16"/>
      <c r="O1427" s="16">
        <v>60</v>
      </c>
      <c r="P1427" s="16">
        <v>111</v>
      </c>
      <c r="Q1427" s="16">
        <f t="shared" si="312"/>
        <v>6660</v>
      </c>
      <c r="R1427" s="18">
        <v>0</v>
      </c>
      <c r="S1427" s="16">
        <f t="shared" si="313"/>
        <v>0</v>
      </c>
      <c r="T1427" s="16">
        <f t="shared" si="314"/>
        <v>6660</v>
      </c>
      <c r="U1427" s="16" t="s">
        <v>1540</v>
      </c>
      <c r="V1427" s="19">
        <v>45846</v>
      </c>
      <c r="W1427" s="142" t="s">
        <v>1626</v>
      </c>
    </row>
    <row r="1428" spans="1:23" x14ac:dyDescent="0.3">
      <c r="A1428" s="1"/>
      <c r="B1428" s="1"/>
      <c r="C1428" s="1"/>
      <c r="D1428" s="1"/>
      <c r="E1428" s="16" t="s">
        <v>127</v>
      </c>
      <c r="F1428" s="16" t="s">
        <v>1481</v>
      </c>
      <c r="G1428" s="16">
        <v>60</v>
      </c>
      <c r="H1428" s="16" t="s">
        <v>28</v>
      </c>
      <c r="I1428" s="16">
        <v>216</v>
      </c>
      <c r="J1428" s="16">
        <f t="shared" si="267"/>
        <v>12960</v>
      </c>
      <c r="K1428" s="16"/>
      <c r="L1428" s="16"/>
      <c r="M1428" s="16"/>
      <c r="N1428" s="16"/>
      <c r="O1428" s="16">
        <v>60</v>
      </c>
      <c r="P1428" s="16">
        <v>216</v>
      </c>
      <c r="Q1428" s="16">
        <f t="shared" si="312"/>
        <v>12960</v>
      </c>
      <c r="R1428" s="18">
        <v>0</v>
      </c>
      <c r="S1428" s="16">
        <f t="shared" si="313"/>
        <v>0</v>
      </c>
      <c r="T1428" s="16">
        <f t="shared" si="314"/>
        <v>12960</v>
      </c>
      <c r="U1428" s="16" t="s">
        <v>1540</v>
      </c>
      <c r="V1428" s="19">
        <v>45846</v>
      </c>
      <c r="W1428" s="142" t="s">
        <v>1626</v>
      </c>
    </row>
    <row r="1429" spans="1:23" x14ac:dyDescent="0.3">
      <c r="A1429" s="1"/>
      <c r="B1429" s="1"/>
      <c r="C1429" s="1"/>
      <c r="D1429" s="1"/>
      <c r="E1429" s="16" t="s">
        <v>127</v>
      </c>
      <c r="F1429" s="16" t="s">
        <v>1482</v>
      </c>
      <c r="G1429" s="16">
        <v>60</v>
      </c>
      <c r="H1429" s="16" t="s">
        <v>28</v>
      </c>
      <c r="I1429" s="16">
        <v>138</v>
      </c>
      <c r="J1429" s="16">
        <f t="shared" si="267"/>
        <v>8280</v>
      </c>
      <c r="K1429" s="16"/>
      <c r="L1429" s="16"/>
      <c r="M1429" s="16"/>
      <c r="N1429" s="16"/>
      <c r="O1429" s="16">
        <v>60</v>
      </c>
      <c r="P1429" s="16">
        <v>138</v>
      </c>
      <c r="Q1429" s="16">
        <f t="shared" si="312"/>
        <v>8280</v>
      </c>
      <c r="R1429" s="18">
        <v>0</v>
      </c>
      <c r="S1429" s="16">
        <f t="shared" si="313"/>
        <v>0</v>
      </c>
      <c r="T1429" s="16">
        <f t="shared" si="314"/>
        <v>8280</v>
      </c>
      <c r="U1429" s="16" t="s">
        <v>1540</v>
      </c>
      <c r="V1429" s="19">
        <v>45846</v>
      </c>
      <c r="W1429" s="142" t="s">
        <v>1626</v>
      </c>
    </row>
    <row r="1430" spans="1:23" x14ac:dyDescent="0.3">
      <c r="A1430" s="1"/>
      <c r="B1430" s="1"/>
      <c r="C1430" s="1"/>
      <c r="D1430" s="1"/>
      <c r="E1430" s="16" t="s">
        <v>127</v>
      </c>
      <c r="F1430" s="16" t="s">
        <v>1483</v>
      </c>
      <c r="G1430" s="16">
        <v>40</v>
      </c>
      <c r="H1430" s="16" t="s">
        <v>28</v>
      </c>
      <c r="I1430" s="16">
        <v>158</v>
      </c>
      <c r="J1430" s="16">
        <f t="shared" si="267"/>
        <v>6320</v>
      </c>
      <c r="K1430" s="16"/>
      <c r="L1430" s="16"/>
      <c r="M1430" s="16"/>
      <c r="N1430" s="16"/>
      <c r="O1430" s="16">
        <v>40</v>
      </c>
      <c r="P1430" s="16">
        <v>158</v>
      </c>
      <c r="Q1430" s="16">
        <f t="shared" si="312"/>
        <v>6320</v>
      </c>
      <c r="R1430" s="18">
        <v>0</v>
      </c>
      <c r="S1430" s="16">
        <f t="shared" si="313"/>
        <v>0</v>
      </c>
      <c r="T1430" s="16">
        <f t="shared" si="314"/>
        <v>6320</v>
      </c>
      <c r="U1430" s="16" t="s">
        <v>1540</v>
      </c>
      <c r="V1430" s="19">
        <v>45846</v>
      </c>
      <c r="W1430" s="142" t="s">
        <v>1626</v>
      </c>
    </row>
    <row r="1431" spans="1:23" x14ac:dyDescent="0.3">
      <c r="A1431" s="1"/>
      <c r="B1431" s="1"/>
      <c r="C1431" s="1"/>
      <c r="D1431" s="1"/>
      <c r="E1431" s="16" t="s">
        <v>127</v>
      </c>
      <c r="F1431" s="16" t="s">
        <v>1484</v>
      </c>
      <c r="G1431" s="16">
        <v>40</v>
      </c>
      <c r="H1431" s="16" t="s">
        <v>28</v>
      </c>
      <c r="I1431" s="16">
        <v>85</v>
      </c>
      <c r="J1431" s="16">
        <f t="shared" si="267"/>
        <v>3400</v>
      </c>
      <c r="K1431" s="16"/>
      <c r="L1431" s="16"/>
      <c r="M1431" s="16"/>
      <c r="N1431" s="16"/>
      <c r="O1431" s="16">
        <v>40</v>
      </c>
      <c r="P1431" s="16">
        <v>85</v>
      </c>
      <c r="Q1431" s="16">
        <f t="shared" si="312"/>
        <v>3400</v>
      </c>
      <c r="R1431" s="18">
        <v>0</v>
      </c>
      <c r="S1431" s="16">
        <f t="shared" si="313"/>
        <v>0</v>
      </c>
      <c r="T1431" s="16">
        <f t="shared" si="314"/>
        <v>3400</v>
      </c>
      <c r="U1431" s="16" t="s">
        <v>1540</v>
      </c>
      <c r="V1431" s="19">
        <v>45846</v>
      </c>
      <c r="W1431" s="142" t="s">
        <v>1626</v>
      </c>
    </row>
    <row r="1432" spans="1:23" x14ac:dyDescent="0.3">
      <c r="A1432" s="1"/>
      <c r="B1432" s="1"/>
      <c r="C1432" s="1"/>
      <c r="D1432" s="1"/>
      <c r="E1432" s="16" t="s">
        <v>127</v>
      </c>
      <c r="F1432" s="16" t="s">
        <v>1485</v>
      </c>
      <c r="G1432" s="16">
        <v>40</v>
      </c>
      <c r="H1432" s="16" t="s">
        <v>28</v>
      </c>
      <c r="I1432" s="16">
        <v>208</v>
      </c>
      <c r="J1432" s="16">
        <f t="shared" si="267"/>
        <v>8320</v>
      </c>
      <c r="K1432" s="16"/>
      <c r="L1432" s="16"/>
      <c r="M1432" s="16"/>
      <c r="N1432" s="16"/>
      <c r="O1432" s="16">
        <v>40</v>
      </c>
      <c r="P1432" s="16">
        <v>208</v>
      </c>
      <c r="Q1432" s="16">
        <f t="shared" si="312"/>
        <v>8320</v>
      </c>
      <c r="R1432" s="18">
        <v>0</v>
      </c>
      <c r="S1432" s="16">
        <f t="shared" si="313"/>
        <v>0</v>
      </c>
      <c r="T1432" s="16">
        <f t="shared" si="314"/>
        <v>8320</v>
      </c>
      <c r="U1432" s="16" t="s">
        <v>1540</v>
      </c>
      <c r="V1432" s="19">
        <v>45846</v>
      </c>
      <c r="W1432" s="142" t="s">
        <v>1626</v>
      </c>
    </row>
    <row r="1433" spans="1:23" x14ac:dyDescent="0.3">
      <c r="A1433" s="1"/>
      <c r="B1433" s="1"/>
      <c r="C1433" s="1"/>
      <c r="D1433" s="1"/>
      <c r="E1433" s="16" t="s">
        <v>127</v>
      </c>
      <c r="F1433" s="16" t="s">
        <v>1486</v>
      </c>
      <c r="G1433" s="16">
        <v>10</v>
      </c>
      <c r="H1433" s="16" t="s">
        <v>28</v>
      </c>
      <c r="I1433" s="16">
        <v>178</v>
      </c>
      <c r="J1433" s="16">
        <f t="shared" si="267"/>
        <v>1780</v>
      </c>
      <c r="K1433" s="16"/>
      <c r="L1433" s="16"/>
      <c r="M1433" s="16"/>
      <c r="N1433" s="16"/>
      <c r="O1433" s="16">
        <v>10</v>
      </c>
      <c r="P1433" s="16">
        <v>178</v>
      </c>
      <c r="Q1433" s="16">
        <f t="shared" si="312"/>
        <v>1780</v>
      </c>
      <c r="R1433" s="18">
        <v>0</v>
      </c>
      <c r="S1433" s="16">
        <f t="shared" si="313"/>
        <v>0</v>
      </c>
      <c r="T1433" s="16">
        <f t="shared" si="314"/>
        <v>1780</v>
      </c>
      <c r="U1433" s="16" t="s">
        <v>1540</v>
      </c>
      <c r="V1433" s="19">
        <v>45846</v>
      </c>
      <c r="W1433" s="142" t="s">
        <v>1626</v>
      </c>
    </row>
    <row r="1434" spans="1:23" x14ac:dyDescent="0.3">
      <c r="A1434" s="1"/>
      <c r="B1434" s="1"/>
      <c r="C1434" s="1"/>
      <c r="D1434" s="1"/>
      <c r="E1434" s="16" t="s">
        <v>127</v>
      </c>
      <c r="F1434" s="16" t="s">
        <v>1487</v>
      </c>
      <c r="G1434" s="16">
        <v>180</v>
      </c>
      <c r="H1434" s="16" t="s">
        <v>60</v>
      </c>
      <c r="I1434" s="16">
        <v>21</v>
      </c>
      <c r="J1434" s="16">
        <f t="shared" si="267"/>
        <v>3780</v>
      </c>
      <c r="K1434" s="16"/>
      <c r="L1434" s="16"/>
      <c r="M1434" s="16"/>
      <c r="N1434" s="16"/>
      <c r="O1434" s="16">
        <v>180</v>
      </c>
      <c r="P1434" s="16">
        <v>21</v>
      </c>
      <c r="Q1434" s="16">
        <f t="shared" si="312"/>
        <v>3780</v>
      </c>
      <c r="R1434" s="18">
        <v>0</v>
      </c>
      <c r="S1434" s="16">
        <f t="shared" si="313"/>
        <v>0</v>
      </c>
      <c r="T1434" s="16">
        <f t="shared" si="314"/>
        <v>3780</v>
      </c>
      <c r="U1434" s="16" t="s">
        <v>1540</v>
      </c>
      <c r="V1434" s="19">
        <v>45846</v>
      </c>
      <c r="W1434" s="142" t="s">
        <v>1626</v>
      </c>
    </row>
    <row r="1435" spans="1:23" x14ac:dyDescent="0.3">
      <c r="A1435" s="1"/>
      <c r="B1435" s="1"/>
      <c r="C1435" s="1"/>
      <c r="D1435" s="1"/>
      <c r="E1435" s="16" t="s">
        <v>127</v>
      </c>
      <c r="F1435" s="16" t="s">
        <v>1488</v>
      </c>
      <c r="G1435" s="16">
        <v>180</v>
      </c>
      <c r="H1435" s="16" t="s">
        <v>60</v>
      </c>
      <c r="I1435" s="16">
        <v>32</v>
      </c>
      <c r="J1435" s="16">
        <f t="shared" si="267"/>
        <v>5760</v>
      </c>
      <c r="K1435" s="16"/>
      <c r="L1435" s="16"/>
      <c r="M1435" s="16"/>
      <c r="N1435" s="16"/>
      <c r="O1435" s="16">
        <v>180</v>
      </c>
      <c r="P1435" s="16">
        <v>32</v>
      </c>
      <c r="Q1435" s="16">
        <f t="shared" si="312"/>
        <v>5760</v>
      </c>
      <c r="R1435" s="18">
        <v>0</v>
      </c>
      <c r="S1435" s="16">
        <f t="shared" si="313"/>
        <v>0</v>
      </c>
      <c r="T1435" s="16">
        <f t="shared" si="314"/>
        <v>5760</v>
      </c>
      <c r="U1435" s="16" t="s">
        <v>1540</v>
      </c>
      <c r="V1435" s="19">
        <v>45846</v>
      </c>
      <c r="W1435" s="142" t="s">
        <v>1626</v>
      </c>
    </row>
    <row r="1436" spans="1:23" x14ac:dyDescent="0.3">
      <c r="A1436" s="1"/>
      <c r="B1436" s="1"/>
      <c r="C1436" s="1"/>
      <c r="D1436" s="1"/>
      <c r="E1436" s="1"/>
      <c r="F1436" s="124" t="s">
        <v>39</v>
      </c>
      <c r="G1436" s="1"/>
      <c r="H1436" s="1"/>
      <c r="I1436" s="1"/>
      <c r="J1436" s="124">
        <f>SUM(J1417:J1435)</f>
        <v>348000</v>
      </c>
      <c r="K1436" s="1"/>
      <c r="L1436" s="1"/>
      <c r="M1436" s="1"/>
      <c r="N1436" s="1"/>
      <c r="O1436" s="1"/>
      <c r="P1436" s="1"/>
      <c r="Q1436" s="1"/>
      <c r="R1436" s="1"/>
      <c r="S1436" s="1"/>
      <c r="T1436" s="1"/>
      <c r="U1436" s="1"/>
      <c r="V1436" s="1"/>
      <c r="W1436" s="142"/>
    </row>
    <row r="1437" spans="1:23" x14ac:dyDescent="0.3">
      <c r="A1437" s="1"/>
      <c r="B1437" s="1"/>
      <c r="C1437" s="1"/>
      <c r="D1437" s="1"/>
      <c r="E1437" s="1"/>
      <c r="F1437" s="124" t="s">
        <v>599</v>
      </c>
      <c r="G1437" s="1"/>
      <c r="H1437" s="1"/>
      <c r="I1437" s="1"/>
      <c r="J1437" s="124">
        <f>J1436*0/100</f>
        <v>0</v>
      </c>
      <c r="K1437" s="1"/>
      <c r="L1437" s="1"/>
      <c r="M1437" s="1"/>
      <c r="N1437" s="1"/>
      <c r="O1437" s="1"/>
      <c r="P1437" s="1"/>
      <c r="Q1437" s="1"/>
      <c r="R1437" s="1"/>
      <c r="S1437" s="1"/>
      <c r="T1437" s="1"/>
      <c r="U1437" s="1"/>
      <c r="V1437" s="1"/>
      <c r="W1437" s="142"/>
    </row>
    <row r="1438" spans="1:23" x14ac:dyDescent="0.3">
      <c r="A1438" s="1"/>
      <c r="B1438" s="1"/>
      <c r="C1438" s="1"/>
      <c r="D1438" s="1"/>
      <c r="E1438" s="1"/>
      <c r="F1438" s="124" t="s">
        <v>41</v>
      </c>
      <c r="G1438" s="1"/>
      <c r="H1438" s="1"/>
      <c r="I1438" s="1"/>
      <c r="J1438" s="124">
        <f>SUM(J1436:J1437)</f>
        <v>348000</v>
      </c>
      <c r="K1438" s="1"/>
      <c r="L1438" s="1"/>
      <c r="M1438" s="1"/>
      <c r="N1438" s="1"/>
      <c r="O1438" s="1"/>
      <c r="P1438" s="1"/>
      <c r="Q1438" s="1"/>
      <c r="R1438" s="1"/>
      <c r="S1438" s="1"/>
      <c r="T1438" s="1">
        <f>SUM(T1417:T1437)</f>
        <v>348000</v>
      </c>
      <c r="U1438" s="1"/>
      <c r="V1438" s="1"/>
      <c r="W1438" s="142"/>
    </row>
    <row r="1439" spans="1:23" x14ac:dyDescent="0.3">
      <c r="A1439" s="1"/>
      <c r="B1439" s="1"/>
      <c r="C1439" s="1"/>
      <c r="D1439" s="1"/>
      <c r="E1439" s="1"/>
      <c r="F1439" s="124"/>
      <c r="G1439" s="1"/>
      <c r="H1439" s="1"/>
      <c r="I1439" s="1"/>
      <c r="J1439" s="124"/>
      <c r="K1439" s="1"/>
      <c r="L1439" s="1"/>
      <c r="M1439" s="1"/>
      <c r="N1439" s="1"/>
      <c r="O1439" s="1"/>
      <c r="P1439" s="1"/>
      <c r="Q1439" s="1"/>
      <c r="R1439" s="1"/>
      <c r="S1439" s="1"/>
      <c r="T1439" s="1"/>
      <c r="U1439" s="1"/>
      <c r="V1439" s="1"/>
      <c r="W1439" s="142"/>
    </row>
    <row r="1440" spans="1:23" ht="75.599999999999994" x14ac:dyDescent="0.3">
      <c r="A1440" s="16">
        <v>117</v>
      </c>
      <c r="B1440" s="108" t="s">
        <v>1489</v>
      </c>
      <c r="C1440" s="16" t="s">
        <v>1490</v>
      </c>
      <c r="D1440" s="39" t="s">
        <v>1491</v>
      </c>
      <c r="E1440" s="16" t="s">
        <v>123</v>
      </c>
      <c r="F1440" s="39" t="s">
        <v>1629</v>
      </c>
      <c r="G1440" s="16">
        <v>168</v>
      </c>
      <c r="H1440" s="16" t="s">
        <v>1627</v>
      </c>
      <c r="I1440" s="16">
        <v>1409.47</v>
      </c>
      <c r="J1440" s="16">
        <f t="shared" si="267"/>
        <v>236790.96</v>
      </c>
      <c r="K1440" s="16"/>
      <c r="L1440" s="16"/>
      <c r="M1440" s="16"/>
      <c r="N1440" s="16"/>
      <c r="O1440" s="16"/>
      <c r="P1440" s="16"/>
      <c r="Q1440" s="16"/>
      <c r="R1440" s="16"/>
      <c r="S1440" s="16"/>
      <c r="T1440" s="16"/>
      <c r="U1440" s="16" t="s">
        <v>1628</v>
      </c>
      <c r="V1440" s="19">
        <v>45786</v>
      </c>
      <c r="W1440" s="142"/>
    </row>
    <row r="1441" spans="1:23" x14ac:dyDescent="0.3">
      <c r="A1441" s="1"/>
      <c r="B1441" s="1"/>
      <c r="C1441" s="1"/>
      <c r="D1441" s="1"/>
      <c r="E1441" s="1"/>
      <c r="F1441" s="124" t="s">
        <v>39</v>
      </c>
      <c r="G1441" s="1"/>
      <c r="H1441" s="1"/>
      <c r="I1441" s="1"/>
      <c r="J1441" s="124">
        <f>SUM(J1440)</f>
        <v>236790.96</v>
      </c>
      <c r="K1441" s="1"/>
      <c r="L1441" s="1"/>
      <c r="M1441" s="1"/>
      <c r="N1441" s="1"/>
      <c r="O1441" s="1"/>
      <c r="P1441" s="1"/>
      <c r="Q1441" s="1"/>
      <c r="R1441" s="1"/>
      <c r="S1441" s="1"/>
      <c r="T1441" s="1"/>
      <c r="U1441" s="1"/>
      <c r="V1441" s="1"/>
      <c r="W1441" s="142"/>
    </row>
    <row r="1442" spans="1:23" x14ac:dyDescent="0.3">
      <c r="A1442" s="1"/>
      <c r="B1442" s="1"/>
      <c r="C1442" s="1"/>
      <c r="D1442" s="1"/>
      <c r="E1442" s="1"/>
      <c r="F1442" s="124" t="s">
        <v>187</v>
      </c>
      <c r="G1442" s="1"/>
      <c r="H1442" s="1"/>
      <c r="I1442" s="1"/>
      <c r="J1442" s="124">
        <f>J1441*18/100</f>
        <v>42622.372800000005</v>
      </c>
      <c r="K1442" s="1"/>
      <c r="L1442" s="1"/>
      <c r="M1442" s="1"/>
      <c r="N1442" s="1"/>
      <c r="O1442" s="1"/>
      <c r="P1442" s="1"/>
      <c r="Q1442" s="1"/>
      <c r="R1442" s="1"/>
      <c r="S1442" s="1"/>
      <c r="T1442" s="1"/>
      <c r="U1442" s="1"/>
      <c r="V1442" s="1"/>
      <c r="W1442" s="142"/>
    </row>
    <row r="1443" spans="1:23" x14ac:dyDescent="0.3">
      <c r="A1443" s="1"/>
      <c r="B1443" s="1"/>
      <c r="C1443" s="1"/>
      <c r="D1443" s="1"/>
      <c r="E1443" s="1"/>
      <c r="F1443" s="124" t="s">
        <v>41</v>
      </c>
      <c r="G1443" s="1"/>
      <c r="H1443" s="1"/>
      <c r="I1443" s="1"/>
      <c r="J1443" s="124">
        <f>SUM(J1441:J1442)</f>
        <v>279413.33279999997</v>
      </c>
      <c r="K1443" s="1"/>
      <c r="L1443" s="1"/>
      <c r="M1443" s="1"/>
      <c r="N1443" s="1"/>
      <c r="O1443" s="1"/>
      <c r="P1443" s="1"/>
      <c r="Q1443" s="1"/>
      <c r="R1443" s="1"/>
      <c r="S1443" s="1"/>
      <c r="T1443" s="1"/>
      <c r="U1443" s="1"/>
      <c r="V1443" s="1"/>
      <c r="W1443" s="142"/>
    </row>
    <row r="1444" spans="1:23" ht="37.799999999999997" x14ac:dyDescent="0.3">
      <c r="A1444" s="16">
        <v>118</v>
      </c>
      <c r="B1444" s="16">
        <v>8100019920</v>
      </c>
      <c r="C1444" s="16" t="s">
        <v>1500</v>
      </c>
      <c r="D1444" s="16" t="s">
        <v>1502</v>
      </c>
      <c r="E1444" s="16" t="s">
        <v>127</v>
      </c>
      <c r="F1444" s="39" t="s">
        <v>1501</v>
      </c>
      <c r="G1444" s="16">
        <v>16</v>
      </c>
      <c r="H1444" s="16" t="s">
        <v>28</v>
      </c>
      <c r="I1444" s="16">
        <v>1250</v>
      </c>
      <c r="J1444" s="16">
        <f t="shared" si="267"/>
        <v>20000</v>
      </c>
      <c r="K1444" s="16"/>
      <c r="L1444" s="16"/>
      <c r="M1444" s="16"/>
      <c r="N1444" s="16"/>
      <c r="O1444" s="16">
        <v>16</v>
      </c>
      <c r="P1444" s="16">
        <v>1250</v>
      </c>
      <c r="Q1444" s="16">
        <f>O1444*P1444</f>
        <v>20000</v>
      </c>
      <c r="R1444" s="18">
        <v>0.18</v>
      </c>
      <c r="S1444" s="16">
        <f>Q1444*R1444</f>
        <v>3600</v>
      </c>
      <c r="T1444" s="16">
        <f>Q1444+S1444</f>
        <v>23600</v>
      </c>
      <c r="U1444" s="16" t="s">
        <v>1521</v>
      </c>
      <c r="V1444" s="19">
        <v>45785</v>
      </c>
      <c r="W1444" s="142" t="s">
        <v>1618</v>
      </c>
    </row>
    <row r="1445" spans="1:23" ht="25.2" x14ac:dyDescent="0.3">
      <c r="A1445" s="1"/>
      <c r="B1445" s="1"/>
      <c r="C1445" s="1"/>
      <c r="D1445" s="1"/>
      <c r="E1445" s="16" t="s">
        <v>123</v>
      </c>
      <c r="F1445" s="39" t="s">
        <v>1503</v>
      </c>
      <c r="G1445" s="16">
        <v>4</v>
      </c>
      <c r="H1445" s="16" t="s">
        <v>28</v>
      </c>
      <c r="I1445" s="16">
        <v>4000</v>
      </c>
      <c r="J1445" s="16">
        <f t="shared" si="267"/>
        <v>16000</v>
      </c>
      <c r="K1445" s="16"/>
      <c r="L1445" s="16"/>
      <c r="M1445" s="16"/>
      <c r="N1445" s="16"/>
      <c r="O1445" s="16">
        <v>4</v>
      </c>
      <c r="P1445" s="16">
        <v>4000</v>
      </c>
      <c r="Q1445" s="16">
        <f>O1445*P1445</f>
        <v>16000</v>
      </c>
      <c r="R1445" s="18">
        <v>0.18</v>
      </c>
      <c r="S1445" s="16">
        <f>Q1445*R1445</f>
        <v>2880</v>
      </c>
      <c r="T1445" s="16">
        <f>Q1445+S1445</f>
        <v>18880</v>
      </c>
      <c r="U1445" s="16" t="s">
        <v>1521</v>
      </c>
      <c r="V1445" s="19">
        <v>45785</v>
      </c>
      <c r="W1445" s="142" t="s">
        <v>1618</v>
      </c>
    </row>
    <row r="1446" spans="1:23" x14ac:dyDescent="0.3">
      <c r="A1446" s="1"/>
      <c r="B1446" s="1"/>
      <c r="C1446" s="1"/>
      <c r="D1446" s="1"/>
      <c r="E1446" s="1"/>
      <c r="F1446" s="124" t="s">
        <v>39</v>
      </c>
      <c r="G1446" s="1"/>
      <c r="H1446" s="1"/>
      <c r="I1446" s="1"/>
      <c r="J1446" s="124">
        <f>SUM(J1444:J1445)</f>
        <v>36000</v>
      </c>
      <c r="K1446" s="1"/>
      <c r="L1446" s="1"/>
      <c r="M1446" s="1"/>
      <c r="N1446" s="1"/>
      <c r="O1446" s="1"/>
      <c r="P1446" s="1"/>
      <c r="Q1446" s="1"/>
      <c r="R1446" s="1"/>
      <c r="S1446" s="1"/>
      <c r="T1446" s="1"/>
      <c r="U1446" s="1"/>
      <c r="V1446" s="1"/>
      <c r="W1446" s="142"/>
    </row>
    <row r="1447" spans="1:23" x14ac:dyDescent="0.3">
      <c r="A1447" s="1"/>
      <c r="B1447" s="1"/>
      <c r="C1447" s="1"/>
      <c r="D1447" s="1"/>
      <c r="E1447" s="1"/>
      <c r="F1447" s="124" t="s">
        <v>187</v>
      </c>
      <c r="G1447" s="1"/>
      <c r="H1447" s="1"/>
      <c r="I1447" s="1"/>
      <c r="J1447" s="124">
        <f>J1446*18/100</f>
        <v>6480</v>
      </c>
      <c r="K1447" s="1"/>
      <c r="L1447" s="1"/>
      <c r="M1447" s="1"/>
      <c r="N1447" s="1"/>
      <c r="O1447" s="1"/>
      <c r="P1447" s="1"/>
      <c r="Q1447" s="1"/>
      <c r="R1447" s="1"/>
      <c r="S1447" s="1"/>
      <c r="T1447" s="1"/>
      <c r="U1447" s="1"/>
      <c r="V1447" s="1"/>
      <c r="W1447" s="142"/>
    </row>
    <row r="1448" spans="1:23" x14ac:dyDescent="0.3">
      <c r="A1448" s="1"/>
      <c r="B1448" s="1"/>
      <c r="C1448" s="1"/>
      <c r="D1448" s="1"/>
      <c r="E1448" s="1"/>
      <c r="F1448" s="124" t="s">
        <v>41</v>
      </c>
      <c r="G1448" s="1"/>
      <c r="H1448" s="1"/>
      <c r="I1448" s="1"/>
      <c r="J1448" s="124">
        <f>SUM(J1446:J1447)</f>
        <v>42480</v>
      </c>
      <c r="K1448" s="1"/>
      <c r="L1448" s="1"/>
      <c r="M1448" s="1"/>
      <c r="N1448" s="1"/>
      <c r="O1448" s="1"/>
      <c r="P1448" s="1"/>
      <c r="Q1448" s="1"/>
      <c r="R1448" s="1"/>
      <c r="S1448" s="1"/>
      <c r="T1448" s="1">
        <f>SUM(T1444:T1447)</f>
        <v>42480</v>
      </c>
      <c r="U1448" s="1"/>
      <c r="V1448" s="1"/>
      <c r="W1448" s="142"/>
    </row>
    <row r="1449" spans="1:23" x14ac:dyDescent="0.3">
      <c r="A1449" s="1"/>
      <c r="B1449" s="1"/>
      <c r="C1449" s="1"/>
      <c r="D1449" s="1"/>
      <c r="E1449" s="1"/>
      <c r="F1449" s="124"/>
      <c r="G1449" s="1"/>
      <c r="H1449" s="1"/>
      <c r="I1449" s="1"/>
      <c r="J1449" s="124"/>
      <c r="K1449" s="1"/>
      <c r="L1449" s="1"/>
      <c r="M1449" s="1"/>
      <c r="N1449" s="1"/>
      <c r="O1449" s="1"/>
      <c r="P1449" s="1"/>
      <c r="Q1449" s="1"/>
      <c r="R1449" s="1"/>
      <c r="S1449" s="1"/>
      <c r="T1449" s="1"/>
      <c r="U1449" s="1"/>
      <c r="V1449" s="1"/>
      <c r="W1449" s="142"/>
    </row>
    <row r="1450" spans="1:23" ht="25.2" x14ac:dyDescent="0.3">
      <c r="A1450" s="16">
        <v>119</v>
      </c>
      <c r="B1450" s="16">
        <v>9200144633</v>
      </c>
      <c r="C1450" s="16" t="s">
        <v>1506</v>
      </c>
      <c r="D1450" s="16" t="s">
        <v>1429</v>
      </c>
      <c r="E1450" s="16" t="s">
        <v>123</v>
      </c>
      <c r="F1450" s="39" t="s">
        <v>1431</v>
      </c>
      <c r="G1450" s="16">
        <v>2</v>
      </c>
      <c r="H1450" s="16" t="s">
        <v>87</v>
      </c>
      <c r="I1450" s="16">
        <v>2350</v>
      </c>
      <c r="J1450" s="16">
        <f t="shared" si="267"/>
        <v>4700</v>
      </c>
      <c r="K1450" s="16"/>
      <c r="L1450" s="16"/>
      <c r="M1450" s="16"/>
      <c r="N1450" s="16"/>
      <c r="O1450" s="16">
        <v>2</v>
      </c>
      <c r="P1450" s="16">
        <v>2350</v>
      </c>
      <c r="Q1450" s="16">
        <f>O1450*P1450</f>
        <v>4700</v>
      </c>
      <c r="R1450" s="18">
        <v>0</v>
      </c>
      <c r="S1450" s="16">
        <f>Q1450*R1450</f>
        <v>0</v>
      </c>
      <c r="T1450" s="16">
        <f>Q1450+S1450</f>
        <v>4700</v>
      </c>
      <c r="U1450" s="16" t="s">
        <v>1728</v>
      </c>
      <c r="V1450" s="19" t="s">
        <v>1729</v>
      </c>
      <c r="W1450" s="142" t="s">
        <v>1782</v>
      </c>
    </row>
    <row r="1451" spans="1:23" ht="75.599999999999994" x14ac:dyDescent="0.3">
      <c r="A1451" s="1"/>
      <c r="B1451" s="1"/>
      <c r="C1451" s="1"/>
      <c r="D1451" s="1"/>
      <c r="E1451" s="16" t="s">
        <v>123</v>
      </c>
      <c r="F1451" s="39" t="s">
        <v>1430</v>
      </c>
      <c r="G1451" s="16">
        <v>2</v>
      </c>
      <c r="H1451" s="16" t="s">
        <v>181</v>
      </c>
      <c r="I1451" s="16">
        <v>25200</v>
      </c>
      <c r="J1451" s="16">
        <f t="shared" si="267"/>
        <v>50400</v>
      </c>
      <c r="K1451" s="16"/>
      <c r="L1451" s="16"/>
      <c r="M1451" s="16"/>
      <c r="N1451" s="16"/>
      <c r="O1451" s="16">
        <v>2</v>
      </c>
      <c r="P1451" s="16">
        <v>25200</v>
      </c>
      <c r="Q1451" s="16">
        <f>O1451*P1451</f>
        <v>50400</v>
      </c>
      <c r="R1451" s="18">
        <v>0</v>
      </c>
      <c r="S1451" s="16">
        <f>Q1451*R1451</f>
        <v>0</v>
      </c>
      <c r="T1451" s="16">
        <f>Q1451+S1451</f>
        <v>50400</v>
      </c>
      <c r="U1451" s="16" t="s">
        <v>1728</v>
      </c>
      <c r="V1451" s="19" t="s">
        <v>1729</v>
      </c>
      <c r="W1451" s="142" t="s">
        <v>1782</v>
      </c>
    </row>
    <row r="1452" spans="1:23" x14ac:dyDescent="0.3">
      <c r="A1452" s="1"/>
      <c r="B1452" s="1"/>
      <c r="C1452" s="1"/>
      <c r="D1452" s="1"/>
      <c r="E1452" s="1"/>
      <c r="F1452" s="124" t="s">
        <v>39</v>
      </c>
      <c r="G1452" s="1"/>
      <c r="H1452" s="1"/>
      <c r="I1452" s="1"/>
      <c r="J1452" s="124">
        <f>SUM(J1450:J1451)</f>
        <v>55100</v>
      </c>
      <c r="K1452" s="1"/>
      <c r="L1452" s="1"/>
      <c r="M1452" s="1"/>
      <c r="N1452" s="1"/>
      <c r="O1452" s="1"/>
      <c r="P1452" s="1"/>
      <c r="Q1452" s="1"/>
      <c r="R1452" s="1"/>
      <c r="S1452" s="1"/>
      <c r="T1452" s="1"/>
      <c r="U1452" s="1"/>
      <c r="V1452" s="1"/>
      <c r="W1452" s="142"/>
    </row>
    <row r="1453" spans="1:23" x14ac:dyDescent="0.3">
      <c r="A1453" s="1"/>
      <c r="B1453" s="1"/>
      <c r="C1453" s="1"/>
      <c r="D1453" s="1"/>
      <c r="E1453" s="1"/>
      <c r="F1453" s="124" t="s">
        <v>599</v>
      </c>
      <c r="G1453" s="1"/>
      <c r="H1453" s="1"/>
      <c r="I1453" s="1"/>
      <c r="J1453" s="124">
        <f>J1452*0/100</f>
        <v>0</v>
      </c>
      <c r="K1453" s="1"/>
      <c r="L1453" s="1"/>
      <c r="M1453" s="1"/>
      <c r="N1453" s="1"/>
      <c r="O1453" s="1"/>
      <c r="P1453" s="1"/>
      <c r="Q1453" s="1"/>
      <c r="R1453" s="1"/>
      <c r="S1453" s="1"/>
      <c r="T1453" s="1"/>
      <c r="U1453" s="1"/>
      <c r="V1453" s="1"/>
      <c r="W1453" s="142"/>
    </row>
    <row r="1454" spans="1:23" x14ac:dyDescent="0.3">
      <c r="A1454" s="1"/>
      <c r="B1454" s="1"/>
      <c r="C1454" s="1"/>
      <c r="D1454" s="1"/>
      <c r="E1454" s="1"/>
      <c r="F1454" s="124" t="s">
        <v>41</v>
      </c>
      <c r="G1454" s="1"/>
      <c r="H1454" s="1"/>
      <c r="I1454" s="1"/>
      <c r="J1454" s="124">
        <f>SUM(J1452:J1453)</f>
        <v>55100</v>
      </c>
      <c r="K1454" s="1"/>
      <c r="L1454" s="1"/>
      <c r="M1454" s="1"/>
      <c r="N1454" s="1"/>
      <c r="O1454" s="1"/>
      <c r="P1454" s="1"/>
      <c r="Q1454" s="1"/>
      <c r="R1454" s="1"/>
      <c r="S1454" s="1"/>
      <c r="T1454" s="1">
        <f>SUM(T1450:T1453)</f>
        <v>55100</v>
      </c>
      <c r="U1454" s="1"/>
      <c r="V1454" s="1"/>
      <c r="W1454" s="142"/>
    </row>
    <row r="1455" spans="1:23" x14ac:dyDescent="0.3">
      <c r="A1455" s="1"/>
      <c r="B1455" s="1"/>
      <c r="C1455" s="1"/>
      <c r="D1455" s="1"/>
      <c r="E1455" s="1"/>
      <c r="F1455" s="124"/>
      <c r="G1455" s="1"/>
      <c r="H1455" s="1"/>
      <c r="I1455" s="1"/>
      <c r="J1455" s="124"/>
      <c r="K1455" s="1"/>
      <c r="L1455" s="1"/>
      <c r="M1455" s="1"/>
      <c r="N1455" s="1"/>
      <c r="O1455" s="1"/>
      <c r="P1455" s="1"/>
      <c r="Q1455" s="1"/>
      <c r="R1455" s="1"/>
      <c r="S1455" s="1"/>
      <c r="T1455" s="1"/>
      <c r="U1455" s="1"/>
      <c r="V1455" s="1"/>
      <c r="W1455" s="142"/>
    </row>
    <row r="1456" spans="1:23" ht="25.2" x14ac:dyDescent="0.3">
      <c r="A1456" s="16">
        <v>120</v>
      </c>
      <c r="B1456" s="16">
        <v>9200144778</v>
      </c>
      <c r="C1456" s="16" t="s">
        <v>1508</v>
      </c>
      <c r="D1456" s="16" t="s">
        <v>300</v>
      </c>
      <c r="E1456" s="16" t="s">
        <v>123</v>
      </c>
      <c r="F1456" s="39" t="s">
        <v>1509</v>
      </c>
      <c r="G1456" s="16">
        <v>5</v>
      </c>
      <c r="H1456" s="16" t="s">
        <v>28</v>
      </c>
      <c r="I1456" s="16">
        <v>6800</v>
      </c>
      <c r="J1456" s="16">
        <f t="shared" si="267"/>
        <v>34000</v>
      </c>
      <c r="K1456" s="16">
        <v>5</v>
      </c>
      <c r="L1456" s="16" t="s">
        <v>28</v>
      </c>
      <c r="M1456" s="16" t="s">
        <v>91</v>
      </c>
      <c r="N1456" s="16" t="s">
        <v>1650</v>
      </c>
      <c r="O1456" s="16">
        <v>5</v>
      </c>
      <c r="P1456" s="16">
        <v>6800</v>
      </c>
      <c r="Q1456" s="16">
        <f>O1456*P1456</f>
        <v>34000</v>
      </c>
      <c r="R1456" s="18">
        <v>0.18</v>
      </c>
      <c r="S1456" s="16">
        <f>Q1456*R1456</f>
        <v>6120</v>
      </c>
      <c r="T1456" s="16">
        <f>Q1456+S1456</f>
        <v>40120</v>
      </c>
      <c r="U1456" s="16" t="s">
        <v>1758</v>
      </c>
      <c r="V1456" s="19">
        <v>45758</v>
      </c>
      <c r="W1456" s="142" t="s">
        <v>1774</v>
      </c>
    </row>
    <row r="1457" spans="1:23" ht="25.2" x14ac:dyDescent="0.3">
      <c r="A1457" s="1"/>
      <c r="B1457" s="1"/>
      <c r="C1457" s="1"/>
      <c r="D1457" s="1"/>
      <c r="E1457" s="16" t="s">
        <v>123</v>
      </c>
      <c r="F1457" s="39" t="s">
        <v>1510</v>
      </c>
      <c r="G1457" s="16">
        <v>9</v>
      </c>
      <c r="H1457" s="16" t="s">
        <v>28</v>
      </c>
      <c r="I1457" s="16">
        <v>3200</v>
      </c>
      <c r="J1457" s="16">
        <f t="shared" si="267"/>
        <v>28800</v>
      </c>
      <c r="K1457" s="16"/>
      <c r="L1457" s="16"/>
      <c r="M1457" s="16"/>
      <c r="N1457" s="16"/>
      <c r="O1457" s="97">
        <v>4</v>
      </c>
      <c r="P1457" s="16">
        <v>3200</v>
      </c>
      <c r="Q1457" s="16">
        <f t="shared" ref="Q1457:Q1460" si="315">O1457*P1457</f>
        <v>12800</v>
      </c>
      <c r="R1457" s="18">
        <v>0.18</v>
      </c>
      <c r="S1457" s="16">
        <f t="shared" ref="S1457:S1460" si="316">Q1457*R1457</f>
        <v>2304</v>
      </c>
      <c r="T1457" s="16">
        <f t="shared" ref="T1457:T1460" si="317">Q1457+S1457</f>
        <v>15104</v>
      </c>
      <c r="U1457" s="16" t="s">
        <v>1758</v>
      </c>
      <c r="V1457" s="19">
        <v>45758</v>
      </c>
      <c r="W1457" s="142" t="s">
        <v>1774</v>
      </c>
    </row>
    <row r="1458" spans="1:23" ht="25.2" x14ac:dyDescent="0.3">
      <c r="A1458" s="1"/>
      <c r="B1458" s="1"/>
      <c r="C1458" s="1"/>
      <c r="D1458" s="1"/>
      <c r="E1458" s="16" t="s">
        <v>123</v>
      </c>
      <c r="F1458" s="39" t="s">
        <v>1511</v>
      </c>
      <c r="G1458" s="16">
        <v>1</v>
      </c>
      <c r="H1458" s="16" t="s">
        <v>28</v>
      </c>
      <c r="I1458" s="16">
        <v>4800</v>
      </c>
      <c r="J1458" s="16">
        <f t="shared" si="267"/>
        <v>4800</v>
      </c>
      <c r="K1458" s="16" t="s">
        <v>1686</v>
      </c>
      <c r="L1458" s="16"/>
      <c r="M1458" s="16" t="s">
        <v>91</v>
      </c>
      <c r="N1458" s="16" t="s">
        <v>1687</v>
      </c>
      <c r="O1458" s="16">
        <v>1</v>
      </c>
      <c r="P1458" s="16">
        <v>4800</v>
      </c>
      <c r="Q1458" s="16">
        <f t="shared" si="315"/>
        <v>4800</v>
      </c>
      <c r="R1458" s="18">
        <v>0.18</v>
      </c>
      <c r="S1458" s="16">
        <f t="shared" si="316"/>
        <v>864</v>
      </c>
      <c r="T1458" s="16">
        <f t="shared" si="317"/>
        <v>5664</v>
      </c>
      <c r="U1458" s="16" t="s">
        <v>1758</v>
      </c>
      <c r="V1458" s="19">
        <v>45758</v>
      </c>
      <c r="W1458" s="142" t="s">
        <v>1774</v>
      </c>
    </row>
    <row r="1459" spans="1:23" ht="37.799999999999997" x14ac:dyDescent="0.3">
      <c r="A1459" s="1"/>
      <c r="B1459" s="1"/>
      <c r="C1459" s="1"/>
      <c r="D1459" s="1"/>
      <c r="E1459" s="16" t="s">
        <v>123</v>
      </c>
      <c r="F1459" s="39" t="s">
        <v>1512</v>
      </c>
      <c r="G1459" s="16">
        <v>35</v>
      </c>
      <c r="H1459" s="16" t="s">
        <v>252</v>
      </c>
      <c r="I1459" s="16">
        <v>250</v>
      </c>
      <c r="J1459" s="16">
        <f t="shared" si="267"/>
        <v>8750</v>
      </c>
      <c r="K1459" s="16">
        <v>21.3</v>
      </c>
      <c r="L1459" s="16" t="s">
        <v>810</v>
      </c>
      <c r="M1459" s="16" t="s">
        <v>91</v>
      </c>
      <c r="N1459" s="16" t="s">
        <v>1696</v>
      </c>
      <c r="O1459" s="97">
        <v>21</v>
      </c>
      <c r="P1459" s="16">
        <v>250</v>
      </c>
      <c r="Q1459" s="16">
        <f t="shared" si="315"/>
        <v>5250</v>
      </c>
      <c r="R1459" s="18">
        <v>0.18</v>
      </c>
      <c r="S1459" s="16">
        <f t="shared" si="316"/>
        <v>945</v>
      </c>
      <c r="T1459" s="16">
        <f t="shared" si="317"/>
        <v>6195</v>
      </c>
      <c r="U1459" s="16" t="s">
        <v>1758</v>
      </c>
      <c r="V1459" s="19">
        <v>45758</v>
      </c>
      <c r="W1459" s="142" t="s">
        <v>1774</v>
      </c>
    </row>
    <row r="1460" spans="1:23" x14ac:dyDescent="0.3">
      <c r="A1460" s="1"/>
      <c r="B1460" s="1"/>
      <c r="C1460" s="1"/>
      <c r="D1460" s="1"/>
      <c r="E1460" s="16" t="s">
        <v>123</v>
      </c>
      <c r="F1460" s="16" t="s">
        <v>1513</v>
      </c>
      <c r="G1460" s="16">
        <v>30</v>
      </c>
      <c r="H1460" s="16" t="s">
        <v>111</v>
      </c>
      <c r="I1460" s="16">
        <v>140</v>
      </c>
      <c r="J1460" s="16">
        <f t="shared" si="267"/>
        <v>4200</v>
      </c>
      <c r="K1460" s="16"/>
      <c r="L1460" s="16"/>
      <c r="M1460" s="16"/>
      <c r="N1460" s="16"/>
      <c r="O1460" s="16">
        <v>30</v>
      </c>
      <c r="P1460" s="16">
        <v>140</v>
      </c>
      <c r="Q1460" s="16">
        <f t="shared" si="315"/>
        <v>4200</v>
      </c>
      <c r="R1460" s="18">
        <v>0.18</v>
      </c>
      <c r="S1460" s="16">
        <f t="shared" si="316"/>
        <v>756</v>
      </c>
      <c r="T1460" s="16">
        <f t="shared" si="317"/>
        <v>4956</v>
      </c>
      <c r="U1460" s="16" t="s">
        <v>1758</v>
      </c>
      <c r="V1460" s="19">
        <v>45758</v>
      </c>
      <c r="W1460" s="142" t="s">
        <v>1774</v>
      </c>
    </row>
    <row r="1461" spans="1:23" x14ac:dyDescent="0.3">
      <c r="A1461" s="1"/>
      <c r="B1461" s="1"/>
      <c r="C1461" s="1"/>
      <c r="D1461" s="1"/>
      <c r="E1461" s="1"/>
      <c r="F1461" s="124" t="s">
        <v>39</v>
      </c>
      <c r="G1461" s="1"/>
      <c r="H1461" s="1"/>
      <c r="I1461" s="1"/>
      <c r="J1461" s="124">
        <f>SUM(J1456:J1460)</f>
        <v>80550</v>
      </c>
      <c r="K1461" s="1"/>
      <c r="L1461" s="1"/>
      <c r="M1461" s="1"/>
      <c r="N1461" s="1"/>
      <c r="O1461" s="1"/>
      <c r="P1461" s="1"/>
      <c r="Q1461" s="1"/>
      <c r="R1461" s="1"/>
      <c r="S1461" s="1"/>
      <c r="T1461" s="1"/>
      <c r="U1461" s="1"/>
      <c r="V1461" s="1"/>
      <c r="W1461" s="142"/>
    </row>
    <row r="1462" spans="1:23" x14ac:dyDescent="0.3">
      <c r="A1462" s="1"/>
      <c r="B1462" s="1"/>
      <c r="C1462" s="1"/>
      <c r="D1462" s="1"/>
      <c r="E1462" s="1"/>
      <c r="F1462" s="124" t="s">
        <v>599</v>
      </c>
      <c r="G1462" s="1"/>
      <c r="H1462" s="1"/>
      <c r="I1462" s="1"/>
      <c r="J1462" s="124">
        <f>J1461*18/100</f>
        <v>14499</v>
      </c>
      <c r="K1462" s="1"/>
      <c r="L1462" s="1"/>
      <c r="M1462" s="1"/>
      <c r="N1462" s="1"/>
      <c r="O1462" s="1"/>
      <c r="P1462" s="1"/>
      <c r="Q1462" s="1"/>
      <c r="R1462" s="1"/>
      <c r="S1462" s="1"/>
      <c r="T1462" s="1"/>
      <c r="U1462" s="1"/>
      <c r="V1462" s="1"/>
      <c r="W1462" s="142"/>
    </row>
    <row r="1463" spans="1:23" x14ac:dyDescent="0.3">
      <c r="A1463" s="1"/>
      <c r="B1463" s="1"/>
      <c r="C1463" s="1"/>
      <c r="D1463" s="1"/>
      <c r="E1463" s="1"/>
      <c r="F1463" s="124" t="s">
        <v>41</v>
      </c>
      <c r="G1463" s="1"/>
      <c r="H1463" s="1"/>
      <c r="I1463" s="1"/>
      <c r="J1463" s="124">
        <f>SUM(J1461:J1462)</f>
        <v>95049</v>
      </c>
      <c r="K1463" s="1"/>
      <c r="L1463" s="1"/>
      <c r="M1463" s="1"/>
      <c r="N1463" s="1"/>
      <c r="O1463" s="1"/>
      <c r="P1463" s="1"/>
      <c r="Q1463" s="1"/>
      <c r="R1463" s="1"/>
      <c r="S1463" s="1"/>
      <c r="T1463" s="1">
        <f>SUM(T1456:T1462)</f>
        <v>72039</v>
      </c>
      <c r="U1463" s="1"/>
      <c r="V1463" s="1"/>
      <c r="W1463" s="142"/>
    </row>
    <row r="1464" spans="1:23" x14ac:dyDescent="0.3">
      <c r="A1464" s="1"/>
      <c r="B1464" s="1"/>
      <c r="C1464" s="1"/>
      <c r="D1464" s="1"/>
      <c r="E1464" s="1"/>
      <c r="F1464" s="124"/>
      <c r="G1464" s="1"/>
      <c r="H1464" s="1"/>
      <c r="I1464" s="1"/>
      <c r="J1464" s="124"/>
      <c r="K1464" s="1"/>
      <c r="L1464" s="1"/>
      <c r="M1464" s="1"/>
      <c r="N1464" s="1"/>
      <c r="O1464" s="1"/>
      <c r="P1464" s="1"/>
      <c r="Q1464" s="1"/>
      <c r="R1464" s="1"/>
      <c r="S1464" s="1"/>
      <c r="T1464" s="1"/>
      <c r="U1464" s="1"/>
      <c r="V1464" s="1"/>
      <c r="W1464" s="142"/>
    </row>
    <row r="1465" spans="1:23" ht="37.799999999999997" x14ac:dyDescent="0.3">
      <c r="A1465" s="16">
        <v>121</v>
      </c>
      <c r="B1465" s="16">
        <v>9200144956</v>
      </c>
      <c r="C1465" s="16" t="s">
        <v>1514</v>
      </c>
      <c r="D1465" s="16" t="s">
        <v>300</v>
      </c>
      <c r="E1465" s="16" t="s">
        <v>123</v>
      </c>
      <c r="F1465" s="39" t="s">
        <v>1515</v>
      </c>
      <c r="G1465" s="16">
        <v>42</v>
      </c>
      <c r="H1465" s="16" t="s">
        <v>28</v>
      </c>
      <c r="I1465" s="16">
        <v>1600</v>
      </c>
      <c r="J1465" s="16">
        <f>G1465*I1465</f>
        <v>67200</v>
      </c>
      <c r="K1465" s="16">
        <v>42</v>
      </c>
      <c r="L1465" s="16" t="s">
        <v>28</v>
      </c>
      <c r="M1465" s="16" t="s">
        <v>91</v>
      </c>
      <c r="N1465" s="16" t="s">
        <v>1648</v>
      </c>
      <c r="O1465" s="16">
        <v>42</v>
      </c>
      <c r="P1465" s="16">
        <v>1600</v>
      </c>
      <c r="Q1465" s="16">
        <f>O1465*P1465</f>
        <v>67200</v>
      </c>
      <c r="R1465" s="18">
        <v>0.18</v>
      </c>
      <c r="S1465" s="16">
        <f>Q1465*R1465</f>
        <v>12096</v>
      </c>
      <c r="T1465" s="16">
        <f>Q1465+S1465</f>
        <v>79296</v>
      </c>
      <c r="U1465" s="16" t="s">
        <v>1755</v>
      </c>
      <c r="V1465" s="19">
        <v>45788</v>
      </c>
      <c r="W1465" s="142" t="s">
        <v>1774</v>
      </c>
    </row>
    <row r="1466" spans="1:23" ht="37.799999999999997" x14ac:dyDescent="0.3">
      <c r="A1466" s="1"/>
      <c r="B1466" s="1"/>
      <c r="C1466" s="1"/>
      <c r="D1466" s="1"/>
      <c r="E1466" s="16" t="s">
        <v>123</v>
      </c>
      <c r="F1466" s="39" t="s">
        <v>1516</v>
      </c>
      <c r="G1466" s="16">
        <v>6</v>
      </c>
      <c r="H1466" s="16" t="s">
        <v>28</v>
      </c>
      <c r="I1466" s="16">
        <v>3000</v>
      </c>
      <c r="J1466" s="16">
        <f t="shared" ref="J1466:J1467" si="318">G1466*I1466</f>
        <v>18000</v>
      </c>
      <c r="K1466" s="16">
        <v>5</v>
      </c>
      <c r="L1466" s="16" t="s">
        <v>28</v>
      </c>
      <c r="M1466" s="16" t="s">
        <v>91</v>
      </c>
      <c r="N1466" s="16" t="s">
        <v>1648</v>
      </c>
      <c r="O1466" s="16">
        <v>5</v>
      </c>
      <c r="P1466" s="16">
        <v>3000</v>
      </c>
      <c r="Q1466" s="16">
        <f t="shared" ref="Q1466:Q1467" si="319">O1466*P1466</f>
        <v>15000</v>
      </c>
      <c r="R1466" s="18">
        <v>0.18</v>
      </c>
      <c r="S1466" s="16">
        <f t="shared" ref="S1466:S1467" si="320">Q1466*R1466</f>
        <v>2700</v>
      </c>
      <c r="T1466" s="16">
        <f t="shared" ref="T1466:T1467" si="321">Q1466+S1466</f>
        <v>17700</v>
      </c>
      <c r="U1466" s="16" t="s">
        <v>1755</v>
      </c>
      <c r="V1466" s="19">
        <v>45788</v>
      </c>
      <c r="W1466" s="142" t="s">
        <v>1774</v>
      </c>
    </row>
    <row r="1467" spans="1:23" ht="37.799999999999997" x14ac:dyDescent="0.3">
      <c r="A1467" s="1"/>
      <c r="B1467" s="1"/>
      <c r="C1467" s="1"/>
      <c r="D1467" s="1"/>
      <c r="E1467" s="16" t="s">
        <v>123</v>
      </c>
      <c r="F1467" s="39" t="s">
        <v>1517</v>
      </c>
      <c r="G1467" s="16">
        <v>1</v>
      </c>
      <c r="H1467" s="16" t="s">
        <v>28</v>
      </c>
      <c r="I1467" s="16">
        <v>5400</v>
      </c>
      <c r="J1467" s="16">
        <f t="shared" si="318"/>
        <v>5400</v>
      </c>
      <c r="K1467" s="16">
        <v>1</v>
      </c>
      <c r="L1467" s="16" t="s">
        <v>28</v>
      </c>
      <c r="M1467" s="16" t="s">
        <v>91</v>
      </c>
      <c r="N1467" s="16" t="s">
        <v>1648</v>
      </c>
      <c r="O1467" s="16">
        <v>1</v>
      </c>
      <c r="P1467" s="16">
        <v>5400</v>
      </c>
      <c r="Q1467" s="16">
        <f t="shared" si="319"/>
        <v>5400</v>
      </c>
      <c r="R1467" s="18">
        <v>0.18</v>
      </c>
      <c r="S1467" s="16">
        <f t="shared" si="320"/>
        <v>972</v>
      </c>
      <c r="T1467" s="16">
        <f t="shared" si="321"/>
        <v>6372</v>
      </c>
      <c r="U1467" s="16" t="s">
        <v>1755</v>
      </c>
      <c r="V1467" s="19">
        <v>45788</v>
      </c>
      <c r="W1467" s="142" t="s">
        <v>1774</v>
      </c>
    </row>
    <row r="1468" spans="1:23" x14ac:dyDescent="0.3">
      <c r="A1468" s="1"/>
      <c r="B1468" s="1"/>
      <c r="C1468" s="1"/>
      <c r="D1468" s="1"/>
      <c r="E1468" s="1"/>
      <c r="F1468" s="124" t="s">
        <v>39</v>
      </c>
      <c r="G1468" s="1"/>
      <c r="H1468" s="1"/>
      <c r="I1468" s="1"/>
      <c r="J1468" s="124">
        <f>SUM(J1465:J1467)</f>
        <v>90600</v>
      </c>
      <c r="K1468" s="1" t="s">
        <v>1676</v>
      </c>
      <c r="L1468" s="1"/>
      <c r="M1468" s="119" t="s">
        <v>91</v>
      </c>
      <c r="N1468" s="119" t="s">
        <v>1677</v>
      </c>
      <c r="O1468" s="1"/>
      <c r="P1468" s="1"/>
      <c r="Q1468" s="1"/>
      <c r="R1468" s="1"/>
      <c r="S1468" s="1"/>
      <c r="T1468" s="1"/>
      <c r="U1468" s="1"/>
      <c r="V1468" s="1"/>
      <c r="W1468" s="142"/>
    </row>
    <row r="1469" spans="1:23" x14ac:dyDescent="0.3">
      <c r="A1469" s="1"/>
      <c r="B1469" s="1"/>
      <c r="C1469" s="1"/>
      <c r="D1469" s="1"/>
      <c r="E1469" s="1"/>
      <c r="F1469" s="124" t="s">
        <v>187</v>
      </c>
      <c r="G1469" s="1"/>
      <c r="H1469" s="1"/>
      <c r="I1469" s="1"/>
      <c r="J1469" s="124">
        <f>J1468*18/100</f>
        <v>16308</v>
      </c>
      <c r="K1469" s="1"/>
      <c r="L1469" s="1"/>
      <c r="M1469" s="1"/>
      <c r="N1469" s="1"/>
      <c r="O1469" s="1"/>
      <c r="P1469" s="1"/>
      <c r="Q1469" s="1"/>
      <c r="R1469" s="1"/>
      <c r="S1469" s="1"/>
      <c r="T1469" s="1"/>
      <c r="U1469" s="1"/>
      <c r="V1469" s="1"/>
      <c r="W1469" s="142"/>
    </row>
    <row r="1470" spans="1:23" x14ac:dyDescent="0.3">
      <c r="A1470" s="1"/>
      <c r="B1470" s="1"/>
      <c r="C1470" s="1"/>
      <c r="D1470" s="1"/>
      <c r="E1470" s="1"/>
      <c r="F1470" s="124" t="s">
        <v>41</v>
      </c>
      <c r="G1470" s="1"/>
      <c r="H1470" s="1"/>
      <c r="I1470" s="1"/>
      <c r="J1470" s="124">
        <f>SUM(J1468:J1469)</f>
        <v>106908</v>
      </c>
      <c r="K1470" s="1"/>
      <c r="L1470" s="1"/>
      <c r="M1470" s="1"/>
      <c r="N1470" s="1"/>
      <c r="O1470" s="1"/>
      <c r="P1470" s="1"/>
      <c r="Q1470" s="1"/>
      <c r="R1470" s="1"/>
      <c r="S1470" s="1"/>
      <c r="T1470" s="1">
        <f>SUM(T1465:T1469)</f>
        <v>103368</v>
      </c>
      <c r="U1470" s="1"/>
      <c r="V1470" s="1"/>
      <c r="W1470" s="142"/>
    </row>
    <row r="1471" spans="1:23" x14ac:dyDescent="0.3">
      <c r="A1471" s="1"/>
      <c r="B1471" s="1"/>
      <c r="C1471" s="1"/>
      <c r="D1471" s="1"/>
      <c r="E1471" s="1"/>
      <c r="F1471" s="124"/>
      <c r="G1471" s="1"/>
      <c r="H1471" s="1"/>
      <c r="I1471" s="1"/>
      <c r="J1471" s="124"/>
      <c r="K1471" s="1"/>
      <c r="L1471" s="1"/>
      <c r="M1471" s="1"/>
      <c r="N1471" s="1"/>
      <c r="O1471" s="1"/>
      <c r="P1471" s="1"/>
      <c r="Q1471" s="1"/>
      <c r="R1471" s="1"/>
      <c r="S1471" s="1"/>
      <c r="T1471" s="1"/>
      <c r="U1471" s="1"/>
      <c r="V1471" s="1"/>
      <c r="W1471" s="142"/>
    </row>
    <row r="1472" spans="1:23" ht="25.2" x14ac:dyDescent="0.3">
      <c r="A1472" s="16">
        <v>122</v>
      </c>
      <c r="B1472" s="16">
        <v>9200145061</v>
      </c>
      <c r="C1472" s="19">
        <v>45665</v>
      </c>
      <c r="D1472" s="16" t="s">
        <v>300</v>
      </c>
      <c r="E1472" s="16" t="s">
        <v>123</v>
      </c>
      <c r="F1472" s="39" t="s">
        <v>1562</v>
      </c>
      <c r="G1472" s="16">
        <v>120</v>
      </c>
      <c r="H1472" s="16" t="s">
        <v>111</v>
      </c>
      <c r="I1472" s="16">
        <v>70</v>
      </c>
      <c r="J1472" s="16">
        <f>G1472*I1472</f>
        <v>8400</v>
      </c>
      <c r="K1472" s="16">
        <v>120</v>
      </c>
      <c r="L1472" s="16" t="s">
        <v>111</v>
      </c>
      <c r="M1472" s="16" t="s">
        <v>91</v>
      </c>
      <c r="N1472" s="16" t="s">
        <v>1649</v>
      </c>
      <c r="O1472" s="16">
        <v>120</v>
      </c>
      <c r="P1472" s="16">
        <v>70</v>
      </c>
      <c r="Q1472" s="16">
        <f>O1472*P1472</f>
        <v>8400</v>
      </c>
      <c r="R1472" s="18">
        <v>0.18</v>
      </c>
      <c r="S1472" s="16">
        <f>Q1472*R1472</f>
        <v>1512</v>
      </c>
      <c r="T1472" s="16">
        <f>Q1472+S1472</f>
        <v>9912</v>
      </c>
      <c r="U1472" s="16" t="s">
        <v>1759</v>
      </c>
      <c r="V1472" s="19">
        <v>45758</v>
      </c>
      <c r="W1472" s="142" t="s">
        <v>1774</v>
      </c>
    </row>
    <row r="1473" spans="1:23" ht="25.2" x14ac:dyDescent="0.3">
      <c r="A1473" s="1"/>
      <c r="B1473" s="1"/>
      <c r="C1473" s="1"/>
      <c r="D1473" s="1"/>
      <c r="E1473" s="16" t="s">
        <v>123</v>
      </c>
      <c r="F1473" s="39" t="s">
        <v>1563</v>
      </c>
      <c r="G1473" s="16">
        <v>60</v>
      </c>
      <c r="H1473" s="16" t="s">
        <v>252</v>
      </c>
      <c r="I1473" s="16">
        <v>220</v>
      </c>
      <c r="J1473" s="16">
        <f t="shared" ref="J1473:J1474" si="322">G1473*I1473</f>
        <v>13200</v>
      </c>
      <c r="K1473" s="16">
        <v>60</v>
      </c>
      <c r="L1473" s="16" t="s">
        <v>111</v>
      </c>
      <c r="M1473" s="16" t="s">
        <v>91</v>
      </c>
      <c r="N1473" s="16" t="s">
        <v>1695</v>
      </c>
      <c r="O1473" s="16">
        <v>60</v>
      </c>
      <c r="P1473" s="16">
        <v>220</v>
      </c>
      <c r="Q1473" s="16">
        <f>O1473*P1473</f>
        <v>13200</v>
      </c>
      <c r="R1473" s="18">
        <v>0.18</v>
      </c>
      <c r="S1473" s="16">
        <f>Q1473*R1473</f>
        <v>2376</v>
      </c>
      <c r="T1473" s="16">
        <f>Q1473+S1473</f>
        <v>15576</v>
      </c>
      <c r="U1473" s="16" t="s">
        <v>1759</v>
      </c>
      <c r="V1473" s="19">
        <v>45758</v>
      </c>
      <c r="W1473" s="142" t="s">
        <v>1774</v>
      </c>
    </row>
    <row r="1474" spans="1:23" x14ac:dyDescent="0.3">
      <c r="A1474" s="1"/>
      <c r="B1474" s="1"/>
      <c r="C1474" s="1"/>
      <c r="D1474" s="1" t="s">
        <v>1581</v>
      </c>
      <c r="E1474" s="101" t="s">
        <v>123</v>
      </c>
      <c r="F1474" s="101" t="s">
        <v>1564</v>
      </c>
      <c r="G1474" s="16">
        <v>2</v>
      </c>
      <c r="H1474" s="16" t="s">
        <v>28</v>
      </c>
      <c r="I1474" s="16">
        <v>6850</v>
      </c>
      <c r="J1474" s="16">
        <f t="shared" si="322"/>
        <v>13700</v>
      </c>
      <c r="K1474" s="16"/>
      <c r="L1474" s="16"/>
      <c r="M1474" s="16"/>
      <c r="N1474" s="16"/>
      <c r="O1474" s="16"/>
      <c r="P1474" s="16"/>
      <c r="Q1474" s="16"/>
      <c r="R1474" s="16"/>
      <c r="S1474" s="16"/>
      <c r="T1474" s="16"/>
      <c r="U1474" s="1"/>
      <c r="V1474" s="1"/>
      <c r="W1474" s="142"/>
    </row>
    <row r="1475" spans="1:23" x14ac:dyDescent="0.3">
      <c r="A1475" s="1"/>
      <c r="B1475" s="1"/>
      <c r="C1475" s="1"/>
      <c r="D1475" s="1"/>
      <c r="E1475" s="1"/>
      <c r="F1475" s="124" t="s">
        <v>39</v>
      </c>
      <c r="G1475" s="1"/>
      <c r="H1475" s="1"/>
      <c r="I1475" s="1"/>
      <c r="J1475" s="124">
        <f>SUM(J1472:J1474)</f>
        <v>35300</v>
      </c>
      <c r="K1475" s="1"/>
      <c r="L1475" s="1"/>
      <c r="M1475" s="1"/>
      <c r="N1475" s="1"/>
      <c r="O1475" s="1"/>
      <c r="P1475" s="1"/>
      <c r="Q1475" s="1"/>
      <c r="R1475" s="1"/>
      <c r="S1475" s="1"/>
      <c r="T1475" s="1"/>
      <c r="U1475" s="1"/>
      <c r="V1475" s="1"/>
      <c r="W1475" s="142"/>
    </row>
    <row r="1476" spans="1:23" x14ac:dyDescent="0.3">
      <c r="A1476" s="1"/>
      <c r="B1476" s="1"/>
      <c r="C1476" s="1"/>
      <c r="D1476" s="1"/>
      <c r="E1476" s="1"/>
      <c r="F1476" s="124" t="s">
        <v>187</v>
      </c>
      <c r="G1476" s="1"/>
      <c r="H1476" s="1"/>
      <c r="I1476" s="1"/>
      <c r="J1476" s="124">
        <f>J1475*18/100</f>
        <v>6354</v>
      </c>
      <c r="K1476" s="1"/>
      <c r="L1476" s="1"/>
      <c r="M1476" s="1"/>
      <c r="N1476" s="1"/>
      <c r="O1476" s="1"/>
      <c r="P1476" s="1"/>
      <c r="Q1476" s="1"/>
      <c r="R1476" s="1"/>
      <c r="S1476" s="1"/>
      <c r="T1476" s="1"/>
      <c r="U1476" s="1"/>
      <c r="V1476" s="1"/>
      <c r="W1476" s="142"/>
    </row>
    <row r="1477" spans="1:23" x14ac:dyDescent="0.3">
      <c r="A1477" s="1"/>
      <c r="B1477" s="1"/>
      <c r="C1477" s="1"/>
      <c r="D1477" s="1"/>
      <c r="E1477" s="1"/>
      <c r="F1477" s="124" t="s">
        <v>41</v>
      </c>
      <c r="G1477" s="1"/>
      <c r="H1477" s="1"/>
      <c r="I1477" s="1"/>
      <c r="J1477" s="124">
        <f>SUM(J1475:J1476)</f>
        <v>41654</v>
      </c>
      <c r="K1477" s="1"/>
      <c r="L1477" s="1"/>
      <c r="M1477" s="1"/>
      <c r="N1477" s="1"/>
      <c r="O1477" s="1"/>
      <c r="P1477" s="1"/>
      <c r="Q1477" s="1"/>
      <c r="R1477" s="1"/>
      <c r="S1477" s="1"/>
      <c r="T1477" s="1">
        <f>SUM(T1472:T1476)</f>
        <v>25488</v>
      </c>
      <c r="U1477" s="1"/>
      <c r="V1477" s="1"/>
      <c r="W1477" s="142"/>
    </row>
    <row r="1478" spans="1:23" x14ac:dyDescent="0.3">
      <c r="A1478" s="1"/>
      <c r="B1478" s="1"/>
      <c r="C1478" s="1"/>
      <c r="D1478" s="1"/>
      <c r="E1478" s="1"/>
      <c r="F1478" s="124"/>
      <c r="G1478" s="1"/>
      <c r="H1478" s="1"/>
      <c r="I1478" s="1"/>
      <c r="J1478" s="124"/>
      <c r="K1478" s="1"/>
      <c r="L1478" s="1"/>
      <c r="M1478" s="1"/>
      <c r="N1478" s="1"/>
      <c r="O1478" s="1"/>
      <c r="P1478" s="1"/>
      <c r="Q1478" s="1"/>
      <c r="R1478" s="1"/>
      <c r="S1478" s="1"/>
      <c r="T1478" s="1"/>
      <c r="U1478" s="1"/>
      <c r="V1478" s="1"/>
      <c r="W1478" s="142"/>
    </row>
    <row r="1479" spans="1:23" ht="25.2" x14ac:dyDescent="0.3">
      <c r="A1479" s="16">
        <v>123</v>
      </c>
      <c r="B1479" s="16">
        <v>8600059087</v>
      </c>
      <c r="C1479" s="19">
        <v>45816</v>
      </c>
      <c r="D1479" s="39" t="s">
        <v>1526</v>
      </c>
      <c r="E1479" s="16" t="s">
        <v>127</v>
      </c>
      <c r="F1479" s="39" t="s">
        <v>1525</v>
      </c>
      <c r="G1479" s="16">
        <v>100</v>
      </c>
      <c r="H1479" s="16" t="s">
        <v>28</v>
      </c>
      <c r="I1479" s="16">
        <v>167</v>
      </c>
      <c r="J1479" s="16">
        <f>G1479*I1479</f>
        <v>16700</v>
      </c>
      <c r="K1479" s="16"/>
      <c r="L1479" s="16"/>
      <c r="M1479" s="16"/>
      <c r="N1479" s="16"/>
      <c r="O1479" s="16">
        <v>100</v>
      </c>
      <c r="P1479" s="16">
        <v>167</v>
      </c>
      <c r="Q1479" s="16">
        <f>O1479*P1479</f>
        <v>16700</v>
      </c>
      <c r="R1479" s="18">
        <v>0.18</v>
      </c>
      <c r="S1479" s="16">
        <f>Q1479*R1479</f>
        <v>3006</v>
      </c>
      <c r="T1479" s="16">
        <f>Q1479+S1479</f>
        <v>19706</v>
      </c>
      <c r="U1479" s="16" t="s">
        <v>1584</v>
      </c>
      <c r="V1479" s="19" t="s">
        <v>1585</v>
      </c>
      <c r="W1479" s="142" t="s">
        <v>1586</v>
      </c>
    </row>
    <row r="1480" spans="1:23" ht="25.2" x14ac:dyDescent="0.3">
      <c r="A1480" s="1"/>
      <c r="B1480" s="1"/>
      <c r="C1480" s="1"/>
      <c r="D1480" s="1"/>
      <c r="E1480" s="16" t="s">
        <v>127</v>
      </c>
      <c r="F1480" s="39" t="s">
        <v>1527</v>
      </c>
      <c r="G1480" s="16">
        <v>10</v>
      </c>
      <c r="H1480" s="16" t="s">
        <v>28</v>
      </c>
      <c r="I1480" s="16">
        <v>1564</v>
      </c>
      <c r="J1480" s="16">
        <f>G1480*I1480</f>
        <v>15640</v>
      </c>
      <c r="K1480" s="16"/>
      <c r="L1480" s="16"/>
      <c r="M1480" s="16"/>
      <c r="N1480" s="16"/>
      <c r="O1480" s="16">
        <v>10</v>
      </c>
      <c r="P1480" s="16">
        <v>1564</v>
      </c>
      <c r="Q1480" s="16">
        <f>O1480*P1480</f>
        <v>15640</v>
      </c>
      <c r="R1480" s="18">
        <v>0.18</v>
      </c>
      <c r="S1480" s="16">
        <f>Q1480*R1480</f>
        <v>2815.2</v>
      </c>
      <c r="T1480" s="16">
        <f>Q1480+S1480</f>
        <v>18455.2</v>
      </c>
      <c r="U1480" s="16" t="s">
        <v>1584</v>
      </c>
      <c r="V1480" s="19" t="s">
        <v>1585</v>
      </c>
      <c r="W1480" s="142" t="s">
        <v>1586</v>
      </c>
    </row>
    <row r="1481" spans="1:23" x14ac:dyDescent="0.3">
      <c r="A1481" s="1"/>
      <c r="B1481" s="1"/>
      <c r="C1481" s="1"/>
      <c r="D1481" s="1"/>
      <c r="E1481" s="1"/>
      <c r="F1481" s="124" t="s">
        <v>39</v>
      </c>
      <c r="H1481" s="1"/>
      <c r="I1481" s="1"/>
      <c r="J1481" s="124">
        <f>SUM(J1479:J1480)</f>
        <v>32340</v>
      </c>
      <c r="K1481" s="1"/>
      <c r="L1481" s="1"/>
      <c r="M1481" s="1"/>
      <c r="N1481" s="1"/>
      <c r="O1481" s="1"/>
      <c r="P1481" s="1"/>
      <c r="Q1481" s="1"/>
      <c r="R1481" s="1"/>
      <c r="S1481" s="1"/>
      <c r="T1481" s="1"/>
      <c r="U1481" s="1"/>
      <c r="V1481" s="1"/>
      <c r="W1481" s="142"/>
    </row>
    <row r="1482" spans="1:23" x14ac:dyDescent="0.3">
      <c r="A1482" s="1"/>
      <c r="B1482" s="1"/>
      <c r="C1482" s="1"/>
      <c r="D1482" s="1"/>
      <c r="E1482" s="1"/>
      <c r="F1482" s="124" t="s">
        <v>187</v>
      </c>
      <c r="G1482" s="1"/>
      <c r="H1482" s="1"/>
      <c r="I1482" s="1"/>
      <c r="J1482" s="124">
        <f>J1481*18/100</f>
        <v>5821.2</v>
      </c>
      <c r="K1482" s="1"/>
      <c r="L1482" s="1"/>
      <c r="M1482" s="1"/>
      <c r="N1482" s="1"/>
      <c r="O1482" s="1"/>
      <c r="P1482" s="1"/>
      <c r="Q1482" s="1"/>
      <c r="R1482" s="1"/>
      <c r="S1482" s="1"/>
      <c r="T1482" s="1"/>
      <c r="U1482" s="1"/>
      <c r="V1482" s="1"/>
      <c r="W1482" s="142"/>
    </row>
    <row r="1483" spans="1:23" x14ac:dyDescent="0.3">
      <c r="A1483" s="1"/>
      <c r="B1483" s="1"/>
      <c r="C1483" s="1"/>
      <c r="D1483" s="1"/>
      <c r="E1483" s="1"/>
      <c r="F1483" s="124" t="s">
        <v>41</v>
      </c>
      <c r="G1483" s="1"/>
      <c r="H1483" s="1"/>
      <c r="I1483" s="1"/>
      <c r="J1483" s="124">
        <f>SUM(J1481:J1482)</f>
        <v>38161.199999999997</v>
      </c>
      <c r="K1483" s="1"/>
      <c r="L1483" s="1"/>
      <c r="M1483" s="1"/>
      <c r="N1483" s="1"/>
      <c r="O1483" s="1"/>
      <c r="P1483" s="1"/>
      <c r="Q1483" s="1"/>
      <c r="R1483" s="1"/>
      <c r="S1483" s="1"/>
      <c r="T1483" s="1">
        <f>SUM(T1479:T1482)</f>
        <v>38161.199999999997</v>
      </c>
      <c r="U1483" s="1"/>
      <c r="V1483" s="1"/>
      <c r="W1483" s="142"/>
    </row>
    <row r="1484" spans="1:23" x14ac:dyDescent="0.3">
      <c r="A1484" s="1"/>
      <c r="B1484" s="1"/>
      <c r="C1484" s="1"/>
      <c r="D1484" s="1"/>
      <c r="E1484" s="1"/>
      <c r="F1484" s="124"/>
      <c r="G1484" s="1"/>
      <c r="H1484" s="1"/>
      <c r="I1484" s="1"/>
      <c r="J1484" s="124"/>
      <c r="K1484" s="1"/>
      <c r="L1484" s="1"/>
      <c r="M1484" s="1"/>
      <c r="N1484" s="1"/>
      <c r="O1484" s="1"/>
      <c r="P1484" s="1"/>
      <c r="Q1484" s="1"/>
      <c r="R1484" s="1"/>
      <c r="S1484" s="1"/>
      <c r="T1484" s="1"/>
      <c r="U1484" s="1"/>
      <c r="V1484" s="1"/>
      <c r="W1484" s="142"/>
    </row>
    <row r="1485" spans="1:23" ht="25.2" x14ac:dyDescent="0.3">
      <c r="A1485" s="16">
        <v>124</v>
      </c>
      <c r="B1485" s="16">
        <v>8100020084</v>
      </c>
      <c r="C1485" s="19">
        <v>45816</v>
      </c>
      <c r="D1485" s="16" t="s">
        <v>43</v>
      </c>
      <c r="E1485" s="16" t="s">
        <v>127</v>
      </c>
      <c r="F1485" s="39" t="s">
        <v>1528</v>
      </c>
      <c r="G1485" s="16">
        <v>14</v>
      </c>
      <c r="H1485" s="16" t="s">
        <v>734</v>
      </c>
      <c r="I1485" s="16">
        <v>7300</v>
      </c>
      <c r="J1485" s="16">
        <f>G1485*I1485</f>
        <v>102200</v>
      </c>
      <c r="K1485" s="16"/>
      <c r="L1485" s="16"/>
      <c r="M1485" s="16"/>
      <c r="N1485" s="16"/>
      <c r="O1485" s="16">
        <v>14</v>
      </c>
      <c r="P1485" s="16">
        <v>7300</v>
      </c>
      <c r="Q1485" s="16">
        <f>O1485*P1485</f>
        <v>102200</v>
      </c>
      <c r="R1485" s="18">
        <v>0</v>
      </c>
      <c r="S1485" s="16">
        <f>Q1485*S1486</f>
        <v>0</v>
      </c>
      <c r="T1485" s="16">
        <f>Q1485+S1485</f>
        <v>102200</v>
      </c>
      <c r="U1485" s="16" t="s">
        <v>1624</v>
      </c>
      <c r="V1485" s="19">
        <v>45666</v>
      </c>
      <c r="W1485" s="142" t="s">
        <v>1657</v>
      </c>
    </row>
    <row r="1486" spans="1:23" ht="25.2" x14ac:dyDescent="0.3">
      <c r="A1486" s="1"/>
      <c r="B1486" s="1"/>
      <c r="C1486" s="1"/>
      <c r="D1486" s="1"/>
      <c r="E1486" s="16" t="s">
        <v>127</v>
      </c>
      <c r="F1486" s="39" t="s">
        <v>1529</v>
      </c>
      <c r="G1486" s="16">
        <v>24</v>
      </c>
      <c r="H1486" s="16" t="s">
        <v>28</v>
      </c>
      <c r="I1486" s="16">
        <v>7300</v>
      </c>
      <c r="J1486" s="16">
        <f t="shared" ref="J1486:J1511" si="323">G1486*I1486</f>
        <v>175200</v>
      </c>
      <c r="K1486" s="16"/>
      <c r="L1486" s="16"/>
      <c r="M1486" s="16"/>
      <c r="N1486" s="16"/>
      <c r="O1486" s="16">
        <v>24</v>
      </c>
      <c r="P1486" s="16">
        <v>7300</v>
      </c>
      <c r="Q1486" s="16">
        <f t="shared" ref="Q1486:Q1490" si="324">O1486*P1486</f>
        <v>175200</v>
      </c>
      <c r="R1486" s="18">
        <v>0</v>
      </c>
      <c r="S1486" s="16">
        <f t="shared" ref="S1486:S1490" si="325">Q1486*S1487</f>
        <v>0</v>
      </c>
      <c r="T1486" s="16">
        <f t="shared" ref="T1486:T1490" si="326">Q1486+S1486</f>
        <v>175200</v>
      </c>
      <c r="U1486" s="16" t="s">
        <v>1624</v>
      </c>
      <c r="V1486" s="19">
        <v>45666</v>
      </c>
      <c r="W1486" s="142" t="s">
        <v>1657</v>
      </c>
    </row>
    <row r="1487" spans="1:23" ht="25.2" x14ac:dyDescent="0.3">
      <c r="A1487" s="1"/>
      <c r="B1487" s="1"/>
      <c r="C1487" s="1"/>
      <c r="D1487" s="1"/>
      <c r="E1487" s="16" t="s">
        <v>127</v>
      </c>
      <c r="F1487" s="39" t="s">
        <v>1530</v>
      </c>
      <c r="G1487" s="16">
        <v>11</v>
      </c>
      <c r="H1487" s="16" t="s">
        <v>28</v>
      </c>
      <c r="I1487" s="16">
        <v>12200</v>
      </c>
      <c r="J1487" s="16">
        <f t="shared" si="323"/>
        <v>134200</v>
      </c>
      <c r="K1487" s="16"/>
      <c r="L1487" s="16"/>
      <c r="M1487" s="16"/>
      <c r="N1487" s="16"/>
      <c r="O1487" s="16">
        <v>11</v>
      </c>
      <c r="P1487" s="16">
        <v>12200</v>
      </c>
      <c r="Q1487" s="16">
        <f t="shared" si="324"/>
        <v>134200</v>
      </c>
      <c r="R1487" s="18">
        <v>0</v>
      </c>
      <c r="S1487" s="16">
        <f t="shared" si="325"/>
        <v>0</v>
      </c>
      <c r="T1487" s="16">
        <f t="shared" si="326"/>
        <v>134200</v>
      </c>
      <c r="U1487" s="16" t="s">
        <v>1624</v>
      </c>
      <c r="V1487" s="19">
        <v>45666</v>
      </c>
      <c r="W1487" s="142" t="s">
        <v>1657</v>
      </c>
    </row>
    <row r="1488" spans="1:23" x14ac:dyDescent="0.3">
      <c r="A1488" s="1"/>
      <c r="B1488" s="1"/>
      <c r="C1488" s="1"/>
      <c r="D1488" s="1"/>
      <c r="E1488" s="16" t="s">
        <v>127</v>
      </c>
      <c r="F1488" s="16" t="s">
        <v>1531</v>
      </c>
      <c r="G1488" s="16">
        <v>4</v>
      </c>
      <c r="H1488" s="16" t="s">
        <v>510</v>
      </c>
      <c r="I1488" s="16">
        <v>5508</v>
      </c>
      <c r="J1488" s="16">
        <f t="shared" si="323"/>
        <v>22032</v>
      </c>
      <c r="K1488" s="16"/>
      <c r="L1488" s="16"/>
      <c r="M1488" s="16"/>
      <c r="N1488" s="16"/>
      <c r="O1488" s="16">
        <v>4</v>
      </c>
      <c r="P1488" s="16">
        <v>5508</v>
      </c>
      <c r="Q1488" s="16">
        <f t="shared" si="324"/>
        <v>22032</v>
      </c>
      <c r="R1488" s="18">
        <v>0</v>
      </c>
      <c r="S1488" s="16">
        <f t="shared" si="325"/>
        <v>0</v>
      </c>
      <c r="T1488" s="16">
        <f t="shared" si="326"/>
        <v>22032</v>
      </c>
      <c r="U1488" s="16" t="s">
        <v>1624</v>
      </c>
      <c r="V1488" s="19">
        <v>45666</v>
      </c>
      <c r="W1488" s="142" t="s">
        <v>1657</v>
      </c>
    </row>
    <row r="1489" spans="1:23" x14ac:dyDescent="0.3">
      <c r="A1489" s="1"/>
      <c r="B1489" s="1"/>
      <c r="C1489" s="1"/>
      <c r="D1489" s="1"/>
      <c r="E1489" s="16" t="s">
        <v>127</v>
      </c>
      <c r="F1489" s="16" t="s">
        <v>1532</v>
      </c>
      <c r="G1489" s="16">
        <v>2</v>
      </c>
      <c r="H1489" s="16" t="s">
        <v>510</v>
      </c>
      <c r="I1489" s="16">
        <v>5500</v>
      </c>
      <c r="J1489" s="16">
        <f t="shared" si="323"/>
        <v>11000</v>
      </c>
      <c r="K1489" s="16"/>
      <c r="L1489" s="16"/>
      <c r="M1489" s="16"/>
      <c r="N1489" s="16"/>
      <c r="O1489" s="16">
        <v>2</v>
      </c>
      <c r="P1489" s="16">
        <v>5500</v>
      </c>
      <c r="Q1489" s="16">
        <f t="shared" si="324"/>
        <v>11000</v>
      </c>
      <c r="R1489" s="18">
        <v>0</v>
      </c>
      <c r="S1489" s="16">
        <f t="shared" si="325"/>
        <v>0</v>
      </c>
      <c r="T1489" s="16">
        <f t="shared" si="326"/>
        <v>11000</v>
      </c>
      <c r="U1489" s="16" t="s">
        <v>1624</v>
      </c>
      <c r="V1489" s="19">
        <v>45666</v>
      </c>
      <c r="W1489" s="142" t="s">
        <v>1657</v>
      </c>
    </row>
    <row r="1490" spans="1:23" x14ac:dyDescent="0.3">
      <c r="A1490" s="1"/>
      <c r="B1490" s="1"/>
      <c r="C1490" s="1"/>
      <c r="D1490" s="1"/>
      <c r="E1490" s="16" t="s">
        <v>127</v>
      </c>
      <c r="F1490" s="16" t="s">
        <v>1533</v>
      </c>
      <c r="G1490" s="16">
        <v>1300</v>
      </c>
      <c r="H1490" s="16" t="s">
        <v>60</v>
      </c>
      <c r="I1490" s="16">
        <v>140</v>
      </c>
      <c r="J1490" s="16">
        <f t="shared" si="323"/>
        <v>182000</v>
      </c>
      <c r="K1490" s="16"/>
      <c r="L1490" s="16"/>
      <c r="M1490" s="16"/>
      <c r="N1490" s="16"/>
      <c r="O1490" s="16">
        <v>1300</v>
      </c>
      <c r="P1490" s="16">
        <v>140</v>
      </c>
      <c r="Q1490" s="16">
        <f t="shared" si="324"/>
        <v>182000</v>
      </c>
      <c r="R1490" s="18">
        <v>0</v>
      </c>
      <c r="S1490" s="16">
        <f t="shared" si="325"/>
        <v>0</v>
      </c>
      <c r="T1490" s="16">
        <f t="shared" si="326"/>
        <v>182000</v>
      </c>
      <c r="U1490" s="16" t="s">
        <v>1624</v>
      </c>
      <c r="V1490" s="19">
        <v>45666</v>
      </c>
      <c r="W1490" s="142" t="s">
        <v>1657</v>
      </c>
    </row>
    <row r="1491" spans="1:23" x14ac:dyDescent="0.3">
      <c r="A1491" s="1"/>
      <c r="B1491" s="1"/>
      <c r="C1491" s="1"/>
      <c r="D1491" s="1"/>
      <c r="E1491" s="16" t="s">
        <v>123</v>
      </c>
      <c r="F1491" s="16" t="s">
        <v>1534</v>
      </c>
      <c r="G1491" s="16">
        <v>49</v>
      </c>
      <c r="H1491" s="16" t="s">
        <v>87</v>
      </c>
      <c r="I1491" s="16">
        <v>400</v>
      </c>
      <c r="J1491" s="16">
        <f t="shared" si="323"/>
        <v>19600</v>
      </c>
      <c r="K1491" s="16" t="s">
        <v>1653</v>
      </c>
      <c r="L1491" s="16"/>
      <c r="M1491" s="16" t="s">
        <v>91</v>
      </c>
      <c r="N1491" s="16" t="s">
        <v>1654</v>
      </c>
      <c r="O1491" s="16">
        <v>49</v>
      </c>
      <c r="P1491" s="16">
        <v>400</v>
      </c>
      <c r="Q1491" s="16">
        <f t="shared" ref="Q1491:Q1496" si="327">O1491*P1491</f>
        <v>19600</v>
      </c>
      <c r="R1491" s="18">
        <v>0</v>
      </c>
      <c r="S1491" s="16">
        <f t="shared" ref="S1491:S1496" si="328">Q1491*S1492</f>
        <v>0</v>
      </c>
      <c r="T1491" s="16">
        <f t="shared" ref="T1491:T1496" si="329">Q1491+S1491</f>
        <v>19600</v>
      </c>
      <c r="U1491" s="97" t="s">
        <v>1813</v>
      </c>
      <c r="V1491" s="110" t="s">
        <v>1814</v>
      </c>
      <c r="W1491" s="142" t="s">
        <v>1958</v>
      </c>
    </row>
    <row r="1492" spans="1:23" x14ac:dyDescent="0.3">
      <c r="A1492" s="1"/>
      <c r="B1492" s="1"/>
      <c r="C1492" s="1"/>
      <c r="D1492" s="101" t="s">
        <v>1581</v>
      </c>
      <c r="E1492" s="85" t="s">
        <v>123</v>
      </c>
      <c r="F1492" s="85" t="s">
        <v>1535</v>
      </c>
      <c r="G1492" s="85">
        <v>1300</v>
      </c>
      <c r="H1492" s="85" t="s">
        <v>60</v>
      </c>
      <c r="I1492" s="85">
        <v>55</v>
      </c>
      <c r="J1492" s="85">
        <f t="shared" si="323"/>
        <v>71500</v>
      </c>
      <c r="K1492" s="85">
        <v>1300</v>
      </c>
      <c r="L1492" s="85" t="s">
        <v>60</v>
      </c>
      <c r="M1492" s="85" t="s">
        <v>91</v>
      </c>
      <c r="N1492" s="85" t="s">
        <v>1717</v>
      </c>
      <c r="O1492" s="85"/>
      <c r="P1492" s="85"/>
      <c r="Q1492" s="85">
        <f t="shared" si="327"/>
        <v>0</v>
      </c>
      <c r="R1492" s="104">
        <v>0</v>
      </c>
      <c r="S1492" s="85">
        <f t="shared" si="328"/>
        <v>0</v>
      </c>
      <c r="T1492" s="85">
        <f t="shared" si="329"/>
        <v>0</v>
      </c>
      <c r="U1492" s="97"/>
      <c r="V1492" s="110"/>
      <c r="W1492" s="142"/>
    </row>
    <row r="1493" spans="1:23" x14ac:dyDescent="0.3">
      <c r="A1493" s="1"/>
      <c r="B1493" s="1"/>
      <c r="C1493" s="1"/>
      <c r="D1493" s="1"/>
      <c r="E1493" s="16" t="s">
        <v>123</v>
      </c>
      <c r="F1493" s="16" t="s">
        <v>1536</v>
      </c>
      <c r="G1493" s="16">
        <v>49</v>
      </c>
      <c r="H1493" s="16" t="s">
        <v>87</v>
      </c>
      <c r="I1493" s="173">
        <v>2200</v>
      </c>
      <c r="J1493" s="173">
        <f t="shared" si="323"/>
        <v>107800</v>
      </c>
      <c r="K1493" s="16"/>
      <c r="L1493" s="16"/>
      <c r="M1493" s="16"/>
      <c r="N1493" s="16"/>
      <c r="O1493" s="16">
        <v>49</v>
      </c>
      <c r="P1493" s="173">
        <v>2200</v>
      </c>
      <c r="Q1493" s="16">
        <f t="shared" si="327"/>
        <v>107800</v>
      </c>
      <c r="R1493" s="18">
        <v>0</v>
      </c>
      <c r="S1493" s="16">
        <f t="shared" si="328"/>
        <v>0</v>
      </c>
      <c r="T1493" s="16">
        <f t="shared" si="329"/>
        <v>107800</v>
      </c>
      <c r="U1493" s="97" t="s">
        <v>1813</v>
      </c>
      <c r="V1493" s="110" t="s">
        <v>1814</v>
      </c>
      <c r="W1493" s="142" t="s">
        <v>1958</v>
      </c>
    </row>
    <row r="1494" spans="1:23" ht="25.2" x14ac:dyDescent="0.3">
      <c r="A1494" s="1"/>
      <c r="B1494" s="1"/>
      <c r="C1494" s="1"/>
      <c r="D1494" s="1"/>
      <c r="E1494" s="16" t="s">
        <v>123</v>
      </c>
      <c r="F1494" s="39" t="s">
        <v>1537</v>
      </c>
      <c r="G1494" s="16">
        <v>49</v>
      </c>
      <c r="H1494" s="16" t="s">
        <v>28</v>
      </c>
      <c r="I1494" s="16">
        <v>2200</v>
      </c>
      <c r="J1494" s="16">
        <f t="shared" si="323"/>
        <v>107800</v>
      </c>
      <c r="K1494" s="16"/>
      <c r="L1494" s="16"/>
      <c r="M1494" s="16"/>
      <c r="N1494" s="16"/>
      <c r="O1494" s="16">
        <v>49</v>
      </c>
      <c r="P1494" s="16">
        <v>2200</v>
      </c>
      <c r="Q1494" s="16">
        <f t="shared" si="327"/>
        <v>107800</v>
      </c>
      <c r="R1494" s="18">
        <v>0</v>
      </c>
      <c r="S1494" s="16">
        <f t="shared" si="328"/>
        <v>0</v>
      </c>
      <c r="T1494" s="16">
        <f t="shared" si="329"/>
        <v>107800</v>
      </c>
      <c r="U1494" s="97" t="s">
        <v>1813</v>
      </c>
      <c r="V1494" s="110" t="s">
        <v>1814</v>
      </c>
      <c r="W1494" s="142" t="s">
        <v>1958</v>
      </c>
    </row>
    <row r="1495" spans="1:23" x14ac:dyDescent="0.3">
      <c r="A1495" s="1"/>
      <c r="B1495" s="1"/>
      <c r="C1495" s="1"/>
      <c r="D1495" s="1"/>
      <c r="E1495" s="16" t="s">
        <v>123</v>
      </c>
      <c r="F1495" s="16" t="s">
        <v>1538</v>
      </c>
      <c r="G1495" s="16">
        <v>40</v>
      </c>
      <c r="H1495" s="16" t="s">
        <v>28</v>
      </c>
      <c r="I1495" s="16">
        <v>1500</v>
      </c>
      <c r="J1495" s="16">
        <f t="shared" si="323"/>
        <v>60000</v>
      </c>
      <c r="K1495" s="16" t="s">
        <v>1811</v>
      </c>
      <c r="L1495" s="16"/>
      <c r="M1495" s="16" t="s">
        <v>1570</v>
      </c>
      <c r="N1495" s="16" t="s">
        <v>1810</v>
      </c>
      <c r="O1495" s="16">
        <v>36</v>
      </c>
      <c r="P1495" s="16">
        <v>1500</v>
      </c>
      <c r="Q1495" s="16">
        <f t="shared" si="327"/>
        <v>54000</v>
      </c>
      <c r="R1495" s="18">
        <v>0</v>
      </c>
      <c r="S1495" s="16">
        <f t="shared" si="328"/>
        <v>0</v>
      </c>
      <c r="T1495" s="16">
        <f t="shared" si="329"/>
        <v>54000</v>
      </c>
      <c r="U1495" s="97" t="s">
        <v>1813</v>
      </c>
      <c r="V1495" s="110" t="s">
        <v>1814</v>
      </c>
      <c r="W1495" s="142" t="s">
        <v>1958</v>
      </c>
    </row>
    <row r="1496" spans="1:23" x14ac:dyDescent="0.3">
      <c r="A1496" s="1"/>
      <c r="B1496" s="1"/>
      <c r="C1496" s="1"/>
      <c r="D1496" s="1"/>
      <c r="E1496" s="16" t="s">
        <v>123</v>
      </c>
      <c r="F1496" s="16" t="s">
        <v>1539</v>
      </c>
      <c r="G1496" s="16">
        <v>40</v>
      </c>
      <c r="H1496" s="16" t="s">
        <v>28</v>
      </c>
      <c r="I1496" s="16">
        <v>1200</v>
      </c>
      <c r="J1496" s="16">
        <f t="shared" si="323"/>
        <v>48000</v>
      </c>
      <c r="K1496" s="16"/>
      <c r="L1496" s="16"/>
      <c r="M1496" s="16"/>
      <c r="N1496" s="16"/>
      <c r="O1496" s="16">
        <v>38</v>
      </c>
      <c r="P1496" s="16">
        <v>1200</v>
      </c>
      <c r="Q1496" s="16">
        <f t="shared" si="327"/>
        <v>45600</v>
      </c>
      <c r="R1496" s="18">
        <v>0</v>
      </c>
      <c r="S1496" s="16">
        <f t="shared" si="328"/>
        <v>0</v>
      </c>
      <c r="T1496" s="16">
        <f t="shared" si="329"/>
        <v>45600</v>
      </c>
      <c r="U1496" s="97" t="s">
        <v>1813</v>
      </c>
      <c r="V1496" s="110" t="s">
        <v>1814</v>
      </c>
      <c r="W1496" s="142" t="s">
        <v>1958</v>
      </c>
    </row>
    <row r="1497" spans="1:23" x14ac:dyDescent="0.3">
      <c r="A1497" s="1"/>
      <c r="B1497" s="1"/>
      <c r="C1497" s="1"/>
      <c r="D1497" s="1"/>
      <c r="E1497" s="1"/>
      <c r="F1497" s="124" t="s">
        <v>39</v>
      </c>
      <c r="G1497" s="1"/>
      <c r="H1497" s="1"/>
      <c r="I1497" s="1"/>
      <c r="J1497" s="124">
        <f>SUM(J1485:J1496)</f>
        <v>1041332</v>
      </c>
      <c r="K1497" s="1"/>
      <c r="L1497" s="1"/>
      <c r="M1497" s="1"/>
      <c r="N1497" s="1"/>
      <c r="O1497" s="1"/>
      <c r="P1497" s="1"/>
      <c r="Q1497" s="1"/>
      <c r="R1497" s="1"/>
      <c r="S1497" s="1"/>
      <c r="T1497" s="1"/>
      <c r="U1497" s="1"/>
      <c r="V1497" s="1"/>
      <c r="W1497" s="142"/>
    </row>
    <row r="1498" spans="1:23" x14ac:dyDescent="0.3">
      <c r="A1498" s="1"/>
      <c r="B1498" s="1"/>
      <c r="C1498" s="1"/>
      <c r="D1498" s="1"/>
      <c r="E1498" s="1"/>
      <c r="F1498" s="124" t="s">
        <v>599</v>
      </c>
      <c r="G1498" s="1"/>
      <c r="H1498" s="1"/>
      <c r="I1498" s="1"/>
      <c r="J1498" s="124">
        <f>J1497*0/100</f>
        <v>0</v>
      </c>
      <c r="K1498" s="1"/>
      <c r="L1498" s="1"/>
      <c r="M1498" s="1"/>
      <c r="N1498" s="1"/>
      <c r="O1498" s="1"/>
      <c r="P1498" s="1"/>
      <c r="Q1498" s="1"/>
      <c r="R1498" s="1"/>
      <c r="S1498" s="1"/>
      <c r="T1498" s="1"/>
      <c r="U1498" s="1"/>
      <c r="V1498" s="1"/>
      <c r="W1498" s="142"/>
    </row>
    <row r="1499" spans="1:23" x14ac:dyDescent="0.3">
      <c r="A1499" s="1"/>
      <c r="B1499" s="1"/>
      <c r="C1499" s="1"/>
      <c r="D1499" s="1"/>
      <c r="E1499" s="1"/>
      <c r="F1499" s="124" t="s">
        <v>41</v>
      </c>
      <c r="G1499" s="1"/>
      <c r="H1499" s="1"/>
      <c r="I1499" s="1"/>
      <c r="J1499" s="124">
        <f>SUM(J1497:J1498)</f>
        <v>1041332</v>
      </c>
      <c r="K1499" s="1"/>
      <c r="L1499" s="1"/>
      <c r="M1499" s="1"/>
      <c r="N1499" s="1"/>
      <c r="O1499" s="1"/>
      <c r="P1499" s="1"/>
      <c r="Q1499" s="1"/>
      <c r="R1499" s="1"/>
      <c r="S1499" s="1"/>
      <c r="T1499" s="1">
        <f>SUM(T1485:T1498)</f>
        <v>961432</v>
      </c>
      <c r="U1499" s="1"/>
      <c r="V1499" s="1"/>
      <c r="W1499" s="142"/>
    </row>
    <row r="1500" spans="1:23" x14ac:dyDescent="0.3">
      <c r="A1500" s="1"/>
      <c r="B1500" s="1"/>
      <c r="C1500" s="1"/>
      <c r="D1500" s="1"/>
      <c r="E1500" s="1"/>
      <c r="F1500" s="124"/>
      <c r="G1500" s="1"/>
      <c r="H1500" s="1"/>
      <c r="I1500" s="1"/>
      <c r="J1500" s="124"/>
      <c r="K1500" s="1"/>
      <c r="L1500" s="1"/>
      <c r="M1500" s="1"/>
      <c r="N1500" s="1"/>
      <c r="O1500" s="1"/>
      <c r="P1500" s="1"/>
      <c r="Q1500" s="1"/>
      <c r="R1500" s="1"/>
      <c r="S1500" s="1"/>
      <c r="T1500" s="1"/>
      <c r="U1500" s="1"/>
      <c r="V1500" s="1"/>
      <c r="W1500" s="142"/>
    </row>
    <row r="1501" spans="1:23" ht="25.2" x14ac:dyDescent="0.3">
      <c r="A1501" s="16">
        <v>125</v>
      </c>
      <c r="B1501" s="16">
        <v>8600059155</v>
      </c>
      <c r="C1501" s="19">
        <v>45969</v>
      </c>
      <c r="D1501" s="16" t="s">
        <v>1502</v>
      </c>
      <c r="E1501" s="16" t="s">
        <v>127</v>
      </c>
      <c r="F1501" s="39" t="s">
        <v>1545</v>
      </c>
      <c r="G1501" s="16">
        <v>20</v>
      </c>
      <c r="H1501" s="16" t="s">
        <v>28</v>
      </c>
      <c r="I1501" s="16">
        <v>133</v>
      </c>
      <c r="J1501" s="16">
        <f t="shared" si="323"/>
        <v>2660</v>
      </c>
      <c r="K1501" s="16"/>
      <c r="L1501" s="16"/>
      <c r="M1501" s="16"/>
      <c r="N1501" s="16"/>
      <c r="O1501" s="16">
        <v>20</v>
      </c>
      <c r="P1501" s="16">
        <v>133</v>
      </c>
      <c r="Q1501" s="16">
        <f>O1501*P1501</f>
        <v>2660</v>
      </c>
      <c r="R1501" s="18">
        <v>0</v>
      </c>
      <c r="S1501" s="16">
        <f>Q1501*R1501</f>
        <v>0</v>
      </c>
      <c r="T1501" s="16">
        <f>Q1501+S1501</f>
        <v>2660</v>
      </c>
      <c r="U1501" s="16" t="s">
        <v>1619</v>
      </c>
      <c r="V1501" s="19" t="s">
        <v>1620</v>
      </c>
      <c r="W1501" s="142" t="s">
        <v>1626</v>
      </c>
    </row>
    <row r="1502" spans="1:23" ht="25.2" x14ac:dyDescent="0.3">
      <c r="A1502" s="1"/>
      <c r="B1502" s="1"/>
      <c r="C1502" s="1"/>
      <c r="D1502" s="1"/>
      <c r="E1502" s="16" t="s">
        <v>127</v>
      </c>
      <c r="F1502" s="39" t="s">
        <v>1546</v>
      </c>
      <c r="G1502" s="16">
        <v>15</v>
      </c>
      <c r="H1502" s="16" t="s">
        <v>28</v>
      </c>
      <c r="I1502" s="16">
        <v>1650</v>
      </c>
      <c r="J1502" s="16">
        <f t="shared" si="323"/>
        <v>24750</v>
      </c>
      <c r="K1502" s="16"/>
      <c r="L1502" s="16"/>
      <c r="M1502" s="16"/>
      <c r="N1502" s="16"/>
      <c r="O1502" s="16">
        <v>15</v>
      </c>
      <c r="P1502" s="16">
        <v>1650</v>
      </c>
      <c r="Q1502" s="16">
        <f t="shared" ref="Q1502:Q1511" si="330">O1502*P1502</f>
        <v>24750</v>
      </c>
      <c r="R1502" s="18">
        <v>0</v>
      </c>
      <c r="S1502" s="16">
        <f t="shared" ref="S1502:S1511" si="331">Q1502*R1502</f>
        <v>0</v>
      </c>
      <c r="T1502" s="16">
        <f t="shared" ref="T1502:T1511" si="332">Q1502+S1502</f>
        <v>24750</v>
      </c>
      <c r="U1502" s="16" t="s">
        <v>1619</v>
      </c>
      <c r="V1502" s="19" t="s">
        <v>1620</v>
      </c>
      <c r="W1502" s="142" t="s">
        <v>1626</v>
      </c>
    </row>
    <row r="1503" spans="1:23" x14ac:dyDescent="0.3">
      <c r="A1503" s="1"/>
      <c r="B1503" s="1"/>
      <c r="C1503" s="1"/>
      <c r="D1503" s="1"/>
      <c r="E1503" s="16" t="s">
        <v>127</v>
      </c>
      <c r="F1503" s="16" t="s">
        <v>1547</v>
      </c>
      <c r="G1503" s="16">
        <v>10</v>
      </c>
      <c r="H1503" s="16" t="s">
        <v>28</v>
      </c>
      <c r="I1503" s="16">
        <v>850</v>
      </c>
      <c r="J1503" s="16">
        <f t="shared" si="323"/>
        <v>8500</v>
      </c>
      <c r="K1503" s="16"/>
      <c r="L1503" s="16"/>
      <c r="M1503" s="16"/>
      <c r="N1503" s="16"/>
      <c r="O1503" s="16">
        <v>10</v>
      </c>
      <c r="P1503" s="16">
        <v>850</v>
      </c>
      <c r="Q1503" s="16">
        <f t="shared" si="330"/>
        <v>8500</v>
      </c>
      <c r="R1503" s="18">
        <v>0</v>
      </c>
      <c r="S1503" s="16">
        <f t="shared" si="331"/>
        <v>0</v>
      </c>
      <c r="T1503" s="16">
        <f t="shared" si="332"/>
        <v>8500</v>
      </c>
      <c r="U1503" s="16" t="s">
        <v>1619</v>
      </c>
      <c r="V1503" s="19" t="s">
        <v>1620</v>
      </c>
      <c r="W1503" s="142" t="s">
        <v>1626</v>
      </c>
    </row>
    <row r="1504" spans="1:23" x14ac:dyDescent="0.3">
      <c r="A1504" s="1"/>
      <c r="B1504" s="1"/>
      <c r="C1504" s="1"/>
      <c r="D1504" s="1"/>
      <c r="E1504" s="16" t="s">
        <v>127</v>
      </c>
      <c r="F1504" s="16" t="s">
        <v>1548</v>
      </c>
      <c r="G1504" s="16">
        <v>10</v>
      </c>
      <c r="H1504" s="16" t="s">
        <v>28</v>
      </c>
      <c r="I1504" s="16">
        <v>380</v>
      </c>
      <c r="J1504" s="16">
        <f t="shared" si="323"/>
        <v>3800</v>
      </c>
      <c r="K1504" s="16"/>
      <c r="L1504" s="16"/>
      <c r="M1504" s="16"/>
      <c r="N1504" s="16"/>
      <c r="O1504" s="16">
        <v>10</v>
      </c>
      <c r="P1504" s="16">
        <v>380</v>
      </c>
      <c r="Q1504" s="16">
        <f t="shared" si="330"/>
        <v>3800</v>
      </c>
      <c r="R1504" s="18">
        <v>0</v>
      </c>
      <c r="S1504" s="16">
        <f t="shared" si="331"/>
        <v>0</v>
      </c>
      <c r="T1504" s="16">
        <f t="shared" si="332"/>
        <v>3800</v>
      </c>
      <c r="U1504" s="16" t="s">
        <v>1619</v>
      </c>
      <c r="V1504" s="19" t="s">
        <v>1620</v>
      </c>
      <c r="W1504" s="142" t="s">
        <v>1626</v>
      </c>
    </row>
    <row r="1505" spans="1:23" ht="25.2" x14ac:dyDescent="0.3">
      <c r="A1505" s="1"/>
      <c r="B1505" s="1"/>
      <c r="C1505" s="1"/>
      <c r="D1505" s="1"/>
      <c r="E1505" s="16" t="s">
        <v>127</v>
      </c>
      <c r="F1505" s="39" t="s">
        <v>1549</v>
      </c>
      <c r="G1505" s="16">
        <v>20</v>
      </c>
      <c r="H1505" s="16" t="s">
        <v>28</v>
      </c>
      <c r="I1505" s="16">
        <v>891</v>
      </c>
      <c r="J1505" s="16">
        <f t="shared" si="323"/>
        <v>17820</v>
      </c>
      <c r="K1505" s="16"/>
      <c r="L1505" s="16"/>
      <c r="M1505" s="16"/>
      <c r="N1505" s="16"/>
      <c r="O1505" s="16">
        <v>20</v>
      </c>
      <c r="P1505" s="16">
        <v>891</v>
      </c>
      <c r="Q1505" s="16">
        <f t="shared" si="330"/>
        <v>17820</v>
      </c>
      <c r="R1505" s="18">
        <v>0</v>
      </c>
      <c r="S1505" s="16">
        <f t="shared" si="331"/>
        <v>0</v>
      </c>
      <c r="T1505" s="16">
        <f t="shared" si="332"/>
        <v>17820</v>
      </c>
      <c r="U1505" s="16" t="s">
        <v>1619</v>
      </c>
      <c r="V1505" s="19" t="s">
        <v>1620</v>
      </c>
      <c r="W1505" s="142" t="s">
        <v>1626</v>
      </c>
    </row>
    <row r="1506" spans="1:23" ht="14.4" customHeight="1" x14ac:dyDescent="0.3">
      <c r="A1506" s="1"/>
      <c r="B1506" s="1"/>
      <c r="C1506" s="1"/>
      <c r="D1506" s="1"/>
      <c r="E1506" s="16" t="s">
        <v>127</v>
      </c>
      <c r="F1506" s="141" t="s">
        <v>1550</v>
      </c>
      <c r="G1506" s="16">
        <v>15</v>
      </c>
      <c r="H1506" s="16" t="s">
        <v>28</v>
      </c>
      <c r="I1506" s="16">
        <v>49</v>
      </c>
      <c r="J1506" s="16">
        <f t="shared" si="323"/>
        <v>735</v>
      </c>
      <c r="K1506" s="16"/>
      <c r="L1506" s="16"/>
      <c r="M1506" s="16"/>
      <c r="N1506" s="16"/>
      <c r="O1506" s="16">
        <v>15</v>
      </c>
      <c r="P1506" s="16">
        <v>49</v>
      </c>
      <c r="Q1506" s="16">
        <f t="shared" si="330"/>
        <v>735</v>
      </c>
      <c r="R1506" s="18">
        <v>0</v>
      </c>
      <c r="S1506" s="16">
        <f t="shared" si="331"/>
        <v>0</v>
      </c>
      <c r="T1506" s="16">
        <f t="shared" si="332"/>
        <v>735</v>
      </c>
      <c r="U1506" s="16" t="s">
        <v>1619</v>
      </c>
      <c r="V1506" s="19" t="s">
        <v>1620</v>
      </c>
      <c r="W1506" s="142" t="s">
        <v>1626</v>
      </c>
    </row>
    <row r="1507" spans="1:23" x14ac:dyDescent="0.3">
      <c r="A1507" s="1"/>
      <c r="B1507" s="1"/>
      <c r="C1507" s="1"/>
      <c r="D1507" s="1"/>
      <c r="E1507" s="16" t="s">
        <v>127</v>
      </c>
      <c r="F1507" s="16" t="s">
        <v>1551</v>
      </c>
      <c r="G1507" s="16">
        <v>10</v>
      </c>
      <c r="H1507" s="16" t="s">
        <v>28</v>
      </c>
      <c r="I1507" s="16">
        <v>65</v>
      </c>
      <c r="J1507" s="16">
        <f t="shared" si="323"/>
        <v>650</v>
      </c>
      <c r="K1507" s="16"/>
      <c r="L1507" s="16"/>
      <c r="M1507" s="16"/>
      <c r="N1507" s="16"/>
      <c r="O1507" s="16">
        <v>10</v>
      </c>
      <c r="P1507" s="16">
        <v>65</v>
      </c>
      <c r="Q1507" s="16">
        <f t="shared" si="330"/>
        <v>650</v>
      </c>
      <c r="R1507" s="18">
        <v>0</v>
      </c>
      <c r="S1507" s="16">
        <f t="shared" si="331"/>
        <v>0</v>
      </c>
      <c r="T1507" s="16">
        <f t="shared" si="332"/>
        <v>650</v>
      </c>
      <c r="U1507" s="16" t="s">
        <v>1619</v>
      </c>
      <c r="V1507" s="19" t="s">
        <v>1620</v>
      </c>
      <c r="W1507" s="142" t="s">
        <v>1626</v>
      </c>
    </row>
    <row r="1508" spans="1:23" x14ac:dyDescent="0.3">
      <c r="A1508" s="1"/>
      <c r="B1508" s="1"/>
      <c r="C1508" s="1"/>
      <c r="D1508" s="1"/>
      <c r="E1508" s="16" t="s">
        <v>127</v>
      </c>
      <c r="F1508" s="16" t="s">
        <v>1552</v>
      </c>
      <c r="G1508" s="16">
        <v>15</v>
      </c>
      <c r="H1508" s="16" t="s">
        <v>28</v>
      </c>
      <c r="I1508" s="16">
        <v>35</v>
      </c>
      <c r="J1508" s="16">
        <f t="shared" si="323"/>
        <v>525</v>
      </c>
      <c r="K1508" s="16"/>
      <c r="L1508" s="16"/>
      <c r="M1508" s="16"/>
      <c r="N1508" s="16"/>
      <c r="O1508" s="16">
        <v>15</v>
      </c>
      <c r="P1508" s="16">
        <v>35</v>
      </c>
      <c r="Q1508" s="16">
        <f t="shared" si="330"/>
        <v>525</v>
      </c>
      <c r="R1508" s="18">
        <v>0</v>
      </c>
      <c r="S1508" s="16">
        <f t="shared" si="331"/>
        <v>0</v>
      </c>
      <c r="T1508" s="16">
        <f t="shared" si="332"/>
        <v>525</v>
      </c>
      <c r="U1508" s="16" t="s">
        <v>1619</v>
      </c>
      <c r="V1508" s="19" t="s">
        <v>1620</v>
      </c>
      <c r="W1508" s="142" t="s">
        <v>1626</v>
      </c>
    </row>
    <row r="1509" spans="1:23" x14ac:dyDescent="0.3">
      <c r="A1509" s="1"/>
      <c r="B1509" s="1"/>
      <c r="C1509" s="1"/>
      <c r="D1509" s="1"/>
      <c r="E1509" s="16" t="s">
        <v>127</v>
      </c>
      <c r="F1509" s="16" t="s">
        <v>1553</v>
      </c>
      <c r="G1509" s="16">
        <v>100</v>
      </c>
      <c r="H1509" s="16" t="s">
        <v>60</v>
      </c>
      <c r="I1509" s="16">
        <v>23</v>
      </c>
      <c r="J1509" s="16">
        <f t="shared" si="323"/>
        <v>2300</v>
      </c>
      <c r="K1509" s="16"/>
      <c r="L1509" s="16"/>
      <c r="M1509" s="16"/>
      <c r="N1509" s="16"/>
      <c r="O1509" s="16">
        <v>100</v>
      </c>
      <c r="P1509" s="16">
        <v>23</v>
      </c>
      <c r="Q1509" s="16">
        <f t="shared" si="330"/>
        <v>2300</v>
      </c>
      <c r="R1509" s="18">
        <v>0</v>
      </c>
      <c r="S1509" s="16">
        <f t="shared" si="331"/>
        <v>0</v>
      </c>
      <c r="T1509" s="16">
        <f t="shared" si="332"/>
        <v>2300</v>
      </c>
      <c r="U1509" s="16" t="s">
        <v>1619</v>
      </c>
      <c r="V1509" s="19" t="s">
        <v>1620</v>
      </c>
      <c r="W1509" s="142" t="s">
        <v>1626</v>
      </c>
    </row>
    <row r="1510" spans="1:23" x14ac:dyDescent="0.3">
      <c r="A1510" s="1"/>
      <c r="B1510" s="1"/>
      <c r="C1510" s="1"/>
      <c r="D1510" s="1"/>
      <c r="E1510" s="16" t="s">
        <v>127</v>
      </c>
      <c r="F1510" s="16" t="s">
        <v>1554</v>
      </c>
      <c r="G1510" s="16">
        <v>6</v>
      </c>
      <c r="H1510" s="16" t="s">
        <v>28</v>
      </c>
      <c r="I1510" s="16">
        <v>2132</v>
      </c>
      <c r="J1510" s="16">
        <f t="shared" si="323"/>
        <v>12792</v>
      </c>
      <c r="K1510" s="16"/>
      <c r="L1510" s="16"/>
      <c r="M1510" s="16"/>
      <c r="N1510" s="16"/>
      <c r="O1510" s="16">
        <v>6</v>
      </c>
      <c r="P1510" s="16">
        <v>2132</v>
      </c>
      <c r="Q1510" s="16">
        <f t="shared" si="330"/>
        <v>12792</v>
      </c>
      <c r="R1510" s="18">
        <v>0</v>
      </c>
      <c r="S1510" s="16">
        <f t="shared" si="331"/>
        <v>0</v>
      </c>
      <c r="T1510" s="16">
        <f t="shared" si="332"/>
        <v>12792</v>
      </c>
      <c r="U1510" s="16" t="s">
        <v>1619</v>
      </c>
      <c r="V1510" s="19" t="s">
        <v>1620</v>
      </c>
      <c r="W1510" s="142" t="s">
        <v>1626</v>
      </c>
    </row>
    <row r="1511" spans="1:23" x14ac:dyDescent="0.3">
      <c r="A1511" s="1"/>
      <c r="B1511" s="1"/>
      <c r="C1511" s="1"/>
      <c r="D1511" s="1"/>
      <c r="E1511" s="16" t="s">
        <v>127</v>
      </c>
      <c r="F1511" s="16" t="s">
        <v>1555</v>
      </c>
      <c r="G1511" s="16">
        <v>200</v>
      </c>
      <c r="H1511" s="16" t="s">
        <v>28</v>
      </c>
      <c r="I1511" s="16">
        <v>173</v>
      </c>
      <c r="J1511" s="16">
        <f t="shared" si="323"/>
        <v>34600</v>
      </c>
      <c r="K1511" s="16"/>
      <c r="L1511" s="16"/>
      <c r="M1511" s="16"/>
      <c r="N1511" s="16"/>
      <c r="O1511" s="16">
        <v>200</v>
      </c>
      <c r="P1511" s="16">
        <v>173</v>
      </c>
      <c r="Q1511" s="16">
        <f t="shared" si="330"/>
        <v>34600</v>
      </c>
      <c r="R1511" s="18">
        <v>0</v>
      </c>
      <c r="S1511" s="16">
        <f t="shared" si="331"/>
        <v>0</v>
      </c>
      <c r="T1511" s="16">
        <f t="shared" si="332"/>
        <v>34600</v>
      </c>
      <c r="U1511" s="16" t="s">
        <v>1619</v>
      </c>
      <c r="V1511" s="19" t="s">
        <v>1620</v>
      </c>
      <c r="W1511" s="142" t="s">
        <v>1626</v>
      </c>
    </row>
    <row r="1512" spans="1:23" x14ac:dyDescent="0.3">
      <c r="A1512" s="1"/>
      <c r="B1512" s="1"/>
      <c r="C1512" s="1"/>
      <c r="D1512" s="1"/>
      <c r="E1512" s="1"/>
      <c r="F1512" s="124" t="s">
        <v>39</v>
      </c>
      <c r="G1512" s="1"/>
      <c r="H1512" s="1"/>
      <c r="I1512" s="1"/>
      <c r="J1512" s="124">
        <f>SUM(J1501:J1511)</f>
        <v>109132</v>
      </c>
      <c r="K1512" s="1"/>
      <c r="L1512" s="1"/>
      <c r="M1512" s="1"/>
      <c r="N1512" s="1"/>
      <c r="O1512" s="1"/>
      <c r="P1512" s="1"/>
      <c r="Q1512" s="1"/>
      <c r="R1512" s="1"/>
      <c r="S1512" s="1"/>
      <c r="T1512" s="1"/>
      <c r="U1512" s="1"/>
      <c r="V1512" s="1"/>
      <c r="W1512" s="142"/>
    </row>
    <row r="1513" spans="1:23" x14ac:dyDescent="0.3">
      <c r="A1513" s="1"/>
      <c r="B1513" s="1"/>
      <c r="C1513" s="1"/>
      <c r="D1513" s="1"/>
      <c r="E1513" s="1"/>
      <c r="F1513" s="124" t="s">
        <v>599</v>
      </c>
      <c r="G1513" s="1"/>
      <c r="H1513" s="1"/>
      <c r="I1513" s="1"/>
      <c r="J1513" s="124">
        <f>J1512*0/100</f>
        <v>0</v>
      </c>
      <c r="K1513" s="1"/>
      <c r="L1513" s="1"/>
      <c r="M1513" s="1"/>
      <c r="N1513" s="1"/>
      <c r="O1513" s="1"/>
      <c r="P1513" s="1"/>
      <c r="Q1513" s="1"/>
      <c r="R1513" s="1"/>
      <c r="S1513" s="1"/>
      <c r="T1513" s="1"/>
      <c r="U1513" s="1"/>
      <c r="V1513" s="1"/>
      <c r="W1513" s="142"/>
    </row>
    <row r="1514" spans="1:23" x14ac:dyDescent="0.3">
      <c r="A1514" s="1"/>
      <c r="B1514" s="1"/>
      <c r="C1514" s="1"/>
      <c r="D1514" s="1"/>
      <c r="E1514" s="1"/>
      <c r="F1514" s="124" t="s">
        <v>41</v>
      </c>
      <c r="G1514" s="1"/>
      <c r="H1514" s="1"/>
      <c r="I1514" s="1"/>
      <c r="J1514" s="124">
        <f>SUM(J1512:J1513)</f>
        <v>109132</v>
      </c>
      <c r="K1514" s="1"/>
      <c r="L1514" s="1"/>
      <c r="M1514" s="1"/>
      <c r="N1514" s="1"/>
      <c r="O1514" s="1"/>
      <c r="P1514" s="1"/>
      <c r="Q1514" s="1"/>
      <c r="R1514" s="1"/>
      <c r="S1514" s="1"/>
      <c r="T1514" s="1">
        <f>SUM(T1501:T1513)</f>
        <v>109132</v>
      </c>
      <c r="U1514" s="1"/>
      <c r="V1514" s="1"/>
      <c r="W1514" s="142"/>
    </row>
    <row r="1515" spans="1:23" x14ac:dyDescent="0.3">
      <c r="A1515" s="1"/>
      <c r="B1515" s="1"/>
      <c r="C1515" s="1"/>
      <c r="D1515" s="1"/>
      <c r="E1515" s="1"/>
      <c r="F1515" s="124"/>
      <c r="G1515" s="1"/>
      <c r="H1515" s="1"/>
      <c r="I1515" s="1"/>
      <c r="J1515" s="124"/>
      <c r="K1515" s="1"/>
      <c r="L1515" s="1"/>
      <c r="M1515" s="1"/>
      <c r="N1515" s="1"/>
      <c r="O1515" s="1"/>
      <c r="P1515" s="1"/>
      <c r="Q1515" s="1"/>
      <c r="R1515" s="1"/>
      <c r="S1515" s="1"/>
      <c r="T1515" s="1"/>
      <c r="U1515" s="1"/>
      <c r="V1515" s="1"/>
      <c r="W1515" s="142"/>
    </row>
    <row r="1516" spans="1:23" ht="84.6" customHeight="1" x14ac:dyDescent="0.3">
      <c r="A1516" s="16">
        <v>126</v>
      </c>
      <c r="B1516" s="108" t="s">
        <v>1558</v>
      </c>
      <c r="C1516" s="19">
        <v>45999</v>
      </c>
      <c r="D1516" s="39" t="s">
        <v>1559</v>
      </c>
      <c r="E1516" s="16" t="s">
        <v>123</v>
      </c>
      <c r="F1516" s="39" t="s">
        <v>1560</v>
      </c>
      <c r="G1516" s="16">
        <v>256</v>
      </c>
      <c r="H1516" s="16" t="s">
        <v>252</v>
      </c>
      <c r="I1516" s="16">
        <v>125.46</v>
      </c>
      <c r="J1516" s="16">
        <f>G1516*I1516</f>
        <v>32117.759999999998</v>
      </c>
      <c r="K1516" s="16"/>
      <c r="L1516" s="16"/>
      <c r="M1516" s="16"/>
      <c r="N1516" s="16"/>
      <c r="O1516" s="16">
        <v>230</v>
      </c>
      <c r="P1516" s="16">
        <v>125.46</v>
      </c>
      <c r="Q1516" s="16">
        <f>O1516*P1516</f>
        <v>28855.8</v>
      </c>
      <c r="R1516" s="18">
        <v>0.18</v>
      </c>
      <c r="S1516" s="16">
        <f>Q1516*R1516</f>
        <v>5194.0439999999999</v>
      </c>
      <c r="T1516" s="16">
        <f>Q1516+S1516</f>
        <v>34049.843999999997</v>
      </c>
      <c r="U1516" s="16" t="s">
        <v>1773</v>
      </c>
      <c r="V1516" s="19" t="s">
        <v>1770</v>
      </c>
      <c r="W1516" s="142"/>
    </row>
    <row r="1517" spans="1:23" ht="138.6" x14ac:dyDescent="0.3">
      <c r="A1517" s="1"/>
      <c r="B1517" s="1"/>
      <c r="C1517" s="1"/>
      <c r="D1517" s="1"/>
      <c r="E1517" s="16" t="s">
        <v>123</v>
      </c>
      <c r="F1517" s="39" t="s">
        <v>1561</v>
      </c>
      <c r="G1517" s="16">
        <v>256</v>
      </c>
      <c r="H1517" s="16" t="s">
        <v>252</v>
      </c>
      <c r="I1517" s="16">
        <v>380.45</v>
      </c>
      <c r="J1517" s="16">
        <f>G1517*I1517</f>
        <v>97395.199999999997</v>
      </c>
      <c r="K1517" s="16"/>
      <c r="L1517" s="16"/>
      <c r="M1517" s="16"/>
      <c r="N1517" s="16"/>
      <c r="O1517" s="16">
        <v>230</v>
      </c>
      <c r="P1517" s="16">
        <v>380.45</v>
      </c>
      <c r="Q1517" s="16">
        <f>O1517*P1517</f>
        <v>87503.5</v>
      </c>
      <c r="R1517" s="18">
        <v>0.18</v>
      </c>
      <c r="S1517" s="16">
        <f>Q1517*R1517</f>
        <v>15750.63</v>
      </c>
      <c r="T1517" s="16">
        <f>Q1517+S1517</f>
        <v>103254.13</v>
      </c>
      <c r="U1517" s="16" t="s">
        <v>1773</v>
      </c>
      <c r="V1517" s="19" t="s">
        <v>1770</v>
      </c>
      <c r="W1517" s="142"/>
    </row>
    <row r="1518" spans="1:23" x14ac:dyDescent="0.3">
      <c r="A1518" s="1"/>
      <c r="B1518" s="1"/>
      <c r="C1518" s="1"/>
      <c r="D1518" s="1"/>
      <c r="E1518" s="1"/>
      <c r="F1518" s="124" t="s">
        <v>39</v>
      </c>
      <c r="G1518" s="1"/>
      <c r="H1518" s="1"/>
      <c r="I1518" s="1"/>
      <c r="J1518" s="124">
        <f>SUM(J1516:J1517)</f>
        <v>129512.95999999999</v>
      </c>
      <c r="K1518" s="1"/>
      <c r="L1518" s="1"/>
      <c r="M1518" s="1"/>
      <c r="N1518" s="1"/>
      <c r="O1518" s="1"/>
      <c r="P1518" s="1"/>
      <c r="Q1518" s="1"/>
      <c r="R1518" s="1"/>
      <c r="S1518" s="1"/>
      <c r="T1518" s="1"/>
      <c r="U1518" s="1"/>
      <c r="V1518" s="1"/>
      <c r="W1518" s="142"/>
    </row>
    <row r="1519" spans="1:23" x14ac:dyDescent="0.3">
      <c r="A1519" s="1"/>
      <c r="B1519" s="1"/>
      <c r="C1519" s="1"/>
      <c r="D1519" s="1"/>
      <c r="E1519" s="1"/>
      <c r="F1519" s="124" t="s">
        <v>187</v>
      </c>
      <c r="G1519" s="1"/>
      <c r="H1519" s="1"/>
      <c r="I1519" s="1"/>
      <c r="J1519" s="124">
        <f>J1518*18/100</f>
        <v>23312.332799999996</v>
      </c>
      <c r="K1519" s="1"/>
      <c r="L1519" s="1"/>
      <c r="M1519" s="1"/>
      <c r="N1519" s="1"/>
      <c r="O1519" s="1"/>
      <c r="P1519" s="1"/>
      <c r="Q1519" s="1"/>
      <c r="R1519" s="1"/>
      <c r="S1519" s="1"/>
      <c r="T1519" s="1"/>
      <c r="U1519" s="1"/>
      <c r="V1519" s="1"/>
      <c r="W1519" s="142"/>
    </row>
    <row r="1520" spans="1:23" x14ac:dyDescent="0.3">
      <c r="A1520" s="1"/>
      <c r="B1520" s="1"/>
      <c r="C1520" s="1"/>
      <c r="D1520" s="1"/>
      <c r="E1520" s="1"/>
      <c r="F1520" s="124" t="s">
        <v>41</v>
      </c>
      <c r="G1520" s="1"/>
      <c r="H1520" s="1"/>
      <c r="I1520" s="1"/>
      <c r="J1520" s="124">
        <f>SUM(J1518:J1519)</f>
        <v>152825.2928</v>
      </c>
      <c r="K1520" s="1"/>
      <c r="L1520" s="1"/>
      <c r="M1520" s="1"/>
      <c r="N1520" s="1"/>
      <c r="O1520" s="1"/>
      <c r="P1520" s="1"/>
      <c r="Q1520" s="1"/>
      <c r="R1520" s="1"/>
      <c r="S1520" s="1"/>
      <c r="T1520" s="1">
        <f>SUM(T1516:T1519)</f>
        <v>137303.97399999999</v>
      </c>
      <c r="U1520" s="1"/>
      <c r="V1520" s="1"/>
      <c r="W1520" s="142"/>
    </row>
    <row r="1521" spans="1:23" x14ac:dyDescent="0.3">
      <c r="A1521" s="1"/>
      <c r="B1521" s="1"/>
      <c r="C1521" s="1"/>
      <c r="D1521" s="1"/>
      <c r="E1521" s="1"/>
      <c r="F1521" s="124"/>
      <c r="G1521" s="1"/>
      <c r="H1521" s="1"/>
      <c r="I1521" s="1"/>
      <c r="J1521" s="124"/>
      <c r="K1521" s="1"/>
      <c r="L1521" s="1"/>
      <c r="M1521" s="1"/>
      <c r="N1521" s="1"/>
      <c r="O1521" s="1"/>
      <c r="P1521" s="1"/>
      <c r="Q1521" s="1"/>
      <c r="R1521" s="1"/>
      <c r="S1521" s="1"/>
      <c r="T1521" s="1"/>
      <c r="U1521" s="1"/>
      <c r="V1521" s="1"/>
      <c r="W1521" s="142"/>
    </row>
    <row r="1522" spans="1:23" ht="25.2" x14ac:dyDescent="0.3">
      <c r="A1522" s="16">
        <v>127</v>
      </c>
      <c r="B1522" s="16">
        <v>9200145768</v>
      </c>
      <c r="C1522" s="16" t="s">
        <v>1565</v>
      </c>
      <c r="D1522" s="16" t="s">
        <v>43</v>
      </c>
      <c r="E1522" s="16" t="s">
        <v>123</v>
      </c>
      <c r="F1522" s="39" t="s">
        <v>1566</v>
      </c>
      <c r="G1522" s="16">
        <v>2</v>
      </c>
      <c r="H1522" s="16" t="s">
        <v>28</v>
      </c>
      <c r="I1522" s="16">
        <v>56800</v>
      </c>
      <c r="J1522" s="16">
        <f>G1522*I1522</f>
        <v>113600</v>
      </c>
      <c r="K1522" s="16">
        <v>2</v>
      </c>
      <c r="L1522" s="16" t="s">
        <v>28</v>
      </c>
      <c r="M1522" s="16" t="s">
        <v>91</v>
      </c>
      <c r="N1522" s="16" t="s">
        <v>1630</v>
      </c>
      <c r="O1522" s="16">
        <v>2</v>
      </c>
      <c r="P1522" s="16">
        <v>56800</v>
      </c>
      <c r="Q1522" s="16">
        <f>O1522*P1522</f>
        <v>113600</v>
      </c>
      <c r="R1522" s="18">
        <v>0</v>
      </c>
      <c r="S1522" s="16">
        <f>Q1522*R1522</f>
        <v>0</v>
      </c>
      <c r="T1522" s="16">
        <f>Q1522+S1522</f>
        <v>113600</v>
      </c>
      <c r="U1522" s="16" t="s">
        <v>1693</v>
      </c>
      <c r="V1522" s="19" t="s">
        <v>1692</v>
      </c>
      <c r="W1522" s="142" t="s">
        <v>1750</v>
      </c>
    </row>
    <row r="1523" spans="1:23" x14ac:dyDescent="0.3">
      <c r="A1523" s="1"/>
      <c r="B1523" s="1"/>
      <c r="C1523" s="1"/>
      <c r="D1523" s="1"/>
      <c r="E1523" s="16" t="s">
        <v>123</v>
      </c>
      <c r="F1523" s="16" t="s">
        <v>1567</v>
      </c>
      <c r="G1523" s="16">
        <v>2</v>
      </c>
      <c r="H1523" s="16" t="s">
        <v>87</v>
      </c>
      <c r="I1523" s="16">
        <v>6000</v>
      </c>
      <c r="J1523" s="16">
        <f t="shared" ref="J1523:J1525" si="333">G1523*I1523</f>
        <v>12000</v>
      </c>
      <c r="K1523" s="16">
        <v>1</v>
      </c>
      <c r="L1523" s="16" t="s">
        <v>28</v>
      </c>
      <c r="M1523" s="16" t="s">
        <v>91</v>
      </c>
      <c r="N1523" s="16" t="s">
        <v>1679</v>
      </c>
      <c r="O1523" s="16">
        <v>2</v>
      </c>
      <c r="P1523" s="16">
        <v>6000</v>
      </c>
      <c r="Q1523" s="16">
        <f t="shared" ref="Q1523:Q1525" si="334">O1523*P1523</f>
        <v>12000</v>
      </c>
      <c r="R1523" s="18">
        <v>0</v>
      </c>
      <c r="S1523" s="16">
        <f t="shared" ref="S1523:S1525" si="335">Q1523*R1523</f>
        <v>0</v>
      </c>
      <c r="T1523" s="16">
        <f t="shared" ref="T1523:T1525" si="336">Q1523+S1523</f>
        <v>12000</v>
      </c>
      <c r="U1523" s="16" t="s">
        <v>1693</v>
      </c>
      <c r="V1523" s="19" t="s">
        <v>1692</v>
      </c>
      <c r="W1523" s="142" t="s">
        <v>1750</v>
      </c>
    </row>
    <row r="1524" spans="1:23" x14ac:dyDescent="0.3">
      <c r="A1524" s="1"/>
      <c r="B1524" s="1"/>
      <c r="C1524" s="1"/>
      <c r="D1524" s="1"/>
      <c r="E1524" s="16" t="s">
        <v>123</v>
      </c>
      <c r="F1524" s="16" t="s">
        <v>1568</v>
      </c>
      <c r="G1524" s="16">
        <v>50</v>
      </c>
      <c r="H1524" s="16" t="s">
        <v>60</v>
      </c>
      <c r="I1524" s="16">
        <v>145</v>
      </c>
      <c r="J1524" s="16">
        <f t="shared" si="333"/>
        <v>7250</v>
      </c>
      <c r="K1524" s="16">
        <v>50</v>
      </c>
      <c r="L1524" s="16" t="s">
        <v>60</v>
      </c>
      <c r="M1524" s="16" t="s">
        <v>91</v>
      </c>
      <c r="N1524" s="16" t="s">
        <v>1679</v>
      </c>
      <c r="O1524" s="16">
        <v>50</v>
      </c>
      <c r="P1524" s="16">
        <v>145</v>
      </c>
      <c r="Q1524" s="16">
        <f t="shared" si="334"/>
        <v>7250</v>
      </c>
      <c r="R1524" s="18">
        <v>0</v>
      </c>
      <c r="S1524" s="16">
        <f t="shared" si="335"/>
        <v>0</v>
      </c>
      <c r="T1524" s="16">
        <f t="shared" si="336"/>
        <v>7250</v>
      </c>
      <c r="U1524" s="16" t="s">
        <v>1693</v>
      </c>
      <c r="V1524" s="19" t="s">
        <v>1692</v>
      </c>
      <c r="W1524" s="142" t="s">
        <v>1750</v>
      </c>
    </row>
    <row r="1525" spans="1:23" x14ac:dyDescent="0.3">
      <c r="A1525" s="1"/>
      <c r="B1525" s="1"/>
      <c r="C1525" s="1"/>
      <c r="D1525" s="1"/>
      <c r="E1525" s="16" t="s">
        <v>123</v>
      </c>
      <c r="F1525" s="16" t="s">
        <v>1569</v>
      </c>
      <c r="G1525" s="16">
        <v>12</v>
      </c>
      <c r="H1525" s="16" t="s">
        <v>28</v>
      </c>
      <c r="I1525" s="16">
        <v>2300</v>
      </c>
      <c r="J1525" s="16">
        <f t="shared" si="333"/>
        <v>27600</v>
      </c>
      <c r="K1525" s="16">
        <v>12</v>
      </c>
      <c r="L1525" s="16" t="s">
        <v>28</v>
      </c>
      <c r="M1525" s="16" t="s">
        <v>91</v>
      </c>
      <c r="N1525" s="16" t="s">
        <v>1678</v>
      </c>
      <c r="O1525" s="16">
        <v>12</v>
      </c>
      <c r="P1525" s="16">
        <v>2300</v>
      </c>
      <c r="Q1525" s="16">
        <f t="shared" si="334"/>
        <v>27600</v>
      </c>
      <c r="R1525" s="18">
        <v>0</v>
      </c>
      <c r="S1525" s="16">
        <f t="shared" si="335"/>
        <v>0</v>
      </c>
      <c r="T1525" s="16">
        <f t="shared" si="336"/>
        <v>27600</v>
      </c>
      <c r="U1525" s="16" t="s">
        <v>1693</v>
      </c>
      <c r="V1525" s="19" t="s">
        <v>1692</v>
      </c>
      <c r="W1525" s="142" t="s">
        <v>1750</v>
      </c>
    </row>
    <row r="1526" spans="1:23" x14ac:dyDescent="0.3">
      <c r="A1526" s="1"/>
      <c r="B1526" s="1"/>
      <c r="C1526" s="1"/>
      <c r="D1526" s="1"/>
      <c r="E1526" s="1"/>
      <c r="F1526" s="124" t="s">
        <v>39</v>
      </c>
      <c r="G1526" s="1"/>
      <c r="H1526" s="1"/>
      <c r="I1526" s="1"/>
      <c r="J1526" s="124">
        <f>SUM(J1522:J1525)</f>
        <v>160450</v>
      </c>
      <c r="K1526" s="1"/>
      <c r="L1526" s="1"/>
      <c r="M1526" s="1"/>
      <c r="N1526" s="1"/>
      <c r="O1526" s="1"/>
      <c r="P1526" s="1"/>
      <c r="Q1526" s="1"/>
      <c r="R1526" s="1"/>
      <c r="S1526" s="1"/>
      <c r="T1526" s="1"/>
      <c r="U1526" s="1"/>
      <c r="V1526" s="1"/>
      <c r="W1526" s="142"/>
    </row>
    <row r="1527" spans="1:23" x14ac:dyDescent="0.3">
      <c r="A1527" s="1"/>
      <c r="B1527" s="1"/>
      <c r="C1527" s="1"/>
      <c r="D1527" s="1"/>
      <c r="E1527" s="1"/>
      <c r="F1527" s="124" t="s">
        <v>187</v>
      </c>
      <c r="G1527" s="1"/>
      <c r="H1527" s="1"/>
      <c r="I1527" s="1"/>
      <c r="J1527" s="124">
        <f>J1526*0/100</f>
        <v>0</v>
      </c>
      <c r="K1527" s="1"/>
      <c r="L1527" s="1"/>
      <c r="M1527" s="1"/>
      <c r="N1527" s="1"/>
      <c r="O1527" s="1"/>
      <c r="P1527" s="1"/>
      <c r="Q1527" s="1"/>
      <c r="R1527" s="1"/>
      <c r="S1527" s="1"/>
      <c r="T1527" s="1"/>
      <c r="U1527" s="1"/>
      <c r="V1527" s="1"/>
      <c r="W1527" s="142"/>
    </row>
    <row r="1528" spans="1:23" x14ac:dyDescent="0.3">
      <c r="A1528" s="1"/>
      <c r="B1528" s="1"/>
      <c r="C1528" s="1"/>
      <c r="D1528" s="1"/>
      <c r="E1528" s="1"/>
      <c r="F1528" s="124" t="s">
        <v>41</v>
      </c>
      <c r="G1528" s="1"/>
      <c r="H1528" s="1"/>
      <c r="I1528" s="1"/>
      <c r="J1528" s="124">
        <f>SUM(J1526:J1527)</f>
        <v>160450</v>
      </c>
      <c r="K1528" s="1"/>
      <c r="L1528" s="1"/>
      <c r="M1528" s="1"/>
      <c r="N1528" s="1"/>
      <c r="O1528" s="1"/>
      <c r="P1528" s="1"/>
      <c r="Q1528" s="1"/>
      <c r="R1528" s="1"/>
      <c r="S1528" s="1"/>
      <c r="T1528" s="1">
        <f>SUM(T1522:T1527)</f>
        <v>160450</v>
      </c>
      <c r="U1528" s="1"/>
      <c r="V1528" s="1"/>
      <c r="W1528" s="142"/>
    </row>
    <row r="1529" spans="1:23" x14ac:dyDescent="0.3">
      <c r="A1529" s="1"/>
      <c r="B1529" s="1"/>
      <c r="C1529" s="1"/>
      <c r="D1529" s="1"/>
      <c r="E1529" s="1"/>
      <c r="F1529" s="124"/>
      <c r="G1529" s="1"/>
      <c r="H1529" s="1"/>
      <c r="I1529" s="1"/>
      <c r="J1529" s="124"/>
      <c r="K1529" s="1"/>
      <c r="L1529" s="1"/>
      <c r="M1529" s="1"/>
      <c r="N1529" s="1"/>
      <c r="O1529" s="1"/>
      <c r="P1529" s="1"/>
      <c r="Q1529" s="1"/>
      <c r="R1529" s="1"/>
      <c r="S1529" s="1"/>
      <c r="T1529" s="1"/>
      <c r="U1529" s="1"/>
      <c r="V1529" s="1"/>
      <c r="W1529" s="142"/>
    </row>
    <row r="1530" spans="1:23" ht="37.799999999999997" x14ac:dyDescent="0.3">
      <c r="A1530" s="16">
        <v>128</v>
      </c>
      <c r="B1530" s="16">
        <v>9200146435</v>
      </c>
      <c r="C1530" s="16" t="s">
        <v>1591</v>
      </c>
      <c r="D1530" s="16" t="s">
        <v>26</v>
      </c>
      <c r="E1530" s="16" t="s">
        <v>123</v>
      </c>
      <c r="F1530" s="39" t="s">
        <v>1592</v>
      </c>
      <c r="G1530" s="16">
        <v>40</v>
      </c>
      <c r="H1530" s="16" t="s">
        <v>28</v>
      </c>
      <c r="I1530" s="16">
        <v>1500</v>
      </c>
      <c r="J1530" s="16">
        <f>G1530*I1530</f>
        <v>60000</v>
      </c>
      <c r="K1530" s="16">
        <v>40</v>
      </c>
      <c r="L1530" s="16" t="s">
        <v>28</v>
      </c>
      <c r="M1530" s="16" t="s">
        <v>91</v>
      </c>
      <c r="N1530" s="16" t="s">
        <v>1694</v>
      </c>
      <c r="O1530" s="16">
        <v>40</v>
      </c>
      <c r="P1530" s="16">
        <v>1500</v>
      </c>
      <c r="Q1530" s="16">
        <f>O1530*P1530</f>
        <v>60000</v>
      </c>
      <c r="R1530" s="18">
        <v>0.18</v>
      </c>
      <c r="S1530" s="16">
        <f>Q1530*R1530</f>
        <v>10800</v>
      </c>
      <c r="T1530" s="16">
        <f>Q1530+S1530</f>
        <v>70800</v>
      </c>
      <c r="U1530" s="16" t="s">
        <v>1829</v>
      </c>
      <c r="V1530" s="19" t="s">
        <v>1828</v>
      </c>
      <c r="W1530" s="142" t="s">
        <v>1896</v>
      </c>
    </row>
    <row r="1531" spans="1:23" ht="75.599999999999994" x14ac:dyDescent="0.3">
      <c r="A1531" s="1"/>
      <c r="B1531" s="1"/>
      <c r="C1531" s="1"/>
      <c r="D1531" s="1"/>
      <c r="E1531" s="16" t="s">
        <v>123</v>
      </c>
      <c r="F1531" s="39" t="s">
        <v>1593</v>
      </c>
      <c r="G1531" s="16">
        <v>40</v>
      </c>
      <c r="H1531" s="16" t="s">
        <v>60</v>
      </c>
      <c r="I1531" s="16">
        <v>185</v>
      </c>
      <c r="J1531" s="16">
        <f t="shared" ref="J1531:J1551" si="337">G1531*I1531</f>
        <v>7400</v>
      </c>
      <c r="K1531" s="16"/>
      <c r="L1531" s="16"/>
      <c r="M1531" s="16"/>
      <c r="N1531" s="16"/>
      <c r="O1531" s="16">
        <v>31</v>
      </c>
      <c r="P1531" s="16">
        <v>185</v>
      </c>
      <c r="Q1531" s="16">
        <f t="shared" ref="Q1531:Q1551" si="338">O1531*P1531</f>
        <v>5735</v>
      </c>
      <c r="R1531" s="18">
        <v>0.18</v>
      </c>
      <c r="S1531" s="16">
        <f t="shared" ref="S1531:S1551" si="339">Q1531*R1531</f>
        <v>1032.3</v>
      </c>
      <c r="T1531" s="16">
        <f t="shared" ref="T1531:T1551" si="340">Q1531+S1531</f>
        <v>6767.3</v>
      </c>
      <c r="U1531" s="16" t="s">
        <v>1829</v>
      </c>
      <c r="V1531" s="19" t="s">
        <v>1828</v>
      </c>
      <c r="W1531" s="142" t="s">
        <v>1896</v>
      </c>
    </row>
    <row r="1532" spans="1:23" ht="75.599999999999994" x14ac:dyDescent="0.3">
      <c r="A1532" s="1"/>
      <c r="B1532" s="1"/>
      <c r="C1532" s="1"/>
      <c r="D1532" s="1"/>
      <c r="E1532" s="16" t="s">
        <v>123</v>
      </c>
      <c r="F1532" s="39" t="s">
        <v>1594</v>
      </c>
      <c r="G1532" s="16">
        <v>60</v>
      </c>
      <c r="H1532" s="16" t="s">
        <v>60</v>
      </c>
      <c r="I1532" s="16">
        <v>370</v>
      </c>
      <c r="J1532" s="16">
        <f t="shared" si="337"/>
        <v>22200</v>
      </c>
      <c r="K1532" s="16"/>
      <c r="L1532" s="16"/>
      <c r="M1532" s="16"/>
      <c r="N1532" s="16"/>
      <c r="O1532" s="16">
        <v>47</v>
      </c>
      <c r="P1532" s="16">
        <v>370</v>
      </c>
      <c r="Q1532" s="16">
        <f t="shared" si="338"/>
        <v>17390</v>
      </c>
      <c r="R1532" s="18">
        <v>0.18</v>
      </c>
      <c r="S1532" s="16">
        <f t="shared" si="339"/>
        <v>3130.2</v>
      </c>
      <c r="T1532" s="16">
        <f t="shared" si="340"/>
        <v>20520.2</v>
      </c>
      <c r="U1532" s="16" t="s">
        <v>1829</v>
      </c>
      <c r="V1532" s="19" t="s">
        <v>1828</v>
      </c>
      <c r="W1532" s="142" t="s">
        <v>1896</v>
      </c>
    </row>
    <row r="1533" spans="1:23" ht="75.599999999999994" x14ac:dyDescent="0.3">
      <c r="A1533" s="1"/>
      <c r="B1533" s="1"/>
      <c r="C1533" s="1"/>
      <c r="D1533" s="1"/>
      <c r="E1533" s="16" t="s">
        <v>123</v>
      </c>
      <c r="F1533" s="39" t="s">
        <v>1595</v>
      </c>
      <c r="G1533" s="16">
        <v>25</v>
      </c>
      <c r="H1533" s="16" t="s">
        <v>60</v>
      </c>
      <c r="I1533" s="16">
        <v>296</v>
      </c>
      <c r="J1533" s="16">
        <f t="shared" si="337"/>
        <v>7400</v>
      </c>
      <c r="K1533" s="16"/>
      <c r="L1533" s="16"/>
      <c r="M1533" s="16"/>
      <c r="N1533" s="16"/>
      <c r="O1533" s="16">
        <v>20</v>
      </c>
      <c r="P1533" s="16">
        <v>296</v>
      </c>
      <c r="Q1533" s="16">
        <f t="shared" si="338"/>
        <v>5920</v>
      </c>
      <c r="R1533" s="18">
        <v>0.18</v>
      </c>
      <c r="S1533" s="16">
        <f t="shared" si="339"/>
        <v>1065.5999999999999</v>
      </c>
      <c r="T1533" s="16">
        <f t="shared" si="340"/>
        <v>6985.6</v>
      </c>
      <c r="U1533" s="16" t="s">
        <v>1829</v>
      </c>
      <c r="V1533" s="19" t="s">
        <v>1828</v>
      </c>
      <c r="W1533" s="142" t="s">
        <v>1896</v>
      </c>
    </row>
    <row r="1534" spans="1:23" ht="75.599999999999994" x14ac:dyDescent="0.3">
      <c r="A1534" s="1"/>
      <c r="B1534" s="1"/>
      <c r="C1534" s="1"/>
      <c r="D1534" s="1"/>
      <c r="E1534" s="16" t="s">
        <v>123</v>
      </c>
      <c r="F1534" s="39" t="s">
        <v>1596</v>
      </c>
      <c r="G1534" s="16">
        <v>40</v>
      </c>
      <c r="H1534" s="16" t="s">
        <v>60</v>
      </c>
      <c r="I1534" s="16">
        <v>890</v>
      </c>
      <c r="J1534" s="16">
        <f t="shared" si="337"/>
        <v>35600</v>
      </c>
      <c r="K1534" s="16"/>
      <c r="L1534" s="16"/>
      <c r="M1534" s="16"/>
      <c r="N1534" s="16"/>
      <c r="O1534" s="16">
        <v>40</v>
      </c>
      <c r="P1534" s="16">
        <v>890</v>
      </c>
      <c r="Q1534" s="16">
        <f t="shared" si="338"/>
        <v>35600</v>
      </c>
      <c r="R1534" s="18">
        <v>0.18</v>
      </c>
      <c r="S1534" s="16">
        <f t="shared" si="339"/>
        <v>6408</v>
      </c>
      <c r="T1534" s="16">
        <f t="shared" si="340"/>
        <v>42008</v>
      </c>
      <c r="U1534" s="16" t="s">
        <v>1829</v>
      </c>
      <c r="V1534" s="19" t="s">
        <v>1828</v>
      </c>
      <c r="W1534" s="142" t="s">
        <v>1896</v>
      </c>
    </row>
    <row r="1535" spans="1:23" x14ac:dyDescent="0.3">
      <c r="A1535" s="1"/>
      <c r="B1535" s="1"/>
      <c r="C1535" s="1"/>
      <c r="D1535" s="1"/>
      <c r="E1535" s="16" t="s">
        <v>123</v>
      </c>
      <c r="F1535" s="16" t="s">
        <v>1597</v>
      </c>
      <c r="G1535" s="16">
        <v>1</v>
      </c>
      <c r="H1535" s="16" t="s">
        <v>87</v>
      </c>
      <c r="I1535" s="16">
        <v>11910</v>
      </c>
      <c r="J1535" s="16">
        <f t="shared" si="337"/>
        <v>11910</v>
      </c>
      <c r="K1535" s="16">
        <v>20</v>
      </c>
      <c r="L1535" s="16" t="s">
        <v>111</v>
      </c>
      <c r="M1535" s="16" t="s">
        <v>91</v>
      </c>
      <c r="N1535" s="16" t="s">
        <v>1787</v>
      </c>
      <c r="O1535" s="16">
        <v>1</v>
      </c>
      <c r="P1535" s="16">
        <v>11910</v>
      </c>
      <c r="Q1535" s="16">
        <f t="shared" si="338"/>
        <v>11910</v>
      </c>
      <c r="R1535" s="18">
        <v>0.18</v>
      </c>
      <c r="S1535" s="16">
        <f t="shared" si="339"/>
        <v>2143.7999999999997</v>
      </c>
      <c r="T1535" s="16">
        <f t="shared" si="340"/>
        <v>14053.8</v>
      </c>
      <c r="U1535" s="16" t="s">
        <v>1829</v>
      </c>
      <c r="V1535" s="19" t="s">
        <v>1828</v>
      </c>
      <c r="W1535" s="142" t="s">
        <v>1896</v>
      </c>
    </row>
    <row r="1536" spans="1:23" x14ac:dyDescent="0.3">
      <c r="A1536" s="1"/>
      <c r="B1536" s="1"/>
      <c r="C1536" s="1"/>
      <c r="D1536" s="1"/>
      <c r="E1536" s="16" t="s">
        <v>123</v>
      </c>
      <c r="F1536" s="16" t="s">
        <v>1598</v>
      </c>
      <c r="G1536" s="16">
        <v>2</v>
      </c>
      <c r="H1536" s="16" t="s">
        <v>28</v>
      </c>
      <c r="I1536" s="173">
        <v>4000</v>
      </c>
      <c r="J1536" s="16">
        <f t="shared" si="337"/>
        <v>8000</v>
      </c>
      <c r="K1536" s="16">
        <v>2</v>
      </c>
      <c r="L1536" s="16" t="s">
        <v>28</v>
      </c>
      <c r="M1536" s="16" t="s">
        <v>91</v>
      </c>
      <c r="N1536" s="16" t="s">
        <v>1788</v>
      </c>
      <c r="O1536" s="16">
        <v>2</v>
      </c>
      <c r="P1536" s="173">
        <v>4000</v>
      </c>
      <c r="Q1536" s="16">
        <f t="shared" si="338"/>
        <v>8000</v>
      </c>
      <c r="R1536" s="18">
        <v>0.18</v>
      </c>
      <c r="S1536" s="16">
        <f t="shared" si="339"/>
        <v>1440</v>
      </c>
      <c r="T1536" s="16">
        <f t="shared" si="340"/>
        <v>9440</v>
      </c>
      <c r="U1536" s="16" t="s">
        <v>1829</v>
      </c>
      <c r="V1536" s="19" t="s">
        <v>1828</v>
      </c>
      <c r="W1536" s="142" t="s">
        <v>1896</v>
      </c>
    </row>
    <row r="1537" spans="1:23" ht="25.2" x14ac:dyDescent="0.3">
      <c r="A1537" s="1"/>
      <c r="B1537" s="1"/>
      <c r="C1537" s="1"/>
      <c r="D1537" s="1"/>
      <c r="E1537" s="16" t="s">
        <v>123</v>
      </c>
      <c r="F1537" s="39" t="s">
        <v>1599</v>
      </c>
      <c r="G1537" s="16">
        <v>2</v>
      </c>
      <c r="H1537" s="16" t="s">
        <v>28</v>
      </c>
      <c r="I1537" s="16">
        <v>3650</v>
      </c>
      <c r="J1537" s="16">
        <f t="shared" si="337"/>
        <v>7300</v>
      </c>
      <c r="K1537" s="16"/>
      <c r="L1537" s="16"/>
      <c r="M1537" s="16"/>
      <c r="N1537" s="16"/>
      <c r="O1537" s="16">
        <v>2</v>
      </c>
      <c r="P1537" s="16">
        <v>3650</v>
      </c>
      <c r="Q1537" s="16">
        <f t="shared" si="338"/>
        <v>7300</v>
      </c>
      <c r="R1537" s="18">
        <v>0.18</v>
      </c>
      <c r="S1537" s="16">
        <f t="shared" si="339"/>
        <v>1314</v>
      </c>
      <c r="T1537" s="16">
        <f t="shared" si="340"/>
        <v>8614</v>
      </c>
      <c r="U1537" s="16" t="s">
        <v>1829</v>
      </c>
      <c r="V1537" s="19" t="s">
        <v>1828</v>
      </c>
      <c r="W1537" s="142" t="s">
        <v>1896</v>
      </c>
    </row>
    <row r="1538" spans="1:23" ht="37.799999999999997" x14ac:dyDescent="0.3">
      <c r="A1538" s="1"/>
      <c r="B1538" s="1"/>
      <c r="C1538" s="1"/>
      <c r="D1538" s="1"/>
      <c r="E1538" s="16" t="s">
        <v>123</v>
      </c>
      <c r="F1538" s="39" t="s">
        <v>1600</v>
      </c>
      <c r="G1538" s="16">
        <v>1</v>
      </c>
      <c r="H1538" s="16" t="s">
        <v>87</v>
      </c>
      <c r="I1538" s="16">
        <v>8500</v>
      </c>
      <c r="J1538" s="16">
        <f t="shared" si="337"/>
        <v>8500</v>
      </c>
      <c r="K1538" s="16"/>
      <c r="L1538" s="16"/>
      <c r="M1538" s="16"/>
      <c r="N1538" s="16"/>
      <c r="O1538" s="16">
        <v>1</v>
      </c>
      <c r="P1538" s="16">
        <v>8500</v>
      </c>
      <c r="Q1538" s="16">
        <f t="shared" si="338"/>
        <v>8500</v>
      </c>
      <c r="R1538" s="18">
        <v>0.18</v>
      </c>
      <c r="S1538" s="16">
        <f t="shared" si="339"/>
        <v>1530</v>
      </c>
      <c r="T1538" s="16">
        <f t="shared" si="340"/>
        <v>10030</v>
      </c>
      <c r="U1538" s="16" t="s">
        <v>1829</v>
      </c>
      <c r="V1538" s="19" t="s">
        <v>1828</v>
      </c>
      <c r="W1538" s="142" t="s">
        <v>1896</v>
      </c>
    </row>
    <row r="1539" spans="1:23" x14ac:dyDescent="0.3">
      <c r="A1539" s="1"/>
      <c r="B1539" s="1"/>
      <c r="C1539" s="1"/>
      <c r="D1539" s="1"/>
      <c r="E1539" s="16" t="s">
        <v>123</v>
      </c>
      <c r="F1539" s="16" t="s">
        <v>1601</v>
      </c>
      <c r="G1539" s="16">
        <v>20</v>
      </c>
      <c r="H1539" s="16" t="s">
        <v>308</v>
      </c>
      <c r="I1539" s="16">
        <v>222</v>
      </c>
      <c r="J1539" s="16">
        <f t="shared" si="337"/>
        <v>4440</v>
      </c>
      <c r="K1539" s="16"/>
      <c r="L1539" s="16"/>
      <c r="M1539" s="16"/>
      <c r="N1539" s="16"/>
      <c r="O1539" s="16">
        <v>17</v>
      </c>
      <c r="P1539" s="16">
        <v>222</v>
      </c>
      <c r="Q1539" s="16">
        <f t="shared" si="338"/>
        <v>3774</v>
      </c>
      <c r="R1539" s="18">
        <v>0.18</v>
      </c>
      <c r="S1539" s="16">
        <f t="shared" si="339"/>
        <v>679.31999999999994</v>
      </c>
      <c r="T1539" s="16">
        <f t="shared" si="340"/>
        <v>4453.32</v>
      </c>
      <c r="U1539" s="16" t="s">
        <v>1829</v>
      </c>
      <c r="V1539" s="19" t="s">
        <v>1828</v>
      </c>
      <c r="W1539" s="142" t="s">
        <v>1896</v>
      </c>
    </row>
    <row r="1540" spans="1:23" x14ac:dyDescent="0.3">
      <c r="A1540" s="1"/>
      <c r="B1540" s="1"/>
      <c r="C1540" s="1"/>
      <c r="D1540" s="1"/>
      <c r="E1540" s="16" t="s">
        <v>123</v>
      </c>
      <c r="F1540" s="16" t="s">
        <v>1602</v>
      </c>
      <c r="G1540" s="16">
        <v>200</v>
      </c>
      <c r="H1540" s="16" t="s">
        <v>111</v>
      </c>
      <c r="I1540" s="16">
        <v>370</v>
      </c>
      <c r="J1540" s="16">
        <f t="shared" si="337"/>
        <v>74000</v>
      </c>
      <c r="K1540" s="16">
        <v>200</v>
      </c>
      <c r="L1540" s="16" t="s">
        <v>111</v>
      </c>
      <c r="M1540" s="16" t="s">
        <v>91</v>
      </c>
      <c r="N1540" s="16" t="s">
        <v>1701</v>
      </c>
      <c r="O1540" s="16">
        <v>200</v>
      </c>
      <c r="P1540" s="16">
        <v>370</v>
      </c>
      <c r="Q1540" s="16">
        <f t="shared" si="338"/>
        <v>74000</v>
      </c>
      <c r="R1540" s="18">
        <v>0.18</v>
      </c>
      <c r="S1540" s="16">
        <f t="shared" si="339"/>
        <v>13320</v>
      </c>
      <c r="T1540" s="16">
        <f t="shared" si="340"/>
        <v>87320</v>
      </c>
      <c r="U1540" s="16" t="s">
        <v>1829</v>
      </c>
      <c r="V1540" s="19" t="s">
        <v>1828</v>
      </c>
      <c r="W1540" s="142" t="s">
        <v>1896</v>
      </c>
    </row>
    <row r="1541" spans="1:23" x14ac:dyDescent="0.3">
      <c r="A1541" s="1"/>
      <c r="B1541" s="1"/>
      <c r="C1541" s="1"/>
      <c r="D1541" s="1"/>
      <c r="E1541" s="16" t="s">
        <v>123</v>
      </c>
      <c r="F1541" s="16" t="s">
        <v>1603</v>
      </c>
      <c r="G1541" s="16">
        <v>200</v>
      </c>
      <c r="H1541" s="16" t="s">
        <v>308</v>
      </c>
      <c r="I1541" s="16">
        <v>75</v>
      </c>
      <c r="J1541" s="16">
        <f t="shared" si="337"/>
        <v>15000</v>
      </c>
      <c r="K1541" s="16"/>
      <c r="L1541" s="16"/>
      <c r="M1541" s="16"/>
      <c r="N1541" s="16"/>
      <c r="O1541" s="16">
        <v>200</v>
      </c>
      <c r="P1541" s="16">
        <v>75</v>
      </c>
      <c r="Q1541" s="16">
        <f t="shared" si="338"/>
        <v>15000</v>
      </c>
      <c r="R1541" s="18">
        <v>0.18</v>
      </c>
      <c r="S1541" s="16">
        <f t="shared" si="339"/>
        <v>2700</v>
      </c>
      <c r="T1541" s="16">
        <f t="shared" si="340"/>
        <v>17700</v>
      </c>
      <c r="U1541" s="16" t="s">
        <v>1829</v>
      </c>
      <c r="V1541" s="19" t="s">
        <v>1828</v>
      </c>
      <c r="W1541" s="142" t="s">
        <v>1896</v>
      </c>
    </row>
    <row r="1542" spans="1:23" ht="25.2" x14ac:dyDescent="0.3">
      <c r="A1542" s="1"/>
      <c r="B1542" s="1"/>
      <c r="C1542" s="1"/>
      <c r="D1542" s="1"/>
      <c r="E1542" s="16" t="s">
        <v>123</v>
      </c>
      <c r="F1542" s="39" t="s">
        <v>1604</v>
      </c>
      <c r="G1542" s="16">
        <v>2</v>
      </c>
      <c r="H1542" s="16" t="s">
        <v>28</v>
      </c>
      <c r="I1542" s="16">
        <v>13500</v>
      </c>
      <c r="J1542" s="16">
        <f t="shared" si="337"/>
        <v>27000</v>
      </c>
      <c r="K1542" s="16">
        <v>2</v>
      </c>
      <c r="L1542" s="16" t="s">
        <v>28</v>
      </c>
      <c r="M1542" s="16" t="s">
        <v>91</v>
      </c>
      <c r="N1542" s="16" t="s">
        <v>1651</v>
      </c>
      <c r="O1542" s="16">
        <v>2</v>
      </c>
      <c r="P1542" s="16">
        <v>13500</v>
      </c>
      <c r="Q1542" s="16">
        <f t="shared" si="338"/>
        <v>27000</v>
      </c>
      <c r="R1542" s="18">
        <v>0.18</v>
      </c>
      <c r="S1542" s="16">
        <f t="shared" si="339"/>
        <v>4860</v>
      </c>
      <c r="T1542" s="16">
        <f t="shared" si="340"/>
        <v>31860</v>
      </c>
      <c r="U1542" s="16" t="s">
        <v>1829</v>
      </c>
      <c r="V1542" s="19" t="s">
        <v>1828</v>
      </c>
      <c r="W1542" s="142" t="s">
        <v>1896</v>
      </c>
    </row>
    <row r="1543" spans="1:23" ht="25.2" x14ac:dyDescent="0.3">
      <c r="A1543" s="1"/>
      <c r="B1543" s="1"/>
      <c r="C1543" s="1"/>
      <c r="D1543" s="1"/>
      <c r="E1543" s="16" t="s">
        <v>123</v>
      </c>
      <c r="F1543" s="39" t="s">
        <v>1605</v>
      </c>
      <c r="G1543" s="16">
        <v>1</v>
      </c>
      <c r="H1543" s="16" t="s">
        <v>28</v>
      </c>
      <c r="I1543" s="16">
        <v>6500</v>
      </c>
      <c r="J1543" s="16">
        <f t="shared" si="337"/>
        <v>6500</v>
      </c>
      <c r="K1543" s="16">
        <v>1</v>
      </c>
      <c r="L1543" s="16" t="s">
        <v>28</v>
      </c>
      <c r="M1543" s="16" t="s">
        <v>91</v>
      </c>
      <c r="N1543" s="16" t="s">
        <v>1651</v>
      </c>
      <c r="O1543" s="16">
        <v>1</v>
      </c>
      <c r="P1543" s="16">
        <v>6500</v>
      </c>
      <c r="Q1543" s="16">
        <f t="shared" si="338"/>
        <v>6500</v>
      </c>
      <c r="R1543" s="18">
        <v>0.18</v>
      </c>
      <c r="S1543" s="16">
        <f t="shared" si="339"/>
        <v>1170</v>
      </c>
      <c r="T1543" s="16">
        <f t="shared" si="340"/>
        <v>7670</v>
      </c>
      <c r="U1543" s="16" t="s">
        <v>1829</v>
      </c>
      <c r="V1543" s="19" t="s">
        <v>1828</v>
      </c>
      <c r="W1543" s="142" t="s">
        <v>1896</v>
      </c>
    </row>
    <row r="1544" spans="1:23" ht="25.2" x14ac:dyDescent="0.3">
      <c r="A1544" s="1"/>
      <c r="B1544" s="1"/>
      <c r="C1544" s="1"/>
      <c r="D1544" s="1"/>
      <c r="E1544" s="16" t="s">
        <v>123</v>
      </c>
      <c r="F1544" s="174" t="s">
        <v>1606</v>
      </c>
      <c r="G1544" s="16">
        <v>1</v>
      </c>
      <c r="H1544" s="16" t="s">
        <v>28</v>
      </c>
      <c r="I1544" s="16">
        <v>7350</v>
      </c>
      <c r="J1544" s="16">
        <f t="shared" si="337"/>
        <v>7350</v>
      </c>
      <c r="K1544" s="16">
        <v>1</v>
      </c>
      <c r="L1544" s="16" t="s">
        <v>28</v>
      </c>
      <c r="M1544" s="16" t="s">
        <v>91</v>
      </c>
      <c r="N1544" s="16" t="s">
        <v>1651</v>
      </c>
      <c r="O1544" s="16">
        <v>1</v>
      </c>
      <c r="P1544" s="16">
        <v>7350</v>
      </c>
      <c r="Q1544" s="16">
        <f t="shared" si="338"/>
        <v>7350</v>
      </c>
      <c r="R1544" s="18">
        <v>0.18</v>
      </c>
      <c r="S1544" s="16">
        <f t="shared" si="339"/>
        <v>1323</v>
      </c>
      <c r="T1544" s="16">
        <f t="shared" si="340"/>
        <v>8673</v>
      </c>
      <c r="U1544" s="16" t="s">
        <v>1829</v>
      </c>
      <c r="V1544" s="19" t="s">
        <v>1828</v>
      </c>
      <c r="W1544" s="142" t="s">
        <v>1896</v>
      </c>
    </row>
    <row r="1545" spans="1:23" ht="25.2" x14ac:dyDescent="0.3">
      <c r="A1545" s="1"/>
      <c r="B1545" s="1"/>
      <c r="C1545" s="1"/>
      <c r="D1545" s="1"/>
      <c r="E1545" s="16" t="s">
        <v>123</v>
      </c>
      <c r="F1545" s="39" t="s">
        <v>1607</v>
      </c>
      <c r="G1545" s="16">
        <v>1</v>
      </c>
      <c r="H1545" s="16" t="s">
        <v>28</v>
      </c>
      <c r="I1545" s="16">
        <v>5500</v>
      </c>
      <c r="J1545" s="16">
        <f t="shared" si="337"/>
        <v>5500</v>
      </c>
      <c r="K1545" s="16">
        <v>1</v>
      </c>
      <c r="L1545" s="16" t="s">
        <v>28</v>
      </c>
      <c r="M1545" s="16" t="s">
        <v>91</v>
      </c>
      <c r="N1545" s="16" t="s">
        <v>1651</v>
      </c>
      <c r="O1545" s="16">
        <v>1</v>
      </c>
      <c r="P1545" s="16">
        <v>5500</v>
      </c>
      <c r="Q1545" s="16">
        <f t="shared" si="338"/>
        <v>5500</v>
      </c>
      <c r="R1545" s="18">
        <v>0.18</v>
      </c>
      <c r="S1545" s="16">
        <f t="shared" si="339"/>
        <v>990</v>
      </c>
      <c r="T1545" s="16">
        <f t="shared" si="340"/>
        <v>6490</v>
      </c>
      <c r="U1545" s="16" t="s">
        <v>1829</v>
      </c>
      <c r="V1545" s="19" t="s">
        <v>1828</v>
      </c>
      <c r="W1545" s="142" t="s">
        <v>1896</v>
      </c>
    </row>
    <row r="1546" spans="1:23" ht="25.2" x14ac:dyDescent="0.3">
      <c r="A1546" s="1"/>
      <c r="B1546" s="1"/>
      <c r="C1546" s="1"/>
      <c r="D1546" s="1"/>
      <c r="E1546" s="16" t="s">
        <v>123</v>
      </c>
      <c r="F1546" s="39" t="s">
        <v>1608</v>
      </c>
      <c r="G1546" s="16">
        <v>1</v>
      </c>
      <c r="H1546" s="16" t="s">
        <v>28</v>
      </c>
      <c r="I1546" s="16">
        <v>22200</v>
      </c>
      <c r="J1546" s="16">
        <f t="shared" si="337"/>
        <v>22200</v>
      </c>
      <c r="K1546" s="16">
        <v>1</v>
      </c>
      <c r="L1546" s="16" t="s">
        <v>28</v>
      </c>
      <c r="M1546" s="16" t="s">
        <v>91</v>
      </c>
      <c r="N1546" s="16" t="s">
        <v>1651</v>
      </c>
      <c r="O1546" s="16">
        <v>1</v>
      </c>
      <c r="P1546" s="16">
        <v>22200</v>
      </c>
      <c r="Q1546" s="16">
        <f t="shared" si="338"/>
        <v>22200</v>
      </c>
      <c r="R1546" s="18">
        <v>0.18</v>
      </c>
      <c r="S1546" s="16">
        <f t="shared" si="339"/>
        <v>3996</v>
      </c>
      <c r="T1546" s="16">
        <f t="shared" si="340"/>
        <v>26196</v>
      </c>
      <c r="U1546" s="16" t="s">
        <v>1829</v>
      </c>
      <c r="V1546" s="19" t="s">
        <v>1828</v>
      </c>
      <c r="W1546" s="142" t="s">
        <v>1896</v>
      </c>
    </row>
    <row r="1547" spans="1:23" x14ac:dyDescent="0.3">
      <c r="A1547" s="1"/>
      <c r="B1547" s="1"/>
      <c r="C1547" s="1"/>
      <c r="D1547" s="1"/>
      <c r="E1547" s="16" t="s">
        <v>123</v>
      </c>
      <c r="F1547" s="16" t="s">
        <v>1609</v>
      </c>
      <c r="G1547" s="16">
        <v>1</v>
      </c>
      <c r="H1547" s="16" t="s">
        <v>28</v>
      </c>
      <c r="I1547" s="16">
        <v>3200</v>
      </c>
      <c r="J1547" s="16">
        <f t="shared" si="337"/>
        <v>3200</v>
      </c>
      <c r="K1547" s="16">
        <v>1</v>
      </c>
      <c r="L1547" s="16" t="s">
        <v>28</v>
      </c>
      <c r="M1547" s="16" t="s">
        <v>91</v>
      </c>
      <c r="N1547" s="16" t="s">
        <v>1809</v>
      </c>
      <c r="O1547" s="16">
        <v>1</v>
      </c>
      <c r="P1547" s="16">
        <v>3200</v>
      </c>
      <c r="Q1547" s="16">
        <f t="shared" si="338"/>
        <v>3200</v>
      </c>
      <c r="R1547" s="18">
        <v>0.18</v>
      </c>
      <c r="S1547" s="16">
        <f t="shared" si="339"/>
        <v>576</v>
      </c>
      <c r="T1547" s="16">
        <f t="shared" si="340"/>
        <v>3776</v>
      </c>
      <c r="U1547" s="16" t="s">
        <v>1829</v>
      </c>
      <c r="V1547" s="19" t="s">
        <v>1828</v>
      </c>
      <c r="W1547" s="142" t="s">
        <v>1896</v>
      </c>
    </row>
    <row r="1548" spans="1:23" x14ac:dyDescent="0.3">
      <c r="A1548" s="1"/>
      <c r="B1548" s="1"/>
      <c r="C1548" s="1"/>
      <c r="D1548" s="1"/>
      <c r="E1548" s="16" t="s">
        <v>123</v>
      </c>
      <c r="F1548" s="16" t="s">
        <v>1610</v>
      </c>
      <c r="G1548" s="16">
        <v>6</v>
      </c>
      <c r="H1548" s="16" t="s">
        <v>87</v>
      </c>
      <c r="I1548" s="16">
        <v>750</v>
      </c>
      <c r="J1548" s="16">
        <f t="shared" si="337"/>
        <v>4500</v>
      </c>
      <c r="K1548" s="16" t="s">
        <v>1718</v>
      </c>
      <c r="L1548" s="16"/>
      <c r="M1548" s="16" t="s">
        <v>91</v>
      </c>
      <c r="N1548" s="16" t="s">
        <v>1719</v>
      </c>
      <c r="O1548" s="16">
        <v>6</v>
      </c>
      <c r="P1548" s="16">
        <v>750</v>
      </c>
      <c r="Q1548" s="16">
        <f t="shared" si="338"/>
        <v>4500</v>
      </c>
      <c r="R1548" s="18">
        <v>0.18</v>
      </c>
      <c r="S1548" s="16">
        <f t="shared" si="339"/>
        <v>810</v>
      </c>
      <c r="T1548" s="16">
        <f t="shared" si="340"/>
        <v>5310</v>
      </c>
      <c r="U1548" s="16" t="s">
        <v>1829</v>
      </c>
      <c r="V1548" s="19" t="s">
        <v>1828</v>
      </c>
      <c r="W1548" s="142" t="s">
        <v>1896</v>
      </c>
    </row>
    <row r="1549" spans="1:23" x14ac:dyDescent="0.3">
      <c r="A1549" s="1"/>
      <c r="B1549" s="1"/>
      <c r="C1549" s="1"/>
      <c r="D1549" s="1"/>
      <c r="E1549" s="16" t="s">
        <v>123</v>
      </c>
      <c r="F1549" s="16" t="s">
        <v>1611</v>
      </c>
      <c r="G1549" s="16">
        <v>1300</v>
      </c>
      <c r="H1549" s="16" t="s">
        <v>111</v>
      </c>
      <c r="I1549" s="16">
        <v>100</v>
      </c>
      <c r="J1549" s="16">
        <f t="shared" si="337"/>
        <v>130000</v>
      </c>
      <c r="K1549" s="16"/>
      <c r="L1549" s="16"/>
      <c r="M1549" s="16"/>
      <c r="N1549" s="16"/>
      <c r="O1549" s="16">
        <v>1300</v>
      </c>
      <c r="P1549" s="16">
        <v>100</v>
      </c>
      <c r="Q1549" s="16">
        <f t="shared" si="338"/>
        <v>130000</v>
      </c>
      <c r="R1549" s="18">
        <v>0.18</v>
      </c>
      <c r="S1549" s="16">
        <f t="shared" si="339"/>
        <v>23400</v>
      </c>
      <c r="T1549" s="16">
        <f t="shared" si="340"/>
        <v>153400</v>
      </c>
      <c r="U1549" s="16" t="s">
        <v>1829</v>
      </c>
      <c r="V1549" s="19" t="s">
        <v>1828</v>
      </c>
      <c r="W1549" s="142" t="s">
        <v>1896</v>
      </c>
    </row>
    <row r="1550" spans="1:23" x14ac:dyDescent="0.3">
      <c r="A1550" s="1"/>
      <c r="B1550" s="1"/>
      <c r="C1550" s="1"/>
      <c r="D1550" s="1"/>
      <c r="E1550" s="16" t="s">
        <v>123</v>
      </c>
      <c r="F1550" s="16" t="s">
        <v>1612</v>
      </c>
      <c r="G1550" s="16">
        <v>200</v>
      </c>
      <c r="H1550" s="16" t="s">
        <v>252</v>
      </c>
      <c r="I1550" s="16">
        <v>20</v>
      </c>
      <c r="J1550" s="16">
        <f t="shared" si="337"/>
        <v>4000</v>
      </c>
      <c r="K1550" s="16"/>
      <c r="L1550" s="16"/>
      <c r="M1550" s="16"/>
      <c r="N1550" s="16"/>
      <c r="O1550" s="16">
        <v>80</v>
      </c>
      <c r="P1550" s="16">
        <v>20</v>
      </c>
      <c r="Q1550" s="16">
        <f t="shared" si="338"/>
        <v>1600</v>
      </c>
      <c r="R1550" s="18">
        <v>0.18</v>
      </c>
      <c r="S1550" s="16">
        <f t="shared" si="339"/>
        <v>288</v>
      </c>
      <c r="T1550" s="16">
        <f t="shared" si="340"/>
        <v>1888</v>
      </c>
      <c r="U1550" s="16" t="s">
        <v>1829</v>
      </c>
      <c r="V1550" s="19" t="s">
        <v>1828</v>
      </c>
      <c r="W1550" s="142" t="s">
        <v>1896</v>
      </c>
    </row>
    <row r="1551" spans="1:23" x14ac:dyDescent="0.3">
      <c r="A1551" s="1"/>
      <c r="B1551" s="1"/>
      <c r="C1551" s="1"/>
      <c r="D1551" s="1"/>
      <c r="E1551" s="16" t="s">
        <v>123</v>
      </c>
      <c r="F1551" s="16" t="s">
        <v>1613</v>
      </c>
      <c r="G1551" s="16">
        <v>5</v>
      </c>
      <c r="H1551" s="16" t="s">
        <v>28</v>
      </c>
      <c r="I1551" s="16">
        <v>3000</v>
      </c>
      <c r="J1551" s="16">
        <f t="shared" si="337"/>
        <v>15000</v>
      </c>
      <c r="K1551" s="16">
        <v>5</v>
      </c>
      <c r="L1551" s="16" t="s">
        <v>28</v>
      </c>
      <c r="M1551" s="16" t="s">
        <v>91</v>
      </c>
      <c r="N1551" s="16" t="s">
        <v>1786</v>
      </c>
      <c r="O1551" s="16">
        <v>5</v>
      </c>
      <c r="P1551" s="16">
        <v>3000</v>
      </c>
      <c r="Q1551" s="16">
        <f t="shared" si="338"/>
        <v>15000</v>
      </c>
      <c r="R1551" s="18">
        <v>0.18</v>
      </c>
      <c r="S1551" s="16">
        <f t="shared" si="339"/>
        <v>2700</v>
      </c>
      <c r="T1551" s="16">
        <f t="shared" si="340"/>
        <v>17700</v>
      </c>
      <c r="U1551" s="16" t="s">
        <v>1829</v>
      </c>
      <c r="V1551" s="19" t="s">
        <v>1828</v>
      </c>
      <c r="W1551" s="142" t="s">
        <v>1896</v>
      </c>
    </row>
    <row r="1552" spans="1:23" x14ac:dyDescent="0.3">
      <c r="A1552" s="1"/>
      <c r="B1552" s="1"/>
      <c r="C1552" s="1"/>
      <c r="D1552" s="1"/>
      <c r="E1552" s="1"/>
      <c r="F1552" s="124" t="s">
        <v>39</v>
      </c>
      <c r="G1552" s="1"/>
      <c r="H1552" s="1"/>
      <c r="I1552" s="1"/>
      <c r="J1552" s="124">
        <f>SUM(J1530:J1551)</f>
        <v>487000</v>
      </c>
      <c r="K1552" s="1"/>
      <c r="L1552" s="1"/>
      <c r="M1552" s="1"/>
      <c r="N1552" s="1"/>
      <c r="O1552" s="1"/>
      <c r="P1552" s="1"/>
      <c r="Q1552" s="1"/>
      <c r="R1552" s="1"/>
      <c r="S1552" s="1"/>
      <c r="T1552" s="1"/>
      <c r="U1552" s="1"/>
      <c r="V1552" s="1"/>
      <c r="W1552" s="142"/>
    </row>
    <row r="1553" spans="1:23" x14ac:dyDescent="0.3">
      <c r="A1553" s="1"/>
      <c r="B1553" s="1"/>
      <c r="C1553" s="1"/>
      <c r="D1553" s="1"/>
      <c r="E1553" s="1"/>
      <c r="F1553" s="124" t="s">
        <v>187</v>
      </c>
      <c r="G1553" s="1"/>
      <c r="H1553" s="1"/>
      <c r="I1553" s="1"/>
      <c r="J1553" s="124">
        <f>J1552*18/100</f>
        <v>87660</v>
      </c>
      <c r="K1553" s="1"/>
      <c r="L1553" s="1"/>
      <c r="M1553" s="1"/>
      <c r="N1553" s="1"/>
      <c r="O1553" s="1"/>
      <c r="P1553" s="1"/>
      <c r="Q1553" s="1"/>
      <c r="R1553" s="1"/>
      <c r="S1553" s="1"/>
      <c r="T1553" s="1"/>
      <c r="U1553" s="1"/>
      <c r="V1553" s="1"/>
      <c r="W1553" s="142"/>
    </row>
    <row r="1554" spans="1:23" x14ac:dyDescent="0.3">
      <c r="A1554" s="1"/>
      <c r="B1554" s="1"/>
      <c r="C1554" s="1"/>
      <c r="D1554" s="1"/>
      <c r="E1554" s="1"/>
      <c r="F1554" s="124" t="s">
        <v>41</v>
      </c>
      <c r="G1554" s="1"/>
      <c r="H1554" s="1"/>
      <c r="I1554" s="1"/>
      <c r="J1554" s="124">
        <f>SUM(J1552:J1553)</f>
        <v>574660</v>
      </c>
      <c r="K1554" s="1"/>
      <c r="L1554" s="1"/>
      <c r="M1554" s="1"/>
      <c r="N1554" s="1"/>
      <c r="O1554" s="1"/>
      <c r="P1554" s="1"/>
      <c r="Q1554" s="1"/>
      <c r="R1554" s="1"/>
      <c r="S1554" s="1"/>
      <c r="T1554" s="1">
        <f>SUM(T1530:T1553)</f>
        <v>561655.22</v>
      </c>
      <c r="U1554" s="1"/>
      <c r="V1554" s="1"/>
      <c r="W1554" s="142"/>
    </row>
    <row r="1555" spans="1:23" x14ac:dyDescent="0.3">
      <c r="A1555" s="1"/>
      <c r="B1555" s="1"/>
      <c r="C1555" s="1"/>
      <c r="D1555" s="1"/>
      <c r="E1555" s="1"/>
      <c r="F1555" s="124"/>
      <c r="G1555" s="1"/>
      <c r="H1555" s="1"/>
      <c r="I1555" s="1"/>
      <c r="J1555" s="124"/>
      <c r="K1555" s="1"/>
      <c r="L1555" s="1"/>
      <c r="M1555" s="1"/>
      <c r="N1555" s="1"/>
      <c r="O1555" s="1"/>
      <c r="P1555" s="1"/>
      <c r="Q1555" s="1"/>
      <c r="R1555" s="1"/>
      <c r="S1555" s="1"/>
      <c r="T1555" s="1"/>
      <c r="U1555" s="1"/>
      <c r="V1555" s="1"/>
      <c r="W1555" s="142"/>
    </row>
    <row r="1556" spans="1:23" x14ac:dyDescent="0.3">
      <c r="A1556" s="16">
        <v>129</v>
      </c>
      <c r="B1556" s="16">
        <v>9200146935</v>
      </c>
      <c r="C1556" s="19">
        <v>45697</v>
      </c>
      <c r="D1556" s="16" t="s">
        <v>43</v>
      </c>
      <c r="E1556" s="16" t="s">
        <v>123</v>
      </c>
      <c r="F1556" s="16" t="s">
        <v>1625</v>
      </c>
      <c r="G1556" s="16">
        <v>1600</v>
      </c>
      <c r="H1556" s="16" t="s">
        <v>60</v>
      </c>
      <c r="I1556" s="16">
        <v>227.5</v>
      </c>
      <c r="J1556" s="33">
        <f>G1556*I1556</f>
        <v>364000</v>
      </c>
      <c r="K1556" s="16">
        <v>1600</v>
      </c>
      <c r="L1556" s="16" t="s">
        <v>60</v>
      </c>
      <c r="M1556" s="16" t="s">
        <v>91</v>
      </c>
      <c r="N1556" s="16" t="s">
        <v>2452</v>
      </c>
      <c r="O1556" s="119">
        <v>1560</v>
      </c>
      <c r="P1556" s="16">
        <v>227.5</v>
      </c>
      <c r="Q1556" s="16">
        <f>O1556*P1556</f>
        <v>354900</v>
      </c>
      <c r="R1556" s="18">
        <v>0</v>
      </c>
      <c r="S1556" s="16">
        <f>Q1556*R1556</f>
        <v>0</v>
      </c>
      <c r="T1556" s="16">
        <f>Q1556+S1556</f>
        <v>354900</v>
      </c>
      <c r="U1556" s="16" t="s">
        <v>2510</v>
      </c>
      <c r="V1556" s="19">
        <v>46241</v>
      </c>
      <c r="W1556" s="142"/>
    </row>
    <row r="1557" spans="1:23" x14ac:dyDescent="0.3">
      <c r="A1557" s="1"/>
      <c r="B1557" s="1"/>
      <c r="C1557" s="1"/>
      <c r="D1557" s="1"/>
      <c r="E1557" s="1"/>
      <c r="F1557" s="124" t="s">
        <v>39</v>
      </c>
      <c r="G1557" s="1"/>
      <c r="H1557" s="1"/>
      <c r="I1557" s="1"/>
      <c r="J1557" s="124">
        <f>SUM(J1556)</f>
        <v>364000</v>
      </c>
      <c r="K1557" s="1" t="s">
        <v>2453</v>
      </c>
      <c r="L1557" s="1"/>
      <c r="M1557" s="1"/>
      <c r="N1557" s="1"/>
      <c r="O1557" s="1"/>
      <c r="P1557" s="1"/>
      <c r="Q1557" s="1"/>
      <c r="R1557" s="1"/>
      <c r="S1557" s="1"/>
      <c r="T1557" s="1"/>
      <c r="U1557" s="1"/>
      <c r="V1557" s="1"/>
      <c r="W1557" s="142"/>
    </row>
    <row r="1558" spans="1:23" x14ac:dyDescent="0.3">
      <c r="A1558" s="1"/>
      <c r="B1558" s="1"/>
      <c r="C1558" s="1"/>
      <c r="D1558" s="1"/>
      <c r="E1558" s="1"/>
      <c r="F1558" s="124" t="s">
        <v>187</v>
      </c>
      <c r="G1558" s="1"/>
      <c r="H1558" s="1"/>
      <c r="I1558" s="1"/>
      <c r="J1558" s="124">
        <f>J1557*0%</f>
        <v>0</v>
      </c>
      <c r="K1558" s="1"/>
      <c r="L1558" s="1"/>
      <c r="M1558" s="1"/>
      <c r="N1558" s="1"/>
      <c r="O1558" s="1"/>
      <c r="P1558" s="1"/>
      <c r="Q1558" s="1"/>
      <c r="R1558" s="1"/>
      <c r="S1558" s="1"/>
      <c r="T1558" s="1"/>
      <c r="U1558" s="1"/>
      <c r="V1558" s="1"/>
      <c r="W1558" s="142"/>
    </row>
    <row r="1559" spans="1:23" x14ac:dyDescent="0.3">
      <c r="A1559" s="1"/>
      <c r="B1559" s="1"/>
      <c r="C1559" s="1"/>
      <c r="D1559" s="1"/>
      <c r="E1559" s="1"/>
      <c r="F1559" s="124" t="s">
        <v>41</v>
      </c>
      <c r="G1559" s="1"/>
      <c r="H1559" s="1"/>
      <c r="I1559" s="1"/>
      <c r="J1559" s="124">
        <f>SUM(J1557:J1558)</f>
        <v>364000</v>
      </c>
      <c r="K1559" s="1"/>
      <c r="L1559" s="1"/>
      <c r="M1559" s="1"/>
      <c r="N1559" s="1"/>
      <c r="O1559" s="1"/>
      <c r="P1559" s="1"/>
      <c r="Q1559" s="1"/>
      <c r="R1559" s="1"/>
      <c r="S1559" s="1"/>
      <c r="T1559" s="1">
        <f>SUM(T1556:T1558)</f>
        <v>354900</v>
      </c>
      <c r="U1559" s="1"/>
      <c r="V1559" s="1"/>
      <c r="W1559" s="142"/>
    </row>
    <row r="1560" spans="1:23" x14ac:dyDescent="0.3">
      <c r="A1560" s="1"/>
      <c r="B1560" s="1"/>
      <c r="C1560" s="1"/>
      <c r="D1560" s="1"/>
      <c r="E1560" s="1"/>
      <c r="F1560" s="124"/>
      <c r="G1560" s="1"/>
      <c r="H1560" s="1"/>
      <c r="I1560" s="1"/>
      <c r="J1560" s="124"/>
      <c r="K1560" s="1"/>
      <c r="L1560" s="1"/>
      <c r="M1560" s="1"/>
      <c r="N1560" s="1"/>
      <c r="O1560" s="1"/>
      <c r="P1560" s="1"/>
      <c r="Q1560" s="1"/>
      <c r="R1560" s="1"/>
      <c r="S1560" s="1"/>
      <c r="T1560" s="1"/>
      <c r="U1560" s="1"/>
      <c r="V1560" s="1"/>
      <c r="W1560" s="142"/>
    </row>
    <row r="1561" spans="1:23" ht="37.799999999999997" x14ac:dyDescent="0.3">
      <c r="A1561" s="16">
        <v>130</v>
      </c>
      <c r="B1561" s="16">
        <v>9200147262</v>
      </c>
      <c r="C1561" s="19">
        <v>45878</v>
      </c>
      <c r="D1561" s="16" t="s">
        <v>43</v>
      </c>
      <c r="E1561" s="16" t="s">
        <v>123</v>
      </c>
      <c r="F1561" s="39" t="s">
        <v>1631</v>
      </c>
      <c r="G1561" s="16">
        <v>60</v>
      </c>
      <c r="H1561" s="16" t="s">
        <v>28</v>
      </c>
      <c r="I1561" s="16">
        <v>1300</v>
      </c>
      <c r="J1561" s="16">
        <f>G1561*I1561</f>
        <v>78000</v>
      </c>
      <c r="K1561" s="16" t="s">
        <v>1819</v>
      </c>
      <c r="L1561" s="16" t="s">
        <v>28</v>
      </c>
      <c r="M1561" s="16" t="s">
        <v>91</v>
      </c>
      <c r="N1561" s="16" t="s">
        <v>1820</v>
      </c>
      <c r="O1561" s="16">
        <v>60</v>
      </c>
      <c r="P1561" s="16">
        <v>1300</v>
      </c>
      <c r="Q1561" s="16">
        <f>O1561*P1561</f>
        <v>78000</v>
      </c>
      <c r="R1561" s="18">
        <v>0</v>
      </c>
      <c r="S1561" s="16">
        <f>Q1561*R1561</f>
        <v>0</v>
      </c>
      <c r="T1561" s="16">
        <f>Q1561+S1561</f>
        <v>78000</v>
      </c>
      <c r="U1561" s="16" t="s">
        <v>1833</v>
      </c>
      <c r="V1561" s="19" t="s">
        <v>1828</v>
      </c>
      <c r="W1561" s="142" t="s">
        <v>1889</v>
      </c>
    </row>
    <row r="1562" spans="1:23" ht="25.2" x14ac:dyDescent="0.3">
      <c r="A1562" s="1"/>
      <c r="B1562" s="1"/>
      <c r="C1562" s="1"/>
      <c r="D1562" s="1"/>
      <c r="E1562" s="16" t="s">
        <v>123</v>
      </c>
      <c r="F1562" s="39" t="s">
        <v>1632</v>
      </c>
      <c r="G1562" s="16">
        <v>1</v>
      </c>
      <c r="H1562" s="16" t="s">
        <v>28</v>
      </c>
      <c r="I1562" s="16">
        <v>13800</v>
      </c>
      <c r="J1562" s="16">
        <f t="shared" ref="J1562:J1564" si="341">G1562*I1562</f>
        <v>13800</v>
      </c>
      <c r="K1562" s="16">
        <v>1</v>
      </c>
      <c r="L1562" s="16" t="s">
        <v>181</v>
      </c>
      <c r="M1562" s="16" t="s">
        <v>91</v>
      </c>
      <c r="N1562" s="16" t="s">
        <v>1699</v>
      </c>
      <c r="O1562" s="16">
        <v>1</v>
      </c>
      <c r="P1562" s="16">
        <v>13800</v>
      </c>
      <c r="Q1562" s="16">
        <f t="shared" ref="Q1562:Q1564" si="342">O1562*P1562</f>
        <v>13800</v>
      </c>
      <c r="R1562" s="18">
        <v>0</v>
      </c>
      <c r="S1562" s="16">
        <f t="shared" ref="S1562:S1564" si="343">Q1562*R1562</f>
        <v>0</v>
      </c>
      <c r="T1562" s="16">
        <f t="shared" ref="T1562:T1564" si="344">Q1562+S1562</f>
        <v>13800</v>
      </c>
      <c r="U1562" s="16" t="s">
        <v>1833</v>
      </c>
      <c r="V1562" s="19" t="s">
        <v>1828</v>
      </c>
      <c r="W1562" s="142" t="s">
        <v>1889</v>
      </c>
    </row>
    <row r="1563" spans="1:23" x14ac:dyDescent="0.3">
      <c r="A1563" s="1"/>
      <c r="B1563" s="1"/>
      <c r="C1563" s="1"/>
      <c r="D1563" s="1"/>
      <c r="E1563" s="16" t="s">
        <v>123</v>
      </c>
      <c r="F1563" s="16" t="s">
        <v>1633</v>
      </c>
      <c r="G1563" s="16">
        <v>2</v>
      </c>
      <c r="H1563" s="16" t="s">
        <v>28</v>
      </c>
      <c r="I1563" s="16">
        <v>3000</v>
      </c>
      <c r="J1563" s="16">
        <f t="shared" si="341"/>
        <v>6000</v>
      </c>
      <c r="K1563" s="16"/>
      <c r="L1563" s="16"/>
      <c r="M1563" s="16"/>
      <c r="N1563" s="16"/>
      <c r="O1563" s="16">
        <v>2</v>
      </c>
      <c r="P1563" s="16">
        <v>3000</v>
      </c>
      <c r="Q1563" s="16">
        <f t="shared" si="342"/>
        <v>6000</v>
      </c>
      <c r="R1563" s="18">
        <v>0</v>
      </c>
      <c r="S1563" s="16">
        <f t="shared" si="343"/>
        <v>0</v>
      </c>
      <c r="T1563" s="16">
        <f t="shared" si="344"/>
        <v>6000</v>
      </c>
      <c r="U1563" s="16" t="s">
        <v>1833</v>
      </c>
      <c r="V1563" s="19" t="s">
        <v>1828</v>
      </c>
      <c r="W1563" s="142" t="s">
        <v>1889</v>
      </c>
    </row>
    <row r="1564" spans="1:23" x14ac:dyDescent="0.3">
      <c r="A1564" s="1"/>
      <c r="B1564" s="1"/>
      <c r="C1564" s="1"/>
      <c r="D1564" s="1"/>
      <c r="E1564" s="16" t="s">
        <v>123</v>
      </c>
      <c r="F1564" s="16" t="s">
        <v>1634</v>
      </c>
      <c r="G1564" s="16">
        <v>2</v>
      </c>
      <c r="H1564" s="16" t="s">
        <v>28</v>
      </c>
      <c r="I1564" s="16">
        <v>3100</v>
      </c>
      <c r="J1564" s="16">
        <f t="shared" si="341"/>
        <v>6200</v>
      </c>
      <c r="K1564" s="16"/>
      <c r="L1564" s="16"/>
      <c r="M1564" s="16"/>
      <c r="N1564" s="16"/>
      <c r="O1564" s="16">
        <v>2</v>
      </c>
      <c r="P1564" s="16">
        <v>3100</v>
      </c>
      <c r="Q1564" s="16">
        <f t="shared" si="342"/>
        <v>6200</v>
      </c>
      <c r="R1564" s="18">
        <v>0</v>
      </c>
      <c r="S1564" s="16">
        <f t="shared" si="343"/>
        <v>0</v>
      </c>
      <c r="T1564" s="16">
        <f t="shared" si="344"/>
        <v>6200</v>
      </c>
      <c r="U1564" s="16" t="s">
        <v>1833</v>
      </c>
      <c r="V1564" s="19" t="s">
        <v>1828</v>
      </c>
      <c r="W1564" s="142" t="s">
        <v>1889</v>
      </c>
    </row>
    <row r="1565" spans="1:23" x14ac:dyDescent="0.3">
      <c r="A1565" s="1"/>
      <c r="B1565" s="1"/>
      <c r="C1565" s="1"/>
      <c r="D1565" s="1"/>
      <c r="E1565" s="1"/>
      <c r="F1565" s="124" t="s">
        <v>39</v>
      </c>
      <c r="G1565" s="1"/>
      <c r="H1565" s="1"/>
      <c r="I1565" s="1"/>
      <c r="J1565" s="124">
        <f>SUM(J1561:J1564)</f>
        <v>104000</v>
      </c>
      <c r="K1565" s="1"/>
      <c r="L1565" s="1"/>
      <c r="M1565" s="1"/>
      <c r="N1565" s="1"/>
      <c r="O1565" s="1"/>
      <c r="P1565" s="1"/>
      <c r="Q1565" s="1"/>
      <c r="R1565" s="1"/>
      <c r="S1565" s="1"/>
      <c r="T1565" s="1"/>
      <c r="U1565" s="1"/>
      <c r="V1565" s="1"/>
      <c r="W1565" s="142"/>
    </row>
    <row r="1566" spans="1:23" x14ac:dyDescent="0.3">
      <c r="A1566" s="1"/>
      <c r="B1566" s="1"/>
      <c r="C1566" s="1"/>
      <c r="D1566" s="1"/>
      <c r="E1566" s="1"/>
      <c r="F1566" s="124" t="s">
        <v>599</v>
      </c>
      <c r="G1566" s="1"/>
      <c r="H1566" s="1"/>
      <c r="I1566" s="1"/>
      <c r="J1566" s="124">
        <f>J1565*0/100</f>
        <v>0</v>
      </c>
      <c r="K1566" s="1"/>
      <c r="L1566" s="1"/>
      <c r="M1566" s="1"/>
      <c r="N1566" s="1"/>
      <c r="O1566" s="1"/>
      <c r="P1566" s="1"/>
      <c r="Q1566" s="1"/>
      <c r="R1566" s="1"/>
      <c r="S1566" s="1"/>
      <c r="T1566" s="1"/>
      <c r="U1566" s="1"/>
      <c r="V1566" s="1"/>
      <c r="W1566" s="142"/>
    </row>
    <row r="1567" spans="1:23" x14ac:dyDescent="0.3">
      <c r="A1567" s="1"/>
      <c r="B1567" s="1"/>
      <c r="C1567" s="1"/>
      <c r="D1567" s="1"/>
      <c r="E1567" s="1"/>
      <c r="F1567" s="124" t="s">
        <v>41</v>
      </c>
      <c r="G1567" s="1"/>
      <c r="H1567" s="1"/>
      <c r="I1567" s="1"/>
      <c r="J1567" s="124">
        <f>SUM(J1565:J1566)</f>
        <v>104000</v>
      </c>
      <c r="K1567" s="1"/>
      <c r="L1567" s="1"/>
      <c r="M1567" s="1"/>
      <c r="N1567" s="1"/>
      <c r="O1567" s="1"/>
      <c r="P1567" s="1"/>
      <c r="Q1567" s="1"/>
      <c r="R1567" s="1"/>
      <c r="S1567" s="1"/>
      <c r="T1567" s="1">
        <f>SUM(T1561:T1566)</f>
        <v>104000</v>
      </c>
      <c r="U1567" s="1"/>
      <c r="V1567" s="1"/>
      <c r="W1567" s="142"/>
    </row>
    <row r="1568" spans="1:23" x14ac:dyDescent="0.3">
      <c r="A1568" s="1"/>
      <c r="B1568" s="1"/>
      <c r="C1568" s="1"/>
      <c r="D1568" s="1"/>
      <c r="E1568" s="1"/>
      <c r="F1568" s="124"/>
      <c r="G1568" s="1"/>
      <c r="H1568" s="1"/>
      <c r="I1568" s="1"/>
      <c r="J1568" s="124"/>
      <c r="K1568" s="1"/>
      <c r="L1568" s="1"/>
      <c r="M1568" s="1"/>
      <c r="N1568" s="1"/>
      <c r="O1568" s="1"/>
      <c r="P1568" s="1"/>
      <c r="Q1568" s="1"/>
      <c r="R1568" s="1"/>
      <c r="S1568" s="1"/>
      <c r="T1568" s="1"/>
      <c r="U1568" s="1"/>
      <c r="V1568" s="1"/>
      <c r="W1568" s="142"/>
    </row>
    <row r="1569" spans="1:23" ht="25.2" x14ac:dyDescent="0.3">
      <c r="A1569" s="16">
        <v>131</v>
      </c>
      <c r="B1569" s="16">
        <v>9200147272</v>
      </c>
      <c r="C1569" s="19">
        <v>45878</v>
      </c>
      <c r="D1569" s="16" t="s">
        <v>43</v>
      </c>
      <c r="E1569" s="16" t="s">
        <v>123</v>
      </c>
      <c r="F1569" s="39" t="s">
        <v>1635</v>
      </c>
      <c r="G1569" s="16">
        <v>8</v>
      </c>
      <c r="H1569" s="16" t="s">
        <v>28</v>
      </c>
      <c r="I1569" s="16">
        <v>7265</v>
      </c>
      <c r="J1569" s="16">
        <f>G1569*I1569</f>
        <v>58120</v>
      </c>
      <c r="K1569" s="16">
        <v>8</v>
      </c>
      <c r="L1569" s="16" t="s">
        <v>28</v>
      </c>
      <c r="M1569" s="16" t="s">
        <v>91</v>
      </c>
      <c r="N1569" s="16" t="s">
        <v>1675</v>
      </c>
      <c r="O1569" s="16">
        <v>8</v>
      </c>
      <c r="P1569" s="16">
        <v>7265</v>
      </c>
      <c r="Q1569" s="16">
        <f>O1569*P1569</f>
        <v>58120</v>
      </c>
      <c r="R1569" s="18">
        <v>0</v>
      </c>
      <c r="S1569" s="16">
        <f>Q1569*R1569</f>
        <v>0</v>
      </c>
      <c r="T1569" s="16">
        <f>Q1569+S1569</f>
        <v>58120</v>
      </c>
      <c r="U1569" s="16" t="s">
        <v>1691</v>
      </c>
      <c r="V1569" s="19" t="s">
        <v>1692</v>
      </c>
      <c r="W1569" s="142" t="s">
        <v>1750</v>
      </c>
    </row>
    <row r="1570" spans="1:23" x14ac:dyDescent="0.3">
      <c r="A1570" s="1"/>
      <c r="B1570" s="1"/>
      <c r="C1570" s="1"/>
      <c r="D1570" s="1"/>
      <c r="E1570" s="16" t="s">
        <v>123</v>
      </c>
      <c r="F1570" s="16" t="s">
        <v>1636</v>
      </c>
      <c r="G1570" s="16">
        <v>8</v>
      </c>
      <c r="H1570" s="16" t="s">
        <v>28</v>
      </c>
      <c r="I1570" s="16">
        <v>515</v>
      </c>
      <c r="J1570" s="16">
        <f t="shared" ref="J1570:J1581" si="345">G1570*I1570</f>
        <v>4120</v>
      </c>
      <c r="K1570" s="16">
        <v>8</v>
      </c>
      <c r="L1570" s="16" t="s">
        <v>28</v>
      </c>
      <c r="M1570" s="16" t="s">
        <v>91</v>
      </c>
      <c r="N1570" s="16" t="s">
        <v>1675</v>
      </c>
      <c r="O1570" s="16">
        <v>8</v>
      </c>
      <c r="P1570" s="16">
        <v>515</v>
      </c>
      <c r="Q1570" s="16">
        <f t="shared" ref="Q1570:Q1581" si="346">O1570*P1570</f>
        <v>4120</v>
      </c>
      <c r="R1570" s="18">
        <v>0</v>
      </c>
      <c r="S1570" s="16">
        <f t="shared" ref="S1570:S1581" si="347">Q1570*R1570</f>
        <v>0</v>
      </c>
      <c r="T1570" s="16">
        <f t="shared" ref="T1570:T1581" si="348">Q1570+S1570</f>
        <v>4120</v>
      </c>
      <c r="U1570" s="16" t="s">
        <v>1691</v>
      </c>
      <c r="V1570" s="19" t="s">
        <v>1692</v>
      </c>
      <c r="W1570" s="142" t="s">
        <v>1750</v>
      </c>
    </row>
    <row r="1571" spans="1:23" x14ac:dyDescent="0.3">
      <c r="A1571" s="1"/>
      <c r="B1571" s="1"/>
      <c r="C1571" s="1"/>
      <c r="D1571" s="1"/>
      <c r="E1571" s="16" t="s">
        <v>123</v>
      </c>
      <c r="F1571" s="16" t="s">
        <v>1637</v>
      </c>
      <c r="G1571" s="16">
        <v>8</v>
      </c>
      <c r="H1571" s="16" t="s">
        <v>28</v>
      </c>
      <c r="I1571" s="16">
        <v>1230</v>
      </c>
      <c r="J1571" s="16">
        <f t="shared" si="345"/>
        <v>9840</v>
      </c>
      <c r="K1571" s="16">
        <v>8</v>
      </c>
      <c r="L1571" s="16" t="s">
        <v>28</v>
      </c>
      <c r="M1571" s="16" t="s">
        <v>91</v>
      </c>
      <c r="N1571" s="16" t="s">
        <v>1675</v>
      </c>
      <c r="O1571" s="16">
        <v>8</v>
      </c>
      <c r="P1571" s="16">
        <v>1230</v>
      </c>
      <c r="Q1571" s="16">
        <f t="shared" si="346"/>
        <v>9840</v>
      </c>
      <c r="R1571" s="18">
        <v>0</v>
      </c>
      <c r="S1571" s="16">
        <f t="shared" si="347"/>
        <v>0</v>
      </c>
      <c r="T1571" s="16">
        <f t="shared" si="348"/>
        <v>9840</v>
      </c>
      <c r="U1571" s="16" t="s">
        <v>1691</v>
      </c>
      <c r="V1571" s="19" t="s">
        <v>1692</v>
      </c>
      <c r="W1571" s="142" t="s">
        <v>1750</v>
      </c>
    </row>
    <row r="1572" spans="1:23" x14ac:dyDescent="0.3">
      <c r="A1572" s="1"/>
      <c r="B1572" s="1"/>
      <c r="C1572" s="1"/>
      <c r="D1572" s="1"/>
      <c r="E1572" s="16" t="s">
        <v>123</v>
      </c>
      <c r="F1572" s="16" t="s">
        <v>1638</v>
      </c>
      <c r="G1572" s="16">
        <v>8</v>
      </c>
      <c r="H1572" s="16" t="s">
        <v>28</v>
      </c>
      <c r="I1572" s="16">
        <v>1943</v>
      </c>
      <c r="J1572" s="16">
        <f t="shared" si="345"/>
        <v>15544</v>
      </c>
      <c r="K1572" s="16">
        <v>8</v>
      </c>
      <c r="L1572" s="16" t="s">
        <v>28</v>
      </c>
      <c r="M1572" s="16" t="s">
        <v>91</v>
      </c>
      <c r="N1572" s="16" t="s">
        <v>1675</v>
      </c>
      <c r="O1572" s="16">
        <v>8</v>
      </c>
      <c r="P1572" s="16">
        <v>1943</v>
      </c>
      <c r="Q1572" s="16">
        <f t="shared" si="346"/>
        <v>15544</v>
      </c>
      <c r="R1572" s="18">
        <v>0</v>
      </c>
      <c r="S1572" s="16">
        <f t="shared" si="347"/>
        <v>0</v>
      </c>
      <c r="T1572" s="16">
        <f t="shared" si="348"/>
        <v>15544</v>
      </c>
      <c r="U1572" s="16" t="s">
        <v>1691</v>
      </c>
      <c r="V1572" s="19" t="s">
        <v>1692</v>
      </c>
      <c r="W1572" s="142" t="s">
        <v>1750</v>
      </c>
    </row>
    <row r="1573" spans="1:23" x14ac:dyDescent="0.3">
      <c r="A1573" s="1"/>
      <c r="B1573" s="1"/>
      <c r="C1573" s="1"/>
      <c r="D1573" s="1"/>
      <c r="E1573" s="16" t="s">
        <v>123</v>
      </c>
      <c r="F1573" s="16" t="s">
        <v>1639</v>
      </c>
      <c r="G1573" s="16">
        <v>8</v>
      </c>
      <c r="H1573" s="16" t="s">
        <v>28</v>
      </c>
      <c r="I1573" s="16">
        <v>4500</v>
      </c>
      <c r="J1573" s="16">
        <f t="shared" si="345"/>
        <v>36000</v>
      </c>
      <c r="K1573" s="16">
        <v>8</v>
      </c>
      <c r="L1573" s="16" t="s">
        <v>28</v>
      </c>
      <c r="M1573" s="16" t="s">
        <v>91</v>
      </c>
      <c r="N1573" s="16" t="s">
        <v>1675</v>
      </c>
      <c r="O1573" s="16">
        <v>8</v>
      </c>
      <c r="P1573" s="16">
        <v>4500</v>
      </c>
      <c r="Q1573" s="16">
        <f t="shared" si="346"/>
        <v>36000</v>
      </c>
      <c r="R1573" s="18">
        <v>0</v>
      </c>
      <c r="S1573" s="16">
        <f t="shared" si="347"/>
        <v>0</v>
      </c>
      <c r="T1573" s="16">
        <f t="shared" si="348"/>
        <v>36000</v>
      </c>
      <c r="U1573" s="16" t="s">
        <v>1691</v>
      </c>
      <c r="V1573" s="19" t="s">
        <v>1692</v>
      </c>
      <c r="W1573" s="142" t="s">
        <v>1750</v>
      </c>
    </row>
    <row r="1574" spans="1:23" x14ac:dyDescent="0.3">
      <c r="A1574" s="1"/>
      <c r="B1574" s="1"/>
      <c r="C1574" s="1"/>
      <c r="D1574" s="1"/>
      <c r="E1574" s="16" t="s">
        <v>123</v>
      </c>
      <c r="F1574" s="16" t="s">
        <v>1640</v>
      </c>
      <c r="G1574" s="16">
        <v>8</v>
      </c>
      <c r="H1574" s="16" t="s">
        <v>28</v>
      </c>
      <c r="I1574" s="16">
        <v>1000</v>
      </c>
      <c r="J1574" s="16">
        <f t="shared" si="345"/>
        <v>8000</v>
      </c>
      <c r="K1574" s="16">
        <v>8</v>
      </c>
      <c r="L1574" s="16" t="s">
        <v>28</v>
      </c>
      <c r="M1574" s="16" t="s">
        <v>91</v>
      </c>
      <c r="N1574" s="16" t="s">
        <v>1690</v>
      </c>
      <c r="O1574" s="16">
        <v>8</v>
      </c>
      <c r="P1574" s="16">
        <v>1000</v>
      </c>
      <c r="Q1574" s="16">
        <f t="shared" si="346"/>
        <v>8000</v>
      </c>
      <c r="R1574" s="18">
        <v>0</v>
      </c>
      <c r="S1574" s="16">
        <f t="shared" si="347"/>
        <v>0</v>
      </c>
      <c r="T1574" s="16">
        <f t="shared" si="348"/>
        <v>8000</v>
      </c>
      <c r="U1574" s="16" t="s">
        <v>1691</v>
      </c>
      <c r="V1574" s="19" t="s">
        <v>1692</v>
      </c>
      <c r="W1574" s="142" t="s">
        <v>1750</v>
      </c>
    </row>
    <row r="1575" spans="1:23" x14ac:dyDescent="0.3">
      <c r="A1575" s="1"/>
      <c r="B1575" s="1"/>
      <c r="C1575" s="1"/>
      <c r="D1575" s="1"/>
      <c r="E1575" s="16" t="s">
        <v>123</v>
      </c>
      <c r="F1575" s="16" t="s">
        <v>1641</v>
      </c>
      <c r="G1575" s="16">
        <v>8</v>
      </c>
      <c r="H1575" s="16" t="s">
        <v>28</v>
      </c>
      <c r="I1575" s="16">
        <v>3380</v>
      </c>
      <c r="J1575" s="16">
        <f t="shared" si="345"/>
        <v>27040</v>
      </c>
      <c r="K1575" s="16">
        <v>8</v>
      </c>
      <c r="L1575" s="16" t="s">
        <v>28</v>
      </c>
      <c r="M1575" s="16" t="s">
        <v>91</v>
      </c>
      <c r="N1575" s="16" t="s">
        <v>1675</v>
      </c>
      <c r="O1575" s="16">
        <v>8</v>
      </c>
      <c r="P1575" s="16">
        <v>3380</v>
      </c>
      <c r="Q1575" s="16">
        <f t="shared" si="346"/>
        <v>27040</v>
      </c>
      <c r="R1575" s="18">
        <v>0</v>
      </c>
      <c r="S1575" s="16">
        <f t="shared" si="347"/>
        <v>0</v>
      </c>
      <c r="T1575" s="16">
        <f t="shared" si="348"/>
        <v>27040</v>
      </c>
      <c r="U1575" s="16" t="s">
        <v>1691</v>
      </c>
      <c r="V1575" s="19" t="s">
        <v>1692</v>
      </c>
      <c r="W1575" s="142" t="s">
        <v>1750</v>
      </c>
    </row>
    <row r="1576" spans="1:23" x14ac:dyDescent="0.3">
      <c r="A1576" s="1"/>
      <c r="B1576" s="1"/>
      <c r="C1576" s="1"/>
      <c r="D1576" s="1"/>
      <c r="E1576" s="16" t="s">
        <v>123</v>
      </c>
      <c r="F1576" s="16" t="s">
        <v>1642</v>
      </c>
      <c r="G1576" s="16">
        <v>8</v>
      </c>
      <c r="H1576" s="16" t="s">
        <v>28</v>
      </c>
      <c r="I1576" s="16">
        <v>3200</v>
      </c>
      <c r="J1576" s="16">
        <f t="shared" si="345"/>
        <v>25600</v>
      </c>
      <c r="K1576" s="16">
        <v>8</v>
      </c>
      <c r="L1576" s="16" t="s">
        <v>28</v>
      </c>
      <c r="M1576" s="16" t="s">
        <v>91</v>
      </c>
      <c r="N1576" s="16" t="s">
        <v>1675</v>
      </c>
      <c r="O1576" s="16">
        <v>8</v>
      </c>
      <c r="P1576" s="16">
        <v>3200</v>
      </c>
      <c r="Q1576" s="16">
        <f t="shared" si="346"/>
        <v>25600</v>
      </c>
      <c r="R1576" s="18">
        <v>0</v>
      </c>
      <c r="S1576" s="16">
        <f t="shared" si="347"/>
        <v>0</v>
      </c>
      <c r="T1576" s="16">
        <f t="shared" si="348"/>
        <v>25600</v>
      </c>
      <c r="U1576" s="16" t="s">
        <v>1691</v>
      </c>
      <c r="V1576" s="19" t="s">
        <v>1692</v>
      </c>
      <c r="W1576" s="142" t="s">
        <v>1750</v>
      </c>
    </row>
    <row r="1577" spans="1:23" x14ac:dyDescent="0.3">
      <c r="A1577" s="1"/>
      <c r="B1577" s="1"/>
      <c r="C1577" s="1"/>
      <c r="D1577" s="1"/>
      <c r="E1577" s="16" t="s">
        <v>123</v>
      </c>
      <c r="F1577" s="16" t="s">
        <v>1643</v>
      </c>
      <c r="G1577" s="16">
        <v>8</v>
      </c>
      <c r="H1577" s="16" t="s">
        <v>28</v>
      </c>
      <c r="I1577" s="16">
        <v>340</v>
      </c>
      <c r="J1577" s="16">
        <f t="shared" si="345"/>
        <v>2720</v>
      </c>
      <c r="K1577" s="16">
        <v>8</v>
      </c>
      <c r="L1577" s="16" t="s">
        <v>28</v>
      </c>
      <c r="M1577" s="16" t="s">
        <v>91</v>
      </c>
      <c r="N1577" s="16" t="s">
        <v>1675</v>
      </c>
      <c r="O1577" s="16">
        <v>8</v>
      </c>
      <c r="P1577" s="16">
        <v>340</v>
      </c>
      <c r="Q1577" s="16">
        <f t="shared" si="346"/>
        <v>2720</v>
      </c>
      <c r="R1577" s="18">
        <v>0</v>
      </c>
      <c r="S1577" s="16">
        <f t="shared" si="347"/>
        <v>0</v>
      </c>
      <c r="T1577" s="16">
        <f t="shared" si="348"/>
        <v>2720</v>
      </c>
      <c r="U1577" s="16" t="s">
        <v>1691</v>
      </c>
      <c r="V1577" s="19" t="s">
        <v>1692</v>
      </c>
      <c r="W1577" s="142" t="s">
        <v>1750</v>
      </c>
    </row>
    <row r="1578" spans="1:23" x14ac:dyDescent="0.3">
      <c r="A1578" s="1"/>
      <c r="B1578" s="1"/>
      <c r="C1578" s="1"/>
      <c r="D1578" s="1"/>
      <c r="E1578" s="16" t="s">
        <v>123</v>
      </c>
      <c r="F1578" s="16" t="s">
        <v>1644</v>
      </c>
      <c r="G1578" s="16">
        <v>8</v>
      </c>
      <c r="H1578" s="16" t="s">
        <v>28</v>
      </c>
      <c r="I1578" s="16">
        <v>430</v>
      </c>
      <c r="J1578" s="16">
        <f t="shared" si="345"/>
        <v>3440</v>
      </c>
      <c r="K1578" s="16">
        <v>8</v>
      </c>
      <c r="L1578" s="16" t="s">
        <v>28</v>
      </c>
      <c r="M1578" s="16" t="s">
        <v>91</v>
      </c>
      <c r="N1578" s="16" t="s">
        <v>1675</v>
      </c>
      <c r="O1578" s="16">
        <v>8</v>
      </c>
      <c r="P1578" s="16">
        <v>430</v>
      </c>
      <c r="Q1578" s="16">
        <f t="shared" si="346"/>
        <v>3440</v>
      </c>
      <c r="R1578" s="18">
        <v>0</v>
      </c>
      <c r="S1578" s="16">
        <f t="shared" si="347"/>
        <v>0</v>
      </c>
      <c r="T1578" s="16">
        <f t="shared" si="348"/>
        <v>3440</v>
      </c>
      <c r="U1578" s="16" t="s">
        <v>1691</v>
      </c>
      <c r="V1578" s="19" t="s">
        <v>1692</v>
      </c>
      <c r="W1578" s="142" t="s">
        <v>1750</v>
      </c>
    </row>
    <row r="1579" spans="1:23" x14ac:dyDescent="0.3">
      <c r="A1579" s="1"/>
      <c r="B1579" s="1"/>
      <c r="C1579" s="1"/>
      <c r="D1579" s="1"/>
      <c r="E1579" s="16" t="s">
        <v>123</v>
      </c>
      <c r="F1579" s="16" t="s">
        <v>1645</v>
      </c>
      <c r="G1579" s="16">
        <v>8</v>
      </c>
      <c r="H1579" s="16" t="s">
        <v>28</v>
      </c>
      <c r="I1579" s="16">
        <v>5450</v>
      </c>
      <c r="J1579" s="16">
        <f t="shared" si="345"/>
        <v>43600</v>
      </c>
      <c r="K1579" s="16">
        <v>8</v>
      </c>
      <c r="L1579" s="16" t="s">
        <v>28</v>
      </c>
      <c r="M1579" s="16" t="s">
        <v>91</v>
      </c>
      <c r="N1579" s="16" t="s">
        <v>1675</v>
      </c>
      <c r="O1579" s="16">
        <v>8</v>
      </c>
      <c r="P1579" s="16">
        <v>5450</v>
      </c>
      <c r="Q1579" s="16">
        <f t="shared" si="346"/>
        <v>43600</v>
      </c>
      <c r="R1579" s="18">
        <v>0</v>
      </c>
      <c r="S1579" s="16">
        <f t="shared" si="347"/>
        <v>0</v>
      </c>
      <c r="T1579" s="16">
        <f t="shared" si="348"/>
        <v>43600</v>
      </c>
      <c r="U1579" s="16" t="s">
        <v>1691</v>
      </c>
      <c r="V1579" s="19" t="s">
        <v>1692</v>
      </c>
      <c r="W1579" s="142" t="s">
        <v>1750</v>
      </c>
    </row>
    <row r="1580" spans="1:23" x14ac:dyDescent="0.3">
      <c r="A1580" s="1"/>
      <c r="B1580" s="1"/>
      <c r="C1580" s="1"/>
      <c r="D1580" s="1"/>
      <c r="E1580" s="16" t="s">
        <v>123</v>
      </c>
      <c r="F1580" s="16" t="s">
        <v>1646</v>
      </c>
      <c r="G1580" s="16">
        <v>8</v>
      </c>
      <c r="H1580" s="16" t="s">
        <v>28</v>
      </c>
      <c r="I1580" s="16">
        <v>20</v>
      </c>
      <c r="J1580" s="16">
        <f t="shared" si="345"/>
        <v>160</v>
      </c>
      <c r="K1580" s="16">
        <v>8</v>
      </c>
      <c r="L1580" s="16" t="s">
        <v>28</v>
      </c>
      <c r="M1580" s="16" t="s">
        <v>91</v>
      </c>
      <c r="N1580" s="16" t="s">
        <v>1675</v>
      </c>
      <c r="O1580" s="16">
        <v>8</v>
      </c>
      <c r="P1580" s="16">
        <v>20</v>
      </c>
      <c r="Q1580" s="16">
        <f t="shared" si="346"/>
        <v>160</v>
      </c>
      <c r="R1580" s="18">
        <v>0</v>
      </c>
      <c r="S1580" s="16">
        <f t="shared" si="347"/>
        <v>0</v>
      </c>
      <c r="T1580" s="16">
        <f t="shared" si="348"/>
        <v>160</v>
      </c>
      <c r="U1580" s="16" t="s">
        <v>1691</v>
      </c>
      <c r="V1580" s="19" t="s">
        <v>1692</v>
      </c>
      <c r="W1580" s="142" t="s">
        <v>1750</v>
      </c>
    </row>
    <row r="1581" spans="1:23" x14ac:dyDescent="0.3">
      <c r="A1581" s="1"/>
      <c r="B1581" s="1"/>
      <c r="C1581" s="1"/>
      <c r="D1581" s="1"/>
      <c r="E1581" s="16" t="s">
        <v>123</v>
      </c>
      <c r="F1581" s="16" t="s">
        <v>1647</v>
      </c>
      <c r="G1581" s="16">
        <v>2</v>
      </c>
      <c r="H1581" s="16" t="s">
        <v>141</v>
      </c>
      <c r="I1581" s="16">
        <v>264</v>
      </c>
      <c r="J1581" s="16">
        <f t="shared" si="345"/>
        <v>528</v>
      </c>
      <c r="K1581" s="16">
        <v>2</v>
      </c>
      <c r="L1581" s="16" t="s">
        <v>28</v>
      </c>
      <c r="M1581" s="16" t="s">
        <v>91</v>
      </c>
      <c r="N1581" s="16" t="s">
        <v>1675</v>
      </c>
      <c r="O1581" s="16">
        <v>2</v>
      </c>
      <c r="P1581" s="16">
        <v>264</v>
      </c>
      <c r="Q1581" s="16">
        <f t="shared" si="346"/>
        <v>528</v>
      </c>
      <c r="R1581" s="18">
        <v>0</v>
      </c>
      <c r="S1581" s="16">
        <f t="shared" si="347"/>
        <v>0</v>
      </c>
      <c r="T1581" s="16">
        <f t="shared" si="348"/>
        <v>528</v>
      </c>
      <c r="U1581" s="16" t="s">
        <v>1691</v>
      </c>
      <c r="V1581" s="19" t="s">
        <v>1692</v>
      </c>
      <c r="W1581" s="142" t="s">
        <v>1750</v>
      </c>
    </row>
    <row r="1582" spans="1:23" x14ac:dyDescent="0.3">
      <c r="A1582" s="1"/>
      <c r="B1582" s="1"/>
      <c r="C1582" s="1"/>
      <c r="D1582" s="1"/>
      <c r="E1582" s="1"/>
      <c r="F1582" s="124" t="s">
        <v>39</v>
      </c>
      <c r="G1582" s="1"/>
      <c r="H1582" s="1"/>
      <c r="I1582" s="1"/>
      <c r="J1582" s="124">
        <f>SUM(J1569:J1581)</f>
        <v>234712</v>
      </c>
      <c r="K1582" s="1"/>
      <c r="L1582" s="1"/>
      <c r="M1582" s="1"/>
      <c r="N1582" s="1"/>
      <c r="O1582" s="1"/>
      <c r="P1582" s="1"/>
      <c r="Q1582" s="1"/>
      <c r="R1582" s="1"/>
      <c r="S1582" s="1"/>
      <c r="T1582" s="1"/>
      <c r="U1582" s="1"/>
      <c r="V1582" s="1"/>
      <c r="W1582" s="142"/>
    </row>
    <row r="1583" spans="1:23" x14ac:dyDescent="0.3">
      <c r="A1583" s="1"/>
      <c r="B1583" s="1"/>
      <c r="C1583" s="1"/>
      <c r="D1583" s="1"/>
      <c r="E1583" s="1"/>
      <c r="F1583" s="124" t="s">
        <v>599</v>
      </c>
      <c r="G1583" s="1"/>
      <c r="H1583" s="1"/>
      <c r="I1583" s="1"/>
      <c r="J1583" s="124">
        <f>J1582*0/100</f>
        <v>0</v>
      </c>
      <c r="K1583" s="1"/>
      <c r="L1583" s="1"/>
      <c r="M1583" s="1"/>
      <c r="N1583" s="1"/>
      <c r="O1583" s="1"/>
      <c r="P1583" s="1"/>
      <c r="Q1583" s="1"/>
      <c r="R1583" s="1"/>
      <c r="S1583" s="1"/>
      <c r="T1583" s="1"/>
      <c r="U1583" s="1"/>
      <c r="V1583" s="1"/>
      <c r="W1583" s="142"/>
    </row>
    <row r="1584" spans="1:23" x14ac:dyDescent="0.3">
      <c r="A1584" s="1"/>
      <c r="B1584" s="1"/>
      <c r="C1584" s="1"/>
      <c r="D1584" s="1"/>
      <c r="E1584" s="1"/>
      <c r="F1584" s="124" t="s">
        <v>41</v>
      </c>
      <c r="G1584" s="1"/>
      <c r="H1584" s="1"/>
      <c r="I1584" s="1"/>
      <c r="J1584" s="124">
        <f>SUM(J1582:J1583)</f>
        <v>234712</v>
      </c>
      <c r="K1584" s="1"/>
      <c r="L1584" s="1"/>
      <c r="M1584" s="1"/>
      <c r="N1584" s="1"/>
      <c r="O1584" s="1"/>
      <c r="P1584" s="1"/>
      <c r="Q1584" s="1"/>
      <c r="R1584" s="1"/>
      <c r="S1584" s="1"/>
      <c r="T1584" s="1">
        <f>SUM(T1569:T1583)</f>
        <v>234712</v>
      </c>
      <c r="U1584" s="1"/>
      <c r="V1584" s="1"/>
      <c r="W1584" s="142"/>
    </row>
    <row r="1585" spans="1:23" x14ac:dyDescent="0.3">
      <c r="A1585" s="1"/>
      <c r="B1585" s="1"/>
      <c r="C1585" s="1"/>
      <c r="D1585" s="1"/>
      <c r="E1585" s="1"/>
      <c r="F1585" s="1"/>
      <c r="G1585" s="1"/>
      <c r="H1585" s="1"/>
      <c r="I1585" s="1"/>
      <c r="J1585" s="124"/>
      <c r="K1585" s="1"/>
      <c r="L1585" s="1"/>
      <c r="M1585" s="1"/>
      <c r="N1585" s="1"/>
      <c r="O1585" s="1"/>
      <c r="P1585" s="1"/>
      <c r="Q1585" s="1"/>
      <c r="R1585" s="1"/>
      <c r="S1585" s="1"/>
      <c r="T1585" s="1"/>
      <c r="U1585" s="1"/>
      <c r="V1585" s="1"/>
      <c r="W1585" s="142"/>
    </row>
    <row r="1586" spans="1:23" x14ac:dyDescent="0.3">
      <c r="A1586" s="16">
        <v>132</v>
      </c>
      <c r="B1586" s="16">
        <v>9200147672</v>
      </c>
      <c r="C1586" s="16" t="s">
        <v>1658</v>
      </c>
      <c r="D1586" s="16" t="s">
        <v>43</v>
      </c>
      <c r="E1586" s="16" t="s">
        <v>123</v>
      </c>
      <c r="F1586" s="16" t="s">
        <v>1659</v>
      </c>
      <c r="G1586" s="16">
        <v>12</v>
      </c>
      <c r="H1586" s="16" t="s">
        <v>28</v>
      </c>
      <c r="I1586" s="16">
        <v>850</v>
      </c>
      <c r="J1586" s="16">
        <f>G1586*I1586</f>
        <v>10200</v>
      </c>
      <c r="K1586" s="16"/>
      <c r="L1586" s="16"/>
      <c r="M1586" s="16"/>
      <c r="N1586" s="16"/>
      <c r="O1586" s="16">
        <v>12</v>
      </c>
      <c r="P1586" s="16">
        <v>850</v>
      </c>
      <c r="Q1586" s="16">
        <f>O1586*P1586</f>
        <v>10200</v>
      </c>
      <c r="R1586" s="18">
        <v>0</v>
      </c>
      <c r="S1586" s="16">
        <f>Q1586*R1586</f>
        <v>0</v>
      </c>
      <c r="T1586" s="16">
        <f>Q1586+S1586</f>
        <v>10200</v>
      </c>
      <c r="U1586" s="16" t="s">
        <v>1697</v>
      </c>
      <c r="V1586" s="19" t="s">
        <v>1698</v>
      </c>
      <c r="W1586" s="142" t="s">
        <v>1726</v>
      </c>
    </row>
    <row r="1587" spans="1:23" x14ac:dyDescent="0.3">
      <c r="A1587" s="1"/>
      <c r="B1587" s="1"/>
      <c r="C1587" s="1"/>
      <c r="D1587" s="1"/>
      <c r="E1587" s="16" t="s">
        <v>123</v>
      </c>
      <c r="F1587" s="16" t="s">
        <v>1660</v>
      </c>
      <c r="G1587" s="16">
        <v>8</v>
      </c>
      <c r="H1587" s="16" t="s">
        <v>28</v>
      </c>
      <c r="I1587" s="16">
        <v>1080</v>
      </c>
      <c r="J1587" s="16">
        <f t="shared" ref="J1587:J1589" si="349">G1587*I1587</f>
        <v>8640</v>
      </c>
      <c r="K1587" s="16">
        <v>8</v>
      </c>
      <c r="L1587" s="16" t="s">
        <v>28</v>
      </c>
      <c r="M1587" s="16" t="s">
        <v>91</v>
      </c>
      <c r="N1587" s="16" t="s">
        <v>1688</v>
      </c>
      <c r="O1587" s="16">
        <v>8</v>
      </c>
      <c r="P1587" s="16">
        <v>1080</v>
      </c>
      <c r="Q1587" s="16">
        <f t="shared" ref="Q1587:Q1589" si="350">O1587*P1587</f>
        <v>8640</v>
      </c>
      <c r="R1587" s="18">
        <v>0</v>
      </c>
      <c r="S1587" s="16">
        <f t="shared" ref="S1587:S1589" si="351">Q1587*R1587</f>
        <v>0</v>
      </c>
      <c r="T1587" s="16">
        <f t="shared" ref="T1587:T1589" si="352">Q1587+S1587</f>
        <v>8640</v>
      </c>
      <c r="U1587" s="16" t="s">
        <v>1697</v>
      </c>
      <c r="V1587" s="19" t="s">
        <v>1698</v>
      </c>
      <c r="W1587" s="142" t="s">
        <v>1726</v>
      </c>
    </row>
    <row r="1588" spans="1:23" ht="25.2" x14ac:dyDescent="0.3">
      <c r="A1588" s="1"/>
      <c r="B1588" s="1"/>
      <c r="C1588" s="1"/>
      <c r="D1588" s="1"/>
      <c r="E1588" s="16" t="s">
        <v>123</v>
      </c>
      <c r="F1588" s="39" t="s">
        <v>1661</v>
      </c>
      <c r="G1588" s="16">
        <v>2</v>
      </c>
      <c r="H1588" s="16" t="s">
        <v>28</v>
      </c>
      <c r="I1588" s="16">
        <v>2120</v>
      </c>
      <c r="J1588" s="16">
        <f t="shared" si="349"/>
        <v>4240</v>
      </c>
      <c r="K1588" s="16">
        <v>2</v>
      </c>
      <c r="L1588" s="16" t="s">
        <v>28</v>
      </c>
      <c r="M1588" s="16" t="s">
        <v>91</v>
      </c>
      <c r="N1588" s="16" t="s">
        <v>1688</v>
      </c>
      <c r="O1588" s="16">
        <v>2</v>
      </c>
      <c r="P1588" s="16">
        <v>2120</v>
      </c>
      <c r="Q1588" s="16">
        <f t="shared" si="350"/>
        <v>4240</v>
      </c>
      <c r="R1588" s="18">
        <v>0</v>
      </c>
      <c r="S1588" s="16">
        <f t="shared" si="351"/>
        <v>0</v>
      </c>
      <c r="T1588" s="16">
        <f t="shared" si="352"/>
        <v>4240</v>
      </c>
      <c r="U1588" s="16" t="s">
        <v>1697</v>
      </c>
      <c r="V1588" s="19" t="s">
        <v>1698</v>
      </c>
      <c r="W1588" s="142" t="s">
        <v>1726</v>
      </c>
    </row>
    <row r="1589" spans="1:23" ht="25.2" x14ac:dyDescent="0.3">
      <c r="A1589" s="1"/>
      <c r="B1589" s="1"/>
      <c r="C1589" s="1"/>
      <c r="D1589" s="1"/>
      <c r="E1589" s="16" t="s">
        <v>123</v>
      </c>
      <c r="F1589" s="39" t="s">
        <v>1662</v>
      </c>
      <c r="G1589" s="16">
        <v>2</v>
      </c>
      <c r="H1589" s="16" t="s">
        <v>28</v>
      </c>
      <c r="I1589" s="16">
        <v>1730</v>
      </c>
      <c r="J1589" s="16">
        <f t="shared" si="349"/>
        <v>3460</v>
      </c>
      <c r="K1589" s="16">
        <v>2</v>
      </c>
      <c r="L1589" s="16" t="s">
        <v>28</v>
      </c>
      <c r="M1589" s="16" t="s">
        <v>91</v>
      </c>
      <c r="N1589" s="16" t="s">
        <v>1688</v>
      </c>
      <c r="O1589" s="16">
        <v>2</v>
      </c>
      <c r="P1589" s="16">
        <v>1730</v>
      </c>
      <c r="Q1589" s="16">
        <f t="shared" si="350"/>
        <v>3460</v>
      </c>
      <c r="R1589" s="18">
        <v>0</v>
      </c>
      <c r="S1589" s="16">
        <f t="shared" si="351"/>
        <v>0</v>
      </c>
      <c r="T1589" s="16">
        <f t="shared" si="352"/>
        <v>3460</v>
      </c>
      <c r="U1589" s="16" t="s">
        <v>1697</v>
      </c>
      <c r="V1589" s="19" t="s">
        <v>1698</v>
      </c>
      <c r="W1589" s="142" t="s">
        <v>1726</v>
      </c>
    </row>
    <row r="1590" spans="1:23" x14ac:dyDescent="0.3">
      <c r="A1590" s="1"/>
      <c r="B1590" s="1"/>
      <c r="C1590" s="1"/>
      <c r="D1590" s="1"/>
      <c r="E1590" s="1"/>
      <c r="F1590" s="124" t="s">
        <v>39</v>
      </c>
      <c r="G1590" s="1"/>
      <c r="H1590" s="1"/>
      <c r="I1590" s="1"/>
      <c r="J1590" s="124">
        <f>SUM(J1586:J1589)</f>
        <v>26540</v>
      </c>
      <c r="K1590" s="1"/>
      <c r="L1590" s="1"/>
      <c r="M1590" s="1"/>
      <c r="N1590" s="1"/>
      <c r="O1590" s="1"/>
      <c r="P1590" s="1"/>
      <c r="Q1590" s="1"/>
      <c r="R1590" s="1"/>
      <c r="S1590" s="1"/>
      <c r="T1590" s="1"/>
      <c r="U1590" s="1"/>
      <c r="V1590" s="1"/>
      <c r="W1590" s="142"/>
    </row>
    <row r="1591" spans="1:23" x14ac:dyDescent="0.3">
      <c r="A1591" s="1"/>
      <c r="B1591" s="1"/>
      <c r="C1591" s="1"/>
      <c r="D1591" s="1"/>
      <c r="E1591" s="1"/>
      <c r="F1591" s="124" t="s">
        <v>599</v>
      </c>
      <c r="G1591" s="1"/>
      <c r="H1591" s="1"/>
      <c r="I1591" s="1"/>
      <c r="J1591" s="124">
        <f>J1590*0/100</f>
        <v>0</v>
      </c>
      <c r="K1591" s="1"/>
      <c r="L1591" s="1"/>
      <c r="M1591" s="1"/>
      <c r="N1591" s="1"/>
      <c r="O1591" s="1"/>
      <c r="P1591" s="1"/>
      <c r="Q1591" s="1"/>
      <c r="R1591" s="1"/>
      <c r="S1591" s="1"/>
      <c r="T1591" s="1"/>
      <c r="U1591" s="1"/>
      <c r="V1591" s="1"/>
      <c r="W1591" s="142"/>
    </row>
    <row r="1592" spans="1:23" x14ac:dyDescent="0.3">
      <c r="A1592" s="1"/>
      <c r="B1592" s="1"/>
      <c r="C1592" s="1"/>
      <c r="D1592" s="1"/>
      <c r="E1592" s="1"/>
      <c r="F1592" s="124" t="s">
        <v>41</v>
      </c>
      <c r="G1592" s="1"/>
      <c r="H1592" s="1"/>
      <c r="I1592" s="1"/>
      <c r="J1592" s="124">
        <f>SUM(J1590:J1591)</f>
        <v>26540</v>
      </c>
      <c r="K1592" s="1"/>
      <c r="L1592" s="1"/>
      <c r="M1592" s="1"/>
      <c r="N1592" s="1"/>
      <c r="O1592" s="1"/>
      <c r="P1592" s="1"/>
      <c r="Q1592" s="1"/>
      <c r="R1592" s="1"/>
      <c r="S1592" s="1"/>
      <c r="T1592" s="1">
        <f>SUM(T1586:T1591)</f>
        <v>26540</v>
      </c>
      <c r="U1592" s="1"/>
      <c r="V1592" s="1"/>
      <c r="W1592" s="142"/>
    </row>
    <row r="1593" spans="1:23" x14ac:dyDescent="0.3">
      <c r="A1593" s="1"/>
      <c r="B1593" s="1"/>
      <c r="C1593" s="1"/>
      <c r="D1593" s="1"/>
      <c r="E1593" s="1"/>
      <c r="F1593" s="1"/>
      <c r="G1593" s="1"/>
      <c r="H1593" s="1"/>
      <c r="I1593" s="1"/>
      <c r="J1593" s="124"/>
      <c r="K1593" s="1"/>
      <c r="L1593" s="1"/>
      <c r="M1593" s="1"/>
      <c r="N1593" s="1"/>
      <c r="O1593" s="1"/>
      <c r="P1593" s="1"/>
      <c r="Q1593" s="1"/>
      <c r="R1593" s="1"/>
      <c r="S1593" s="1"/>
      <c r="T1593" s="1"/>
      <c r="U1593" s="1"/>
      <c r="V1593" s="1"/>
      <c r="W1593" s="142"/>
    </row>
    <row r="1594" spans="1:23" ht="37.799999999999997" x14ac:dyDescent="0.3">
      <c r="A1594" s="101">
        <v>133</v>
      </c>
      <c r="B1594" s="101">
        <v>8100020737</v>
      </c>
      <c r="C1594" s="101" t="s">
        <v>1663</v>
      </c>
      <c r="D1594" s="102" t="s">
        <v>1665</v>
      </c>
      <c r="E1594" s="101" t="s">
        <v>127</v>
      </c>
      <c r="F1594" s="101" t="s">
        <v>1664</v>
      </c>
      <c r="G1594" s="101">
        <v>200</v>
      </c>
      <c r="H1594" s="101" t="s">
        <v>60</v>
      </c>
      <c r="I1594" s="101">
        <v>112</v>
      </c>
      <c r="J1594" s="101">
        <f>G1594*I1594</f>
        <v>22400</v>
      </c>
      <c r="K1594" s="1"/>
      <c r="L1594" s="1"/>
      <c r="M1594" s="1"/>
      <c r="N1594" s="1"/>
      <c r="O1594" s="1"/>
      <c r="P1594" s="1"/>
      <c r="Q1594" s="1"/>
      <c r="R1594" s="1"/>
      <c r="S1594" s="1"/>
      <c r="T1594" s="1"/>
      <c r="U1594" s="1"/>
      <c r="V1594" s="1"/>
      <c r="W1594" s="142"/>
    </row>
    <row r="1595" spans="1:23" x14ac:dyDescent="0.3">
      <c r="A1595" s="101"/>
      <c r="B1595" s="184"/>
      <c r="C1595" s="185" t="s">
        <v>1682</v>
      </c>
      <c r="D1595" s="184"/>
      <c r="E1595" s="101" t="s">
        <v>127</v>
      </c>
      <c r="F1595" s="101" t="s">
        <v>1666</v>
      </c>
      <c r="G1595" s="101">
        <v>2</v>
      </c>
      <c r="H1595" s="101" t="s">
        <v>28</v>
      </c>
      <c r="I1595" s="101">
        <v>5800</v>
      </c>
      <c r="J1595" s="101">
        <f t="shared" ref="J1595:J1596" si="353">G1595*I1595</f>
        <v>11600</v>
      </c>
      <c r="K1595" s="1"/>
      <c r="L1595" s="1"/>
      <c r="M1595" s="1"/>
      <c r="N1595" s="1"/>
      <c r="O1595" s="1"/>
      <c r="P1595" s="1"/>
      <c r="Q1595" s="1"/>
      <c r="R1595" s="1"/>
      <c r="S1595" s="1"/>
      <c r="T1595" s="1"/>
      <c r="U1595" s="1"/>
      <c r="V1595" s="1"/>
      <c r="W1595" s="142"/>
    </row>
    <row r="1596" spans="1:23" x14ac:dyDescent="0.3">
      <c r="A1596" s="101"/>
      <c r="B1596" s="101"/>
      <c r="C1596" s="101"/>
      <c r="D1596" s="101"/>
      <c r="E1596" s="101" t="s">
        <v>123</v>
      </c>
      <c r="F1596" s="101" t="s">
        <v>1667</v>
      </c>
      <c r="G1596" s="101">
        <v>1</v>
      </c>
      <c r="H1596" s="101" t="s">
        <v>87</v>
      </c>
      <c r="I1596" s="101">
        <v>18500</v>
      </c>
      <c r="J1596" s="101">
        <f t="shared" si="353"/>
        <v>18500</v>
      </c>
      <c r="K1596" s="1"/>
      <c r="L1596" s="1"/>
      <c r="M1596" s="1"/>
      <c r="N1596" s="1"/>
      <c r="O1596" s="1"/>
      <c r="P1596" s="1"/>
      <c r="Q1596" s="1"/>
      <c r="R1596" s="1"/>
      <c r="S1596" s="1"/>
      <c r="T1596" s="1"/>
      <c r="U1596" s="1"/>
      <c r="V1596" s="1"/>
      <c r="W1596" s="142"/>
    </row>
    <row r="1597" spans="1:23" x14ac:dyDescent="0.3">
      <c r="A1597" s="101"/>
      <c r="B1597" s="101" t="s">
        <v>1959</v>
      </c>
      <c r="C1597" s="101"/>
      <c r="D1597" s="101"/>
      <c r="E1597" s="101"/>
      <c r="F1597" s="180" t="s">
        <v>39</v>
      </c>
      <c r="G1597" s="101"/>
      <c r="H1597" s="101"/>
      <c r="I1597" s="101"/>
      <c r="J1597" s="180">
        <f>SUM(J1594:J1596)</f>
        <v>52500</v>
      </c>
      <c r="K1597" s="1"/>
      <c r="L1597" s="1"/>
      <c r="M1597" s="1"/>
      <c r="N1597" s="1"/>
      <c r="O1597" s="1"/>
      <c r="P1597" s="1"/>
      <c r="Q1597" s="1"/>
      <c r="R1597" s="1"/>
      <c r="S1597" s="1"/>
      <c r="T1597" s="1"/>
      <c r="U1597" s="1"/>
      <c r="V1597" s="1"/>
      <c r="W1597" s="142"/>
    </row>
    <row r="1598" spans="1:23" x14ac:dyDescent="0.3">
      <c r="A1598" s="101"/>
      <c r="B1598" s="101"/>
      <c r="C1598" s="101"/>
      <c r="D1598" s="101"/>
      <c r="E1598" s="101"/>
      <c r="F1598" s="180" t="s">
        <v>599</v>
      </c>
      <c r="G1598" s="101"/>
      <c r="H1598" s="101"/>
      <c r="I1598" s="101"/>
      <c r="J1598" s="180">
        <f>J1597*0/100</f>
        <v>0</v>
      </c>
      <c r="K1598" s="1"/>
      <c r="L1598" s="1"/>
      <c r="M1598" s="1"/>
      <c r="N1598" s="1"/>
      <c r="O1598" s="1"/>
      <c r="P1598" s="1"/>
      <c r="Q1598" s="1"/>
      <c r="R1598" s="1"/>
      <c r="S1598" s="1"/>
      <c r="T1598" s="1"/>
      <c r="U1598" s="1"/>
      <c r="V1598" s="1"/>
      <c r="W1598" s="142"/>
    </row>
    <row r="1599" spans="1:23" x14ac:dyDescent="0.3">
      <c r="A1599" s="101"/>
      <c r="B1599" s="101"/>
      <c r="C1599" s="101"/>
      <c r="D1599" s="101"/>
      <c r="E1599" s="101"/>
      <c r="F1599" s="180" t="s">
        <v>41</v>
      </c>
      <c r="G1599" s="101"/>
      <c r="H1599" s="101"/>
      <c r="I1599" s="101"/>
      <c r="J1599" s="180">
        <f>SUM(J1597:J1598)</f>
        <v>52500</v>
      </c>
      <c r="K1599" s="1"/>
      <c r="L1599" s="1"/>
      <c r="M1599" s="1"/>
      <c r="N1599" s="1"/>
      <c r="O1599" s="1"/>
      <c r="P1599" s="1"/>
      <c r="Q1599" s="1"/>
      <c r="R1599" s="1"/>
      <c r="S1599" s="1"/>
      <c r="T1599" s="1"/>
      <c r="U1599" s="1"/>
      <c r="V1599" s="1"/>
      <c r="W1599" s="142"/>
    </row>
    <row r="1600" spans="1:23" x14ac:dyDescent="0.3">
      <c r="A1600" s="1"/>
      <c r="B1600" s="1"/>
      <c r="C1600" s="1"/>
      <c r="D1600" s="1"/>
      <c r="E1600" s="1"/>
      <c r="F1600" s="124"/>
      <c r="G1600" s="1"/>
      <c r="H1600" s="1"/>
      <c r="I1600" s="1"/>
      <c r="J1600" s="124"/>
      <c r="K1600" s="1"/>
      <c r="L1600" s="1"/>
      <c r="M1600" s="1"/>
      <c r="N1600" s="1"/>
      <c r="O1600" s="1"/>
      <c r="P1600" s="1"/>
      <c r="Q1600" s="1"/>
      <c r="R1600" s="1"/>
      <c r="S1600" s="1"/>
      <c r="T1600" s="1"/>
      <c r="U1600" s="1"/>
      <c r="V1600" s="1"/>
      <c r="W1600" s="142"/>
    </row>
    <row r="1601" spans="1:23" ht="25.2" x14ac:dyDescent="0.3">
      <c r="A1601" s="16">
        <v>134</v>
      </c>
      <c r="B1601" s="16">
        <v>9200148015</v>
      </c>
      <c r="C1601" s="16" t="s">
        <v>1670</v>
      </c>
      <c r="D1601" s="16" t="s">
        <v>43</v>
      </c>
      <c r="E1601" s="16" t="s">
        <v>123</v>
      </c>
      <c r="F1601" s="39" t="s">
        <v>1671</v>
      </c>
      <c r="G1601" s="16">
        <v>170</v>
      </c>
      <c r="H1601" s="16" t="s">
        <v>28</v>
      </c>
      <c r="I1601" s="16">
        <v>650</v>
      </c>
      <c r="J1601" s="16">
        <f>G1601*I1601</f>
        <v>110500</v>
      </c>
      <c r="K1601" s="16">
        <v>170</v>
      </c>
      <c r="L1601" s="16" t="s">
        <v>28</v>
      </c>
      <c r="M1601" s="16" t="s">
        <v>91</v>
      </c>
      <c r="N1601" s="16" t="s">
        <v>1700</v>
      </c>
      <c r="O1601" s="16">
        <v>170</v>
      </c>
      <c r="P1601" s="16">
        <v>650</v>
      </c>
      <c r="Q1601" s="16">
        <f>O1601*P1601</f>
        <v>110500</v>
      </c>
      <c r="R1601" s="18">
        <v>0</v>
      </c>
      <c r="S1601" s="16">
        <f>Q1601*R1601</f>
        <v>0</v>
      </c>
      <c r="T1601" s="16">
        <f>Q1601+S1601</f>
        <v>110500</v>
      </c>
      <c r="U1601" s="16" t="s">
        <v>1827</v>
      </c>
      <c r="V1601" s="19" t="s">
        <v>1828</v>
      </c>
      <c r="W1601" s="142" t="s">
        <v>1889</v>
      </c>
    </row>
    <row r="1602" spans="1:23" x14ac:dyDescent="0.3">
      <c r="A1602" s="1"/>
      <c r="B1602" s="1"/>
      <c r="C1602" s="1"/>
      <c r="D1602" s="1"/>
      <c r="E1602" s="16" t="s">
        <v>123</v>
      </c>
      <c r="F1602" s="16" t="s">
        <v>1672</v>
      </c>
      <c r="G1602" s="16">
        <v>60</v>
      </c>
      <c r="H1602" s="16" t="s">
        <v>28</v>
      </c>
      <c r="I1602" s="16">
        <v>450</v>
      </c>
      <c r="J1602" s="16">
        <f t="shared" ref="J1602:J1611" si="354">G1602*I1602</f>
        <v>27000</v>
      </c>
      <c r="K1602" s="16">
        <v>60</v>
      </c>
      <c r="L1602" s="16" t="s">
        <v>28</v>
      </c>
      <c r="M1602" s="16" t="s">
        <v>91</v>
      </c>
      <c r="N1602" s="16" t="s">
        <v>1700</v>
      </c>
      <c r="O1602" s="16">
        <v>60</v>
      </c>
      <c r="P1602" s="16">
        <v>450</v>
      </c>
      <c r="Q1602" s="16">
        <f t="shared" ref="Q1602:Q1604" si="355">O1602*P1602</f>
        <v>27000</v>
      </c>
      <c r="R1602" s="18">
        <v>0</v>
      </c>
      <c r="S1602" s="16">
        <f t="shared" ref="S1602:S1604" si="356">Q1602*R1602</f>
        <v>0</v>
      </c>
      <c r="T1602" s="16">
        <f t="shared" ref="T1602:T1604" si="357">Q1602+S1602</f>
        <v>27000</v>
      </c>
      <c r="U1602" s="16" t="s">
        <v>1827</v>
      </c>
      <c r="V1602" s="19" t="s">
        <v>1828</v>
      </c>
      <c r="W1602" s="142" t="s">
        <v>1889</v>
      </c>
    </row>
    <row r="1603" spans="1:23" x14ac:dyDescent="0.3">
      <c r="A1603" s="1"/>
      <c r="B1603" s="1"/>
      <c r="C1603" s="1"/>
      <c r="D1603" s="1"/>
      <c r="E1603" s="16" t="s">
        <v>123</v>
      </c>
      <c r="F1603" s="16" t="s">
        <v>1673</v>
      </c>
      <c r="G1603" s="16">
        <v>70</v>
      </c>
      <c r="H1603" s="16" t="s">
        <v>28</v>
      </c>
      <c r="I1603" s="16">
        <v>700</v>
      </c>
      <c r="J1603" s="16">
        <f t="shared" si="354"/>
        <v>49000</v>
      </c>
      <c r="K1603" s="16">
        <v>4</v>
      </c>
      <c r="L1603" s="16" t="s">
        <v>53</v>
      </c>
      <c r="M1603" s="16" t="s">
        <v>91</v>
      </c>
      <c r="N1603" s="16" t="s">
        <v>1816</v>
      </c>
      <c r="O1603" s="16">
        <v>70</v>
      </c>
      <c r="P1603" s="16">
        <v>700</v>
      </c>
      <c r="Q1603" s="16">
        <f t="shared" si="355"/>
        <v>49000</v>
      </c>
      <c r="R1603" s="18">
        <v>0</v>
      </c>
      <c r="S1603" s="16">
        <f t="shared" si="356"/>
        <v>0</v>
      </c>
      <c r="T1603" s="16">
        <f t="shared" si="357"/>
        <v>49000</v>
      </c>
      <c r="U1603" s="16" t="s">
        <v>1827</v>
      </c>
      <c r="V1603" s="19" t="s">
        <v>1828</v>
      </c>
      <c r="W1603" s="142" t="s">
        <v>1889</v>
      </c>
    </row>
    <row r="1604" spans="1:23" ht="25.2" x14ac:dyDescent="0.3">
      <c r="A1604" s="1"/>
      <c r="B1604" s="1"/>
      <c r="C1604" s="1"/>
      <c r="D1604" s="1"/>
      <c r="E1604" s="16" t="s">
        <v>123</v>
      </c>
      <c r="F1604" s="39" t="s">
        <v>1674</v>
      </c>
      <c r="G1604" s="16">
        <v>4</v>
      </c>
      <c r="H1604" s="16" t="s">
        <v>28</v>
      </c>
      <c r="I1604" s="16">
        <v>2800</v>
      </c>
      <c r="J1604" s="16">
        <f t="shared" si="354"/>
        <v>11200</v>
      </c>
      <c r="K1604" s="16"/>
      <c r="L1604" s="16"/>
      <c r="M1604" s="16"/>
      <c r="N1604" s="16"/>
      <c r="O1604" s="16">
        <v>4</v>
      </c>
      <c r="P1604" s="16">
        <v>2800</v>
      </c>
      <c r="Q1604" s="16">
        <f t="shared" si="355"/>
        <v>11200</v>
      </c>
      <c r="R1604" s="18">
        <v>0</v>
      </c>
      <c r="S1604" s="16">
        <f t="shared" si="356"/>
        <v>0</v>
      </c>
      <c r="T1604" s="16">
        <f t="shared" si="357"/>
        <v>11200</v>
      </c>
      <c r="U1604" s="16" t="s">
        <v>1827</v>
      </c>
      <c r="V1604" s="19" t="s">
        <v>1828</v>
      </c>
      <c r="W1604" s="142" t="s">
        <v>1889</v>
      </c>
    </row>
    <row r="1605" spans="1:23" x14ac:dyDescent="0.3">
      <c r="A1605" s="1"/>
      <c r="B1605" s="1"/>
      <c r="C1605" s="1"/>
      <c r="D1605" s="1"/>
      <c r="E1605" s="1"/>
      <c r="F1605" s="124" t="s">
        <v>39</v>
      </c>
      <c r="G1605" s="1"/>
      <c r="H1605" s="1"/>
      <c r="I1605" s="1"/>
      <c r="J1605" s="124">
        <f>SUM(J1601:J1604)</f>
        <v>197700</v>
      </c>
      <c r="K1605" s="1"/>
      <c r="L1605" s="1"/>
      <c r="M1605" s="1"/>
      <c r="N1605" s="1"/>
      <c r="O1605" s="1"/>
      <c r="P1605" s="1"/>
      <c r="Q1605" s="1"/>
      <c r="R1605" s="1"/>
      <c r="S1605" s="1"/>
      <c r="T1605" s="1"/>
      <c r="U1605" s="1"/>
      <c r="V1605" s="1"/>
      <c r="W1605" s="142"/>
    </row>
    <row r="1606" spans="1:23" x14ac:dyDescent="0.3">
      <c r="A1606" s="1"/>
      <c r="B1606" s="1"/>
      <c r="C1606" s="1"/>
      <c r="D1606" s="1"/>
      <c r="E1606" s="1"/>
      <c r="F1606" s="124" t="s">
        <v>599</v>
      </c>
      <c r="G1606" s="1"/>
      <c r="H1606" s="1"/>
      <c r="I1606" s="1"/>
      <c r="J1606" s="124">
        <f>J1605*0/100</f>
        <v>0</v>
      </c>
      <c r="K1606" s="1"/>
      <c r="L1606" s="1"/>
      <c r="M1606" s="1"/>
      <c r="N1606" s="1"/>
      <c r="O1606" s="1"/>
      <c r="P1606" s="1"/>
      <c r="Q1606" s="1"/>
      <c r="R1606" s="1"/>
      <c r="S1606" s="1"/>
      <c r="T1606" s="1"/>
      <c r="U1606" s="1"/>
      <c r="V1606" s="1"/>
      <c r="W1606" s="142"/>
    </row>
    <row r="1607" spans="1:23" x14ac:dyDescent="0.3">
      <c r="A1607" s="1"/>
      <c r="B1607" s="1"/>
      <c r="C1607" s="1"/>
      <c r="D1607" s="1"/>
      <c r="E1607" s="1"/>
      <c r="F1607" s="124" t="s">
        <v>41</v>
      </c>
      <c r="G1607" s="1"/>
      <c r="H1607" s="1"/>
      <c r="I1607" s="1"/>
      <c r="J1607" s="124">
        <f>SUM(J1605:J1606)</f>
        <v>197700</v>
      </c>
      <c r="K1607" s="1"/>
      <c r="L1607" s="1"/>
      <c r="M1607" s="1"/>
      <c r="N1607" s="1"/>
      <c r="O1607" s="1"/>
      <c r="P1607" s="1"/>
      <c r="Q1607" s="1"/>
      <c r="R1607" s="1"/>
      <c r="S1607" s="1"/>
      <c r="T1607" s="1">
        <f>SUM(T1601:T1606)</f>
        <v>197700</v>
      </c>
      <c r="U1607" s="1"/>
      <c r="V1607" s="1"/>
      <c r="W1607" s="142"/>
    </row>
    <row r="1608" spans="1:23" x14ac:dyDescent="0.3">
      <c r="A1608" s="1"/>
      <c r="B1608" s="1"/>
      <c r="C1608" s="1"/>
      <c r="D1608" s="1"/>
      <c r="E1608" s="1"/>
      <c r="F1608" s="124"/>
      <c r="G1608" s="1"/>
      <c r="H1608" s="1"/>
      <c r="I1608" s="1"/>
      <c r="J1608" s="124"/>
      <c r="K1608" s="1"/>
      <c r="L1608" s="1"/>
      <c r="M1608" s="1"/>
      <c r="N1608" s="1"/>
      <c r="O1608" s="1"/>
      <c r="P1608" s="1"/>
      <c r="Q1608" s="1"/>
      <c r="R1608" s="1"/>
      <c r="S1608" s="1"/>
      <c r="T1608" s="1"/>
      <c r="U1608" s="1"/>
      <c r="V1608" s="1"/>
      <c r="W1608" s="142"/>
    </row>
    <row r="1609" spans="1:23" ht="25.2" x14ac:dyDescent="0.3">
      <c r="A1609" s="16">
        <v>135</v>
      </c>
      <c r="B1609" s="16">
        <v>8100020837</v>
      </c>
      <c r="C1609" s="16" t="s">
        <v>1683</v>
      </c>
      <c r="D1609" s="16" t="s">
        <v>373</v>
      </c>
      <c r="E1609" s="16" t="s">
        <v>127</v>
      </c>
      <c r="F1609" s="39" t="s">
        <v>1684</v>
      </c>
      <c r="G1609" s="16">
        <v>2</v>
      </c>
      <c r="H1609" s="16" t="s">
        <v>28</v>
      </c>
      <c r="I1609" s="16">
        <v>71500</v>
      </c>
      <c r="J1609" s="16">
        <f t="shared" si="354"/>
        <v>143000</v>
      </c>
      <c r="K1609" s="16"/>
      <c r="L1609" s="16"/>
      <c r="M1609" s="16"/>
      <c r="N1609" s="16"/>
      <c r="O1609" s="16">
        <v>2</v>
      </c>
      <c r="P1609" s="16">
        <v>71500</v>
      </c>
      <c r="Q1609" s="16">
        <f>O1609*P1609</f>
        <v>143000</v>
      </c>
      <c r="R1609" s="18">
        <v>0</v>
      </c>
      <c r="S1609" s="16">
        <f>Q1609*R1609</f>
        <v>0</v>
      </c>
      <c r="T1609" s="16">
        <f>Q1609+S1609</f>
        <v>143000</v>
      </c>
      <c r="U1609" s="16" t="s">
        <v>1752</v>
      </c>
      <c r="V1609" s="19">
        <v>45727</v>
      </c>
      <c r="W1609" s="142" t="s">
        <v>1782</v>
      </c>
    </row>
    <row r="1610" spans="1:23" x14ac:dyDescent="0.3">
      <c r="A1610" s="1"/>
      <c r="B1610" s="1"/>
      <c r="C1610" s="1"/>
      <c r="D1610" s="1"/>
      <c r="E1610" s="16" t="s">
        <v>123</v>
      </c>
      <c r="F1610" s="16" t="s">
        <v>1685</v>
      </c>
      <c r="G1610" s="16">
        <v>2</v>
      </c>
      <c r="H1610" s="16" t="s">
        <v>28</v>
      </c>
      <c r="I1610" s="16">
        <v>6000</v>
      </c>
      <c r="J1610" s="16">
        <f t="shared" si="354"/>
        <v>12000</v>
      </c>
      <c r="K1610" s="16"/>
      <c r="L1610" s="16"/>
      <c r="M1610" s="16"/>
      <c r="N1610" s="16"/>
      <c r="O1610" s="16">
        <v>2</v>
      </c>
      <c r="P1610" s="16">
        <v>6000</v>
      </c>
      <c r="Q1610" s="16">
        <f t="shared" ref="Q1610:Q1611" si="358">O1610*P1610</f>
        <v>12000</v>
      </c>
      <c r="R1610" s="18">
        <v>0</v>
      </c>
      <c r="S1610" s="16">
        <f t="shared" ref="S1610:S1611" si="359">Q1610*R1610</f>
        <v>0</v>
      </c>
      <c r="T1610" s="16">
        <f t="shared" ref="T1610:T1611" si="360">Q1610+S1610</f>
        <v>12000</v>
      </c>
      <c r="U1610" s="97" t="s">
        <v>1783</v>
      </c>
      <c r="V1610" s="110">
        <v>45733</v>
      </c>
      <c r="W1610" s="142" t="s">
        <v>1832</v>
      </c>
    </row>
    <row r="1611" spans="1:23" x14ac:dyDescent="0.3">
      <c r="A1611" s="1"/>
      <c r="B1611" s="1"/>
      <c r="C1611" s="1"/>
      <c r="D1611" s="1"/>
      <c r="E1611" s="16" t="s">
        <v>123</v>
      </c>
      <c r="F1611" s="16" t="s">
        <v>323</v>
      </c>
      <c r="G1611" s="16">
        <v>1</v>
      </c>
      <c r="H1611" s="16" t="s">
        <v>87</v>
      </c>
      <c r="I1611" s="16">
        <v>4500</v>
      </c>
      <c r="J1611" s="16">
        <f t="shared" si="354"/>
        <v>4500</v>
      </c>
      <c r="K1611" s="16"/>
      <c r="L1611" s="16"/>
      <c r="M1611" s="16"/>
      <c r="N1611" s="16"/>
      <c r="O1611" s="16">
        <v>1</v>
      </c>
      <c r="P1611" s="16">
        <v>4500</v>
      </c>
      <c r="Q1611" s="16">
        <f t="shared" si="358"/>
        <v>4500</v>
      </c>
      <c r="R1611" s="18">
        <v>0</v>
      </c>
      <c r="S1611" s="16">
        <f t="shared" si="359"/>
        <v>0</v>
      </c>
      <c r="T1611" s="16">
        <f t="shared" si="360"/>
        <v>4500</v>
      </c>
      <c r="U1611" s="97" t="s">
        <v>1783</v>
      </c>
      <c r="V1611" s="110">
        <v>45733</v>
      </c>
      <c r="W1611" s="142" t="s">
        <v>1832</v>
      </c>
    </row>
    <row r="1612" spans="1:23" x14ac:dyDescent="0.3">
      <c r="A1612" s="1"/>
      <c r="B1612" s="1"/>
      <c r="C1612" s="1"/>
      <c r="D1612" s="1"/>
      <c r="E1612" s="1"/>
      <c r="F1612" s="124" t="s">
        <v>39</v>
      </c>
      <c r="G1612" s="1"/>
      <c r="H1612" s="1"/>
      <c r="I1612" s="1"/>
      <c r="J1612" s="124">
        <f>SUM(J1609:J1611)</f>
        <v>159500</v>
      </c>
      <c r="K1612" s="1"/>
      <c r="L1612" s="1"/>
      <c r="M1612" s="1"/>
      <c r="N1612" s="1"/>
      <c r="O1612" s="1"/>
      <c r="P1612" s="1"/>
      <c r="Q1612" s="1"/>
      <c r="R1612" s="1"/>
      <c r="S1612" s="1"/>
      <c r="T1612" s="1"/>
      <c r="U1612" s="1"/>
      <c r="V1612" s="1"/>
      <c r="W1612" s="142"/>
    </row>
    <row r="1613" spans="1:23" x14ac:dyDescent="0.3">
      <c r="A1613" s="1"/>
      <c r="B1613" s="1"/>
      <c r="C1613" s="1"/>
      <c r="D1613" s="1"/>
      <c r="E1613" s="1"/>
      <c r="F1613" s="124" t="s">
        <v>599</v>
      </c>
      <c r="G1613" s="1"/>
      <c r="H1613" s="1"/>
      <c r="I1613" s="1"/>
      <c r="J1613" s="124">
        <f>J1612*0/100</f>
        <v>0</v>
      </c>
      <c r="K1613" s="1"/>
      <c r="L1613" s="1"/>
      <c r="M1613" s="1"/>
      <c r="N1613" s="1"/>
      <c r="O1613" s="1"/>
      <c r="P1613" s="1"/>
      <c r="Q1613" s="1"/>
      <c r="R1613" s="1"/>
      <c r="S1613" s="1"/>
      <c r="T1613" s="1"/>
      <c r="U1613" s="1"/>
      <c r="V1613" s="1"/>
      <c r="W1613" s="142"/>
    </row>
    <row r="1614" spans="1:23" x14ac:dyDescent="0.3">
      <c r="A1614" s="1"/>
      <c r="B1614" s="1"/>
      <c r="C1614" s="1"/>
      <c r="D1614" s="1"/>
      <c r="E1614" s="1"/>
      <c r="F1614" s="124" t="s">
        <v>41</v>
      </c>
      <c r="G1614" s="1"/>
      <c r="H1614" s="1"/>
      <c r="I1614" s="1"/>
      <c r="J1614" s="124">
        <f>SUM(J1612:J1613)</f>
        <v>159500</v>
      </c>
      <c r="K1614" s="1"/>
      <c r="L1614" s="1"/>
      <c r="M1614" s="1"/>
      <c r="N1614" s="1"/>
      <c r="O1614" s="1"/>
      <c r="P1614" s="1"/>
      <c r="Q1614" s="1"/>
      <c r="R1614" s="1"/>
      <c r="S1614" s="1"/>
      <c r="T1614" s="1">
        <f>SUM(T1609:T1613)</f>
        <v>159500</v>
      </c>
      <c r="U1614" s="85"/>
      <c r="V1614" s="94"/>
      <c r="W1614" s="142"/>
    </row>
    <row r="1615" spans="1:23" x14ac:dyDescent="0.3">
      <c r="A1615" s="1"/>
      <c r="B1615" s="1"/>
      <c r="C1615" s="1"/>
      <c r="D1615" s="1"/>
      <c r="E1615" s="1"/>
      <c r="F1615" s="1"/>
      <c r="G1615" s="1"/>
      <c r="H1615" s="1"/>
      <c r="I1615" s="1"/>
      <c r="J1615" s="124"/>
      <c r="K1615" s="1"/>
      <c r="L1615" s="1"/>
      <c r="M1615" s="1"/>
      <c r="N1615" s="1"/>
      <c r="O1615" s="1"/>
      <c r="P1615" s="1"/>
      <c r="Q1615" s="1"/>
      <c r="R1615" s="1"/>
      <c r="S1615" s="1"/>
      <c r="T1615" s="1"/>
      <c r="U1615" s="1"/>
      <c r="V1615" s="1"/>
      <c r="W1615" s="142"/>
    </row>
    <row r="1616" spans="1:23" x14ac:dyDescent="0.3">
      <c r="A1616" s="16">
        <v>136</v>
      </c>
      <c r="B1616" s="16">
        <v>9200148811</v>
      </c>
      <c r="C1616" s="19">
        <v>45726</v>
      </c>
      <c r="D1616" s="38" t="s">
        <v>1702</v>
      </c>
      <c r="E1616" s="16" t="s">
        <v>123</v>
      </c>
      <c r="F1616" s="16" t="s">
        <v>1703</v>
      </c>
      <c r="G1616" s="16">
        <v>1</v>
      </c>
      <c r="H1616" s="16" t="s">
        <v>87</v>
      </c>
      <c r="I1616" s="16">
        <v>46500</v>
      </c>
      <c r="J1616" s="33">
        <f>G1616*I1616</f>
        <v>46500</v>
      </c>
      <c r="K1616" s="16"/>
      <c r="L1616" s="16"/>
      <c r="M1616" s="16"/>
      <c r="N1616" s="16"/>
      <c r="O1616" s="16">
        <v>1</v>
      </c>
      <c r="P1616" s="16">
        <v>46500</v>
      </c>
      <c r="Q1616" s="16">
        <f>O1616*P1616</f>
        <v>46500</v>
      </c>
      <c r="R1616" s="18">
        <v>0.18</v>
      </c>
      <c r="S1616" s="16">
        <f>Q1616*R1616</f>
        <v>8370</v>
      </c>
      <c r="T1616" s="16">
        <f>Q1616+S1616</f>
        <v>54870</v>
      </c>
      <c r="U1616" s="16" t="s">
        <v>1798</v>
      </c>
      <c r="V1616" s="19" t="s">
        <v>1799</v>
      </c>
      <c r="W1616" s="142" t="s">
        <v>1804</v>
      </c>
    </row>
    <row r="1617" spans="1:23" x14ac:dyDescent="0.3">
      <c r="A1617" s="1"/>
      <c r="B1617" s="1"/>
      <c r="C1617" s="1"/>
      <c r="D1617" s="1"/>
      <c r="E1617" s="1"/>
      <c r="F1617" s="124" t="s">
        <v>39</v>
      </c>
      <c r="G1617" s="1"/>
      <c r="H1617" s="1"/>
      <c r="I1617" s="1"/>
      <c r="J1617" s="124">
        <f>SUM(J1616)</f>
        <v>46500</v>
      </c>
      <c r="K1617" s="1"/>
      <c r="L1617" s="1"/>
      <c r="M1617" s="1"/>
      <c r="N1617" s="1"/>
      <c r="O1617" s="1"/>
      <c r="P1617" s="1"/>
      <c r="Q1617" s="1"/>
      <c r="R1617" s="1"/>
      <c r="S1617" s="1"/>
      <c r="T1617" s="1"/>
      <c r="U1617" s="1"/>
      <c r="V1617" s="1"/>
      <c r="W1617" s="142"/>
    </row>
    <row r="1618" spans="1:23" x14ac:dyDescent="0.3">
      <c r="A1618" s="1"/>
      <c r="B1618" s="1"/>
      <c r="C1618" s="1"/>
      <c r="D1618" s="1"/>
      <c r="E1618" s="1"/>
      <c r="F1618" s="124" t="s">
        <v>187</v>
      </c>
      <c r="G1618" s="1"/>
      <c r="H1618" s="1"/>
      <c r="I1618" s="1"/>
      <c r="J1618" s="124">
        <f>J1617*18/100</f>
        <v>8370</v>
      </c>
      <c r="K1618" s="1"/>
      <c r="L1618" s="1"/>
      <c r="M1618" s="1"/>
      <c r="N1618" s="1"/>
      <c r="O1618" s="1"/>
      <c r="P1618" s="1"/>
      <c r="Q1618" s="1"/>
      <c r="R1618" s="1"/>
      <c r="S1618" s="1"/>
      <c r="T1618" s="1"/>
      <c r="U1618" s="1"/>
      <c r="V1618" s="1"/>
      <c r="W1618" s="142"/>
    </row>
    <row r="1619" spans="1:23" x14ac:dyDescent="0.3">
      <c r="A1619" s="1"/>
      <c r="B1619" s="1"/>
      <c r="C1619" s="1"/>
      <c r="D1619" s="1"/>
      <c r="E1619" s="1"/>
      <c r="F1619" s="124" t="s">
        <v>41</v>
      </c>
      <c r="G1619" s="1"/>
      <c r="H1619" s="1"/>
      <c r="I1619" s="1"/>
      <c r="J1619" s="124">
        <f>SUM(J1617:J1618)</f>
        <v>54870</v>
      </c>
      <c r="K1619" s="1"/>
      <c r="L1619" s="1"/>
      <c r="M1619" s="1"/>
      <c r="N1619" s="1"/>
      <c r="O1619" s="1"/>
      <c r="P1619" s="1"/>
      <c r="Q1619" s="1"/>
      <c r="R1619" s="1"/>
      <c r="S1619" s="1"/>
      <c r="T1619" s="1"/>
      <c r="U1619" s="1"/>
      <c r="V1619" s="1"/>
      <c r="W1619" s="142"/>
    </row>
    <row r="1620" spans="1:23" x14ac:dyDescent="0.3">
      <c r="A1620" s="1"/>
      <c r="B1620" s="1"/>
      <c r="C1620" s="1"/>
      <c r="D1620" s="1"/>
      <c r="E1620" s="1"/>
      <c r="F1620" s="124"/>
      <c r="G1620" s="1"/>
      <c r="H1620" s="1"/>
      <c r="I1620" s="1"/>
      <c r="J1620" s="124"/>
      <c r="K1620" s="1"/>
      <c r="L1620" s="1"/>
      <c r="M1620" s="1"/>
      <c r="N1620" s="1"/>
      <c r="O1620" s="1"/>
      <c r="P1620" s="1"/>
      <c r="Q1620" s="1"/>
      <c r="R1620" s="1"/>
      <c r="S1620" s="1"/>
      <c r="T1620" s="1"/>
      <c r="U1620" s="1"/>
      <c r="V1620" s="1"/>
      <c r="W1620" s="142"/>
    </row>
    <row r="1621" spans="1:23" ht="37.799999999999997" x14ac:dyDescent="0.3">
      <c r="A1621" s="16">
        <v>137</v>
      </c>
      <c r="B1621" s="16">
        <v>9200148955</v>
      </c>
      <c r="C1621" s="19">
        <v>45818</v>
      </c>
      <c r="D1621" s="16" t="s">
        <v>300</v>
      </c>
      <c r="E1621" s="16" t="s">
        <v>123</v>
      </c>
      <c r="F1621" s="39" t="s">
        <v>1704</v>
      </c>
      <c r="G1621" s="16">
        <v>30</v>
      </c>
      <c r="H1621" s="16" t="s">
        <v>28</v>
      </c>
      <c r="I1621" s="16">
        <v>3500</v>
      </c>
      <c r="J1621" s="16">
        <f>G1621*I1621</f>
        <v>105000</v>
      </c>
      <c r="K1621" s="16">
        <v>30</v>
      </c>
      <c r="L1621" s="16" t="s">
        <v>28</v>
      </c>
      <c r="M1621" s="16" t="s">
        <v>91</v>
      </c>
      <c r="N1621" s="16" t="s">
        <v>1763</v>
      </c>
      <c r="O1621" s="16">
        <v>30</v>
      </c>
      <c r="P1621" s="16">
        <v>3500</v>
      </c>
      <c r="Q1621" s="16">
        <f>O1621*P1621</f>
        <v>105000</v>
      </c>
      <c r="R1621" s="18">
        <v>0.18</v>
      </c>
      <c r="S1621" s="16">
        <f>Q1621*R1621</f>
        <v>18900</v>
      </c>
      <c r="T1621" s="16">
        <f>Q1621+S1621</f>
        <v>123900</v>
      </c>
      <c r="U1621" s="16" t="s">
        <v>1817</v>
      </c>
      <c r="V1621" s="19" t="s">
        <v>1818</v>
      </c>
      <c r="W1621" s="142" t="s">
        <v>1958</v>
      </c>
    </row>
    <row r="1622" spans="1:23" x14ac:dyDescent="0.3">
      <c r="A1622" s="1"/>
      <c r="B1622" s="1"/>
      <c r="C1622" s="1"/>
      <c r="D1622" s="1"/>
      <c r="E1622" s="1"/>
      <c r="F1622" s="124" t="s">
        <v>39</v>
      </c>
      <c r="G1622" s="1"/>
      <c r="H1622" s="1"/>
      <c r="I1622" s="1"/>
      <c r="J1622" s="124">
        <f>SUM(J1621)</f>
        <v>105000</v>
      </c>
      <c r="K1622" s="1"/>
      <c r="L1622" s="1"/>
      <c r="M1622" s="1"/>
      <c r="N1622" s="1"/>
      <c r="O1622" s="1"/>
      <c r="P1622" s="1"/>
      <c r="Q1622" s="1"/>
      <c r="R1622" s="1"/>
      <c r="S1622" s="1"/>
      <c r="T1622" s="1"/>
      <c r="U1622" s="1"/>
      <c r="V1622" s="1"/>
      <c r="W1622" s="142"/>
    </row>
    <row r="1623" spans="1:23" x14ac:dyDescent="0.3">
      <c r="A1623" s="1"/>
      <c r="B1623" s="1"/>
      <c r="C1623" s="1"/>
      <c r="D1623" s="1"/>
      <c r="E1623" s="1"/>
      <c r="F1623" s="124" t="s">
        <v>187</v>
      </c>
      <c r="G1623" s="1"/>
      <c r="H1623" s="1"/>
      <c r="I1623" s="1"/>
      <c r="J1623" s="124">
        <f>J1622*18/100</f>
        <v>18900</v>
      </c>
      <c r="K1623" s="1"/>
      <c r="L1623" s="1"/>
      <c r="M1623" s="1"/>
      <c r="N1623" s="1"/>
      <c r="O1623" s="1"/>
      <c r="P1623" s="1"/>
      <c r="Q1623" s="1"/>
      <c r="R1623" s="1"/>
      <c r="S1623" s="1"/>
      <c r="T1623" s="1"/>
      <c r="U1623" s="1"/>
      <c r="V1623" s="1"/>
      <c r="W1623" s="142"/>
    </row>
    <row r="1624" spans="1:23" x14ac:dyDescent="0.3">
      <c r="A1624" s="1"/>
      <c r="B1624" s="1"/>
      <c r="C1624" s="1"/>
      <c r="D1624" s="1"/>
      <c r="E1624" s="1"/>
      <c r="F1624" s="124" t="s">
        <v>41</v>
      </c>
      <c r="G1624" s="1"/>
      <c r="H1624" s="1"/>
      <c r="I1624" s="1"/>
      <c r="J1624" s="124">
        <f>SUM(J1622:J1623)</f>
        <v>123900</v>
      </c>
      <c r="K1624" s="1"/>
      <c r="L1624" s="1"/>
      <c r="M1624" s="1"/>
      <c r="N1624" s="1"/>
      <c r="O1624" s="1"/>
      <c r="P1624" s="1"/>
      <c r="Q1624" s="1"/>
      <c r="R1624" s="1"/>
      <c r="S1624" s="1"/>
      <c r="T1624" s="1"/>
      <c r="U1624" s="1"/>
      <c r="V1624" s="1"/>
      <c r="W1624" s="142"/>
    </row>
    <row r="1625" spans="1:23" x14ac:dyDescent="0.3">
      <c r="A1625" s="1"/>
      <c r="B1625" s="1"/>
      <c r="C1625" s="1"/>
      <c r="D1625" s="1"/>
      <c r="E1625" s="1"/>
      <c r="F1625" s="124"/>
      <c r="G1625" s="1"/>
      <c r="H1625" s="1"/>
      <c r="I1625" s="1"/>
      <c r="J1625" s="124"/>
      <c r="K1625" s="1"/>
      <c r="L1625" s="1"/>
      <c r="M1625" s="1"/>
      <c r="N1625" s="1"/>
      <c r="O1625" s="1"/>
      <c r="P1625" s="1"/>
      <c r="Q1625" s="1"/>
      <c r="R1625" s="1"/>
      <c r="S1625" s="1"/>
      <c r="T1625" s="1"/>
      <c r="U1625" s="1"/>
      <c r="V1625" s="1"/>
      <c r="W1625" s="142"/>
    </row>
    <row r="1626" spans="1:23" ht="25.2" x14ac:dyDescent="0.3">
      <c r="A1626" s="16">
        <v>138</v>
      </c>
      <c r="B1626" s="16">
        <v>9200148956</v>
      </c>
      <c r="C1626" s="19">
        <v>45879</v>
      </c>
      <c r="D1626" s="16" t="s">
        <v>300</v>
      </c>
      <c r="E1626" s="16" t="s">
        <v>123</v>
      </c>
      <c r="F1626" s="39" t="s">
        <v>1705</v>
      </c>
      <c r="G1626" s="16">
        <v>70</v>
      </c>
      <c r="H1626" s="16" t="s">
        <v>111</v>
      </c>
      <c r="I1626" s="16">
        <v>428</v>
      </c>
      <c r="J1626" s="16">
        <f t="shared" ref="J1626:J2011" si="361">G1626*I1626</f>
        <v>29960</v>
      </c>
      <c r="K1626" s="16">
        <v>70</v>
      </c>
      <c r="L1626" s="16" t="s">
        <v>302</v>
      </c>
      <c r="M1626" s="16" t="s">
        <v>91</v>
      </c>
      <c r="N1626" s="16" t="s">
        <v>1753</v>
      </c>
      <c r="O1626" s="16">
        <v>70</v>
      </c>
      <c r="P1626" s="16">
        <v>428</v>
      </c>
      <c r="Q1626" s="16">
        <f>O1626*P1626</f>
        <v>29960</v>
      </c>
      <c r="R1626" s="18">
        <v>0.18</v>
      </c>
      <c r="S1626" s="16">
        <f>Q1626*R1626</f>
        <v>5392.8</v>
      </c>
      <c r="T1626" s="16">
        <f>Q1626+S1626</f>
        <v>35352.800000000003</v>
      </c>
      <c r="U1626" s="16" t="s">
        <v>1757</v>
      </c>
      <c r="V1626" s="19">
        <v>45788</v>
      </c>
      <c r="W1626" s="142" t="s">
        <v>1774</v>
      </c>
    </row>
    <row r="1627" spans="1:23" x14ac:dyDescent="0.3">
      <c r="A1627" s="1"/>
      <c r="B1627" s="1"/>
      <c r="C1627" s="1"/>
      <c r="D1627" s="1" t="s">
        <v>1710</v>
      </c>
      <c r="E1627" s="16" t="s">
        <v>123</v>
      </c>
      <c r="F1627" s="39" t="s">
        <v>1706</v>
      </c>
      <c r="G1627" s="16">
        <v>60</v>
      </c>
      <c r="H1627" s="16" t="s">
        <v>111</v>
      </c>
      <c r="I1627" s="16">
        <v>94</v>
      </c>
      <c r="J1627" s="16">
        <f t="shared" si="361"/>
        <v>5640</v>
      </c>
      <c r="K1627" s="16"/>
      <c r="L1627" s="16"/>
      <c r="M1627" s="16"/>
      <c r="N1627" s="16"/>
      <c r="O1627" s="16">
        <v>60</v>
      </c>
      <c r="P1627" s="16">
        <v>94</v>
      </c>
      <c r="Q1627" s="16">
        <f t="shared" ref="Q1627:Q1629" si="362">O1627*P1627</f>
        <v>5640</v>
      </c>
      <c r="R1627" s="18">
        <v>0.18</v>
      </c>
      <c r="S1627" s="16">
        <f t="shared" ref="S1627:S1629" si="363">Q1627*R1627</f>
        <v>1015.1999999999999</v>
      </c>
      <c r="T1627" s="16">
        <f t="shared" ref="T1627:T1629" si="364">Q1627+S1627</f>
        <v>6655.2</v>
      </c>
      <c r="U1627" s="16" t="s">
        <v>1757</v>
      </c>
      <c r="V1627" s="19">
        <v>45788</v>
      </c>
      <c r="W1627" s="142" t="s">
        <v>1774</v>
      </c>
    </row>
    <row r="1628" spans="1:23" x14ac:dyDescent="0.3">
      <c r="A1628" s="1"/>
      <c r="B1628" s="1"/>
      <c r="C1628" s="1"/>
      <c r="D1628" s="1"/>
      <c r="E1628" s="16" t="s">
        <v>123</v>
      </c>
      <c r="F1628" s="39" t="s">
        <v>1707</v>
      </c>
      <c r="G1628" s="16">
        <v>20</v>
      </c>
      <c r="H1628" s="16" t="s">
        <v>111</v>
      </c>
      <c r="I1628" s="16">
        <v>372</v>
      </c>
      <c r="J1628" s="16">
        <f t="shared" si="361"/>
        <v>7440</v>
      </c>
      <c r="K1628" s="16"/>
      <c r="L1628" s="16"/>
      <c r="M1628" s="16"/>
      <c r="N1628" s="16"/>
      <c r="O1628" s="16">
        <v>20</v>
      </c>
      <c r="P1628" s="16">
        <v>372</v>
      </c>
      <c r="Q1628" s="16">
        <f t="shared" si="362"/>
        <v>7440</v>
      </c>
      <c r="R1628" s="18">
        <v>0.18</v>
      </c>
      <c r="S1628" s="16">
        <f t="shared" si="363"/>
        <v>1339.2</v>
      </c>
      <c r="T1628" s="16">
        <f t="shared" si="364"/>
        <v>8779.2000000000007</v>
      </c>
      <c r="U1628" s="16" t="s">
        <v>1757</v>
      </c>
      <c r="V1628" s="19">
        <v>45788</v>
      </c>
      <c r="W1628" s="142" t="s">
        <v>1774</v>
      </c>
    </row>
    <row r="1629" spans="1:23" x14ac:dyDescent="0.3">
      <c r="A1629" s="1"/>
      <c r="B1629" s="1"/>
      <c r="C1629" s="1"/>
      <c r="D1629" s="1"/>
      <c r="E1629" s="16" t="s">
        <v>123</v>
      </c>
      <c r="F1629" s="16" t="s">
        <v>1708</v>
      </c>
      <c r="G1629" s="16">
        <v>1</v>
      </c>
      <c r="H1629" s="16" t="s">
        <v>1709</v>
      </c>
      <c r="I1629" s="16">
        <v>3750</v>
      </c>
      <c r="J1629" s="16">
        <f t="shared" si="361"/>
        <v>3750</v>
      </c>
      <c r="K1629" s="16"/>
      <c r="L1629" s="16"/>
      <c r="M1629" s="16"/>
      <c r="N1629" s="16"/>
      <c r="O1629" s="16">
        <v>1</v>
      </c>
      <c r="P1629" s="16">
        <v>3750</v>
      </c>
      <c r="Q1629" s="16">
        <f t="shared" si="362"/>
        <v>3750</v>
      </c>
      <c r="R1629" s="18">
        <v>0.18</v>
      </c>
      <c r="S1629" s="16">
        <f t="shared" si="363"/>
        <v>675</v>
      </c>
      <c r="T1629" s="16">
        <f t="shared" si="364"/>
        <v>4425</v>
      </c>
      <c r="U1629" s="16" t="s">
        <v>1757</v>
      </c>
      <c r="V1629" s="19">
        <v>45788</v>
      </c>
      <c r="W1629" s="142" t="s">
        <v>1774</v>
      </c>
    </row>
    <row r="1630" spans="1:23" x14ac:dyDescent="0.3">
      <c r="A1630" s="1"/>
      <c r="B1630" s="1"/>
      <c r="C1630" s="1"/>
      <c r="D1630" s="1"/>
      <c r="E1630" s="1"/>
      <c r="F1630" s="124" t="s">
        <v>39</v>
      </c>
      <c r="G1630" s="1"/>
      <c r="H1630" s="1"/>
      <c r="I1630" s="1"/>
      <c r="J1630" s="124">
        <f>SUM(J1626:J1629)</f>
        <v>46790</v>
      </c>
      <c r="K1630" s="1"/>
      <c r="L1630" s="1"/>
      <c r="M1630" s="1"/>
      <c r="N1630" s="1"/>
      <c r="O1630" s="1"/>
      <c r="P1630" s="1"/>
      <c r="Q1630" s="1"/>
      <c r="R1630" s="1"/>
      <c r="S1630" s="1"/>
      <c r="T1630" s="1"/>
      <c r="U1630" s="1"/>
      <c r="V1630" s="1"/>
      <c r="W1630" s="142"/>
    </row>
    <row r="1631" spans="1:23" x14ac:dyDescent="0.3">
      <c r="A1631" s="1"/>
      <c r="B1631" s="1"/>
      <c r="C1631" s="1"/>
      <c r="D1631" s="1"/>
      <c r="E1631" s="1"/>
      <c r="F1631" s="124" t="s">
        <v>187</v>
      </c>
      <c r="G1631" s="1"/>
      <c r="H1631" s="1"/>
      <c r="I1631" s="1"/>
      <c r="J1631" s="124">
        <f>J1630*18/100</f>
        <v>8422.2000000000007</v>
      </c>
      <c r="K1631" s="1"/>
      <c r="L1631" s="1"/>
      <c r="M1631" s="1"/>
      <c r="N1631" s="1"/>
      <c r="O1631" s="1"/>
      <c r="P1631" s="1"/>
      <c r="Q1631" s="1"/>
      <c r="R1631" s="1"/>
      <c r="S1631" s="1"/>
      <c r="T1631" s="1"/>
      <c r="U1631" s="1"/>
      <c r="V1631" s="1"/>
      <c r="W1631" s="142"/>
    </row>
    <row r="1632" spans="1:23" x14ac:dyDescent="0.3">
      <c r="A1632" s="1"/>
      <c r="B1632" s="1"/>
      <c r="C1632" s="1"/>
      <c r="D1632" s="1"/>
      <c r="E1632" s="1"/>
      <c r="F1632" s="124" t="s">
        <v>41</v>
      </c>
      <c r="G1632" s="1"/>
      <c r="H1632" s="1"/>
      <c r="I1632" s="1"/>
      <c r="J1632" s="124">
        <f>SUM(J1630:J1631)</f>
        <v>55212.2</v>
      </c>
      <c r="K1632" s="1"/>
      <c r="L1632" s="1"/>
      <c r="M1632" s="1"/>
      <c r="N1632" s="1"/>
      <c r="O1632" s="1"/>
      <c r="P1632" s="1"/>
      <c r="Q1632" s="1"/>
      <c r="R1632" s="1"/>
      <c r="S1632" s="1"/>
      <c r="T1632" s="1">
        <f>SUM(T1626:T1631)</f>
        <v>55212.2</v>
      </c>
      <c r="U1632" s="1"/>
      <c r="V1632" s="1"/>
      <c r="W1632" s="142"/>
    </row>
    <row r="1633" spans="1:23" x14ac:dyDescent="0.3">
      <c r="A1633" s="1"/>
      <c r="B1633" s="1"/>
      <c r="C1633" s="1"/>
      <c r="D1633" s="1"/>
      <c r="E1633" s="1"/>
      <c r="F1633" s="124"/>
      <c r="G1633" s="1"/>
      <c r="H1633" s="1"/>
      <c r="I1633" s="1"/>
      <c r="J1633" s="124"/>
      <c r="K1633" s="1"/>
      <c r="L1633" s="1"/>
      <c r="M1633" s="1"/>
      <c r="N1633" s="1"/>
      <c r="O1633" s="1"/>
      <c r="P1633" s="1"/>
      <c r="Q1633" s="1"/>
      <c r="R1633" s="1"/>
      <c r="S1633" s="1"/>
      <c r="T1633" s="1"/>
      <c r="U1633" s="1"/>
      <c r="V1633" s="1"/>
      <c r="W1633" s="142"/>
    </row>
    <row r="1634" spans="1:23" x14ac:dyDescent="0.3">
      <c r="A1634" s="16">
        <v>139</v>
      </c>
      <c r="B1634" s="16">
        <v>9200149221</v>
      </c>
      <c r="C1634" s="19">
        <v>45910</v>
      </c>
      <c r="D1634" s="16" t="s">
        <v>43</v>
      </c>
      <c r="E1634" s="16" t="s">
        <v>123</v>
      </c>
      <c r="F1634" s="16" t="s">
        <v>1711</v>
      </c>
      <c r="G1634" s="16">
        <v>11</v>
      </c>
      <c r="H1634" s="16" t="s">
        <v>28</v>
      </c>
      <c r="I1634" s="16">
        <v>1800</v>
      </c>
      <c r="J1634" s="16">
        <f t="shared" si="361"/>
        <v>19800</v>
      </c>
      <c r="K1634" s="16">
        <v>11</v>
      </c>
      <c r="L1634" s="16" t="s">
        <v>28</v>
      </c>
      <c r="M1634" s="16" t="s">
        <v>91</v>
      </c>
      <c r="N1634" s="16" t="s">
        <v>1762</v>
      </c>
      <c r="O1634" s="16">
        <v>11</v>
      </c>
      <c r="P1634" s="16">
        <v>1800</v>
      </c>
      <c r="Q1634" s="16">
        <f>O1634*P1634</f>
        <v>19800</v>
      </c>
      <c r="R1634" s="18">
        <v>0</v>
      </c>
      <c r="S1634" s="16">
        <f>Q1634*R1634</f>
        <v>0</v>
      </c>
      <c r="T1634" s="16">
        <f>Q1634+S1634</f>
        <v>19800</v>
      </c>
      <c r="U1634" s="16" t="s">
        <v>1805</v>
      </c>
      <c r="V1634" s="19">
        <v>45912</v>
      </c>
      <c r="W1634" s="142" t="s">
        <v>1832</v>
      </c>
    </row>
    <row r="1635" spans="1:23" x14ac:dyDescent="0.3">
      <c r="A1635" s="1"/>
      <c r="B1635" s="1"/>
      <c r="C1635" s="1"/>
      <c r="D1635" s="1"/>
      <c r="E1635" s="16" t="s">
        <v>123</v>
      </c>
      <c r="F1635" s="16" t="s">
        <v>1712</v>
      </c>
      <c r="G1635" s="16">
        <v>5</v>
      </c>
      <c r="H1635" s="16" t="s">
        <v>28</v>
      </c>
      <c r="I1635" s="16">
        <v>1780</v>
      </c>
      <c r="J1635" s="16">
        <f t="shared" si="361"/>
        <v>8900</v>
      </c>
      <c r="K1635" s="16">
        <v>5</v>
      </c>
      <c r="L1635" s="16" t="s">
        <v>28</v>
      </c>
      <c r="M1635" s="16" t="s">
        <v>91</v>
      </c>
      <c r="N1635" s="16" t="s">
        <v>1785</v>
      </c>
      <c r="O1635" s="16">
        <v>5</v>
      </c>
      <c r="P1635" s="16">
        <v>1780</v>
      </c>
      <c r="Q1635" s="16">
        <f t="shared" ref="Q1635:Q1639" si="365">O1635*P1635</f>
        <v>8900</v>
      </c>
      <c r="R1635" s="18">
        <v>0</v>
      </c>
      <c r="S1635" s="16">
        <f t="shared" ref="S1635:S1639" si="366">Q1635*R1635</f>
        <v>0</v>
      </c>
      <c r="T1635" s="16">
        <f t="shared" ref="T1635:T1639" si="367">Q1635+S1635</f>
        <v>8900</v>
      </c>
      <c r="U1635" s="16" t="s">
        <v>1805</v>
      </c>
      <c r="V1635" s="19">
        <v>45912</v>
      </c>
      <c r="W1635" s="142" t="s">
        <v>1832</v>
      </c>
    </row>
    <row r="1636" spans="1:23" ht="25.2" x14ac:dyDescent="0.3">
      <c r="A1636" s="1"/>
      <c r="B1636" s="1"/>
      <c r="C1636" s="1"/>
      <c r="D1636" s="1"/>
      <c r="E1636" s="16" t="s">
        <v>123</v>
      </c>
      <c r="F1636" s="39" t="s">
        <v>1713</v>
      </c>
      <c r="G1636" s="16">
        <v>250</v>
      </c>
      <c r="H1636" s="16" t="s">
        <v>60</v>
      </c>
      <c r="I1636" s="16">
        <v>145</v>
      </c>
      <c r="J1636" s="16">
        <f t="shared" si="361"/>
        <v>36250</v>
      </c>
      <c r="K1636" s="16">
        <v>250</v>
      </c>
      <c r="L1636" s="16" t="s">
        <v>60</v>
      </c>
      <c r="M1636" s="16" t="s">
        <v>91</v>
      </c>
      <c r="N1636" s="16" t="s">
        <v>1785</v>
      </c>
      <c r="O1636" s="16">
        <v>250</v>
      </c>
      <c r="P1636" s="16">
        <v>145</v>
      </c>
      <c r="Q1636" s="16">
        <f t="shared" si="365"/>
        <v>36250</v>
      </c>
      <c r="R1636" s="18">
        <v>0</v>
      </c>
      <c r="S1636" s="16">
        <f t="shared" si="366"/>
        <v>0</v>
      </c>
      <c r="T1636" s="16">
        <f t="shared" si="367"/>
        <v>36250</v>
      </c>
      <c r="U1636" s="16" t="s">
        <v>1805</v>
      </c>
      <c r="V1636" s="19">
        <v>45912</v>
      </c>
      <c r="W1636" s="142" t="s">
        <v>1832</v>
      </c>
    </row>
    <row r="1637" spans="1:23" ht="25.2" x14ac:dyDescent="0.3">
      <c r="A1637" s="1"/>
      <c r="B1637" s="1"/>
      <c r="C1637" s="1"/>
      <c r="D1637" s="1"/>
      <c r="E1637" s="16" t="s">
        <v>123</v>
      </c>
      <c r="F1637" s="39" t="s">
        <v>1714</v>
      </c>
      <c r="G1637" s="16">
        <v>1</v>
      </c>
      <c r="H1637" s="16" t="s">
        <v>28</v>
      </c>
      <c r="I1637" s="16">
        <v>21500</v>
      </c>
      <c r="J1637" s="16">
        <f t="shared" si="361"/>
        <v>21500</v>
      </c>
      <c r="K1637" s="16">
        <v>1</v>
      </c>
      <c r="L1637" s="16" t="s">
        <v>28</v>
      </c>
      <c r="M1637" s="16" t="s">
        <v>91</v>
      </c>
      <c r="N1637" s="16" t="s">
        <v>1785</v>
      </c>
      <c r="O1637" s="16">
        <v>1</v>
      </c>
      <c r="P1637" s="16">
        <v>21500</v>
      </c>
      <c r="Q1637" s="16">
        <f t="shared" si="365"/>
        <v>21500</v>
      </c>
      <c r="R1637" s="18">
        <v>0</v>
      </c>
      <c r="S1637" s="16">
        <f t="shared" si="366"/>
        <v>0</v>
      </c>
      <c r="T1637" s="16">
        <f t="shared" si="367"/>
        <v>21500</v>
      </c>
      <c r="U1637" s="16" t="s">
        <v>1805</v>
      </c>
      <c r="V1637" s="19">
        <v>45912</v>
      </c>
      <c r="W1637" s="142" t="s">
        <v>1832</v>
      </c>
    </row>
    <row r="1638" spans="1:23" x14ac:dyDescent="0.3">
      <c r="A1638" s="1"/>
      <c r="B1638" s="1"/>
      <c r="C1638" s="1"/>
      <c r="D1638" s="1"/>
      <c r="E1638" s="16" t="s">
        <v>123</v>
      </c>
      <c r="F1638" s="39" t="s">
        <v>1715</v>
      </c>
      <c r="G1638" s="16">
        <v>5</v>
      </c>
      <c r="H1638" s="16" t="s">
        <v>87</v>
      </c>
      <c r="I1638" s="16">
        <v>2800</v>
      </c>
      <c r="J1638" s="16">
        <f t="shared" si="361"/>
        <v>14000</v>
      </c>
      <c r="K1638" s="16"/>
      <c r="L1638" s="16"/>
      <c r="M1638" s="16"/>
      <c r="N1638" s="16"/>
      <c r="O1638" s="16">
        <v>5</v>
      </c>
      <c r="P1638" s="16">
        <v>2800</v>
      </c>
      <c r="Q1638" s="16">
        <f t="shared" si="365"/>
        <v>14000</v>
      </c>
      <c r="R1638" s="18">
        <v>0</v>
      </c>
      <c r="S1638" s="16">
        <f t="shared" si="366"/>
        <v>0</v>
      </c>
      <c r="T1638" s="16">
        <f t="shared" si="367"/>
        <v>14000</v>
      </c>
      <c r="U1638" s="16" t="s">
        <v>1805</v>
      </c>
      <c r="V1638" s="19">
        <v>45912</v>
      </c>
      <c r="W1638" s="142" t="s">
        <v>1832</v>
      </c>
    </row>
    <row r="1639" spans="1:23" x14ac:dyDescent="0.3">
      <c r="A1639" s="1"/>
      <c r="B1639" s="1"/>
      <c r="C1639" s="1"/>
      <c r="D1639" s="1"/>
      <c r="E1639" s="16" t="s">
        <v>123</v>
      </c>
      <c r="F1639" s="16" t="s">
        <v>1716</v>
      </c>
      <c r="G1639" s="16">
        <v>200</v>
      </c>
      <c r="H1639" s="16" t="s">
        <v>60</v>
      </c>
      <c r="I1639" s="16">
        <v>95</v>
      </c>
      <c r="J1639" s="16">
        <f t="shared" si="361"/>
        <v>19000</v>
      </c>
      <c r="K1639" s="16">
        <v>200</v>
      </c>
      <c r="L1639" s="16" t="s">
        <v>60</v>
      </c>
      <c r="M1639" s="16" t="s">
        <v>91</v>
      </c>
      <c r="N1639" s="16" t="s">
        <v>1785</v>
      </c>
      <c r="O1639" s="119">
        <v>130</v>
      </c>
      <c r="P1639" s="16">
        <v>95</v>
      </c>
      <c r="Q1639" s="16">
        <f t="shared" si="365"/>
        <v>12350</v>
      </c>
      <c r="R1639" s="18">
        <v>0</v>
      </c>
      <c r="S1639" s="16">
        <f t="shared" si="366"/>
        <v>0</v>
      </c>
      <c r="T1639" s="16">
        <f t="shared" si="367"/>
        <v>12350</v>
      </c>
      <c r="U1639" s="16" t="s">
        <v>1805</v>
      </c>
      <c r="V1639" s="19">
        <v>45912</v>
      </c>
      <c r="W1639" s="142" t="s">
        <v>1832</v>
      </c>
    </row>
    <row r="1640" spans="1:23" x14ac:dyDescent="0.3">
      <c r="A1640" s="1"/>
      <c r="B1640" s="1"/>
      <c r="C1640" s="1"/>
      <c r="D1640" s="1"/>
      <c r="E1640" s="1"/>
      <c r="F1640" s="124" t="s">
        <v>39</v>
      </c>
      <c r="G1640" s="1"/>
      <c r="H1640" s="1"/>
      <c r="I1640" s="1"/>
      <c r="J1640" s="124">
        <f>SUM(J1634:J1639)</f>
        <v>119450</v>
      </c>
      <c r="K1640" s="1"/>
      <c r="L1640" s="1"/>
      <c r="M1640" s="1"/>
      <c r="N1640" s="1"/>
      <c r="O1640" s="1"/>
      <c r="P1640" s="1"/>
      <c r="Q1640" s="1"/>
      <c r="R1640" s="1"/>
      <c r="S1640" s="1"/>
      <c r="T1640" s="1"/>
      <c r="U1640" s="1"/>
      <c r="V1640" s="1"/>
      <c r="W1640" s="142"/>
    </row>
    <row r="1641" spans="1:23" x14ac:dyDescent="0.3">
      <c r="A1641" s="1"/>
      <c r="B1641" s="1"/>
      <c r="C1641" s="1"/>
      <c r="D1641" s="1"/>
      <c r="E1641" s="1"/>
      <c r="F1641" s="124" t="s">
        <v>599</v>
      </c>
      <c r="G1641" s="1"/>
      <c r="H1641" s="1"/>
      <c r="I1641" s="1"/>
      <c r="J1641" s="124">
        <f>J1640*0/100</f>
        <v>0</v>
      </c>
      <c r="K1641" s="1"/>
      <c r="L1641" s="1"/>
      <c r="M1641" s="1"/>
      <c r="N1641" s="1"/>
      <c r="O1641" s="1"/>
      <c r="P1641" s="1"/>
      <c r="Q1641" s="1"/>
      <c r="R1641" s="1"/>
      <c r="S1641" s="1"/>
      <c r="T1641" s="1"/>
      <c r="U1641" s="1"/>
      <c r="V1641" s="1"/>
      <c r="W1641" s="142"/>
    </row>
    <row r="1642" spans="1:23" x14ac:dyDescent="0.3">
      <c r="A1642" s="1"/>
      <c r="B1642" s="1"/>
      <c r="C1642" s="1"/>
      <c r="D1642" s="1"/>
      <c r="E1642" s="1"/>
      <c r="F1642" s="124" t="s">
        <v>41</v>
      </c>
      <c r="G1642" s="1"/>
      <c r="H1642" s="1"/>
      <c r="I1642" s="1"/>
      <c r="J1642" s="124">
        <f>SUM(J1640:J1641)</f>
        <v>119450</v>
      </c>
      <c r="K1642" s="1"/>
      <c r="L1642" s="1"/>
      <c r="M1642" s="1"/>
      <c r="N1642" s="1"/>
      <c r="O1642" s="1"/>
      <c r="P1642" s="1"/>
      <c r="Q1642" s="1"/>
      <c r="R1642" s="1"/>
      <c r="S1642" s="1"/>
      <c r="T1642" s="1">
        <f>SUM(T1634:T1641)</f>
        <v>112800</v>
      </c>
      <c r="U1642" s="1"/>
      <c r="V1642" s="1"/>
      <c r="W1642" s="142"/>
    </row>
    <row r="1643" spans="1:23" x14ac:dyDescent="0.3">
      <c r="A1643" s="1"/>
      <c r="B1643" s="1"/>
      <c r="C1643" s="1"/>
      <c r="D1643" s="1"/>
      <c r="E1643" s="1"/>
      <c r="F1643" s="124"/>
      <c r="G1643" s="1"/>
      <c r="H1643" s="1"/>
      <c r="I1643" s="1"/>
      <c r="J1643" s="1"/>
      <c r="K1643" s="1"/>
      <c r="L1643" s="1"/>
      <c r="M1643" s="1"/>
      <c r="N1643" s="1"/>
      <c r="O1643" s="1"/>
      <c r="P1643" s="1"/>
      <c r="Q1643" s="1"/>
      <c r="R1643" s="1"/>
      <c r="S1643" s="1"/>
      <c r="T1643" s="1"/>
      <c r="U1643" s="1"/>
      <c r="V1643" s="1"/>
      <c r="W1643" s="142"/>
    </row>
    <row r="1644" spans="1:23" ht="25.2" x14ac:dyDescent="0.3">
      <c r="A1644" s="16">
        <v>140</v>
      </c>
      <c r="B1644" s="16">
        <v>8600060876</v>
      </c>
      <c r="C1644" s="19">
        <v>45940</v>
      </c>
      <c r="D1644" s="16" t="s">
        <v>1502</v>
      </c>
      <c r="E1644" s="16" t="s">
        <v>127</v>
      </c>
      <c r="F1644" s="39" t="s">
        <v>1720</v>
      </c>
      <c r="G1644" s="16">
        <v>5</v>
      </c>
      <c r="H1644" s="16" t="s">
        <v>28</v>
      </c>
      <c r="I1644" s="16">
        <v>900</v>
      </c>
      <c r="J1644" s="16">
        <f t="shared" si="361"/>
        <v>4500</v>
      </c>
      <c r="K1644" s="16"/>
      <c r="L1644" s="16"/>
      <c r="M1644" s="16"/>
      <c r="N1644" s="16"/>
      <c r="O1644" s="16">
        <v>5</v>
      </c>
      <c r="P1644" s="16">
        <v>900</v>
      </c>
      <c r="Q1644" s="16">
        <f>O1644*P1644</f>
        <v>4500</v>
      </c>
      <c r="R1644" s="18">
        <v>0.18</v>
      </c>
      <c r="S1644" s="16">
        <f>Q1644*R1644</f>
        <v>810</v>
      </c>
      <c r="T1644" s="16">
        <f>Q1644+S1644</f>
        <v>5310</v>
      </c>
      <c r="U1644" s="16" t="s">
        <v>1749</v>
      </c>
      <c r="V1644" s="19" t="s">
        <v>1748</v>
      </c>
      <c r="W1644" s="142" t="s">
        <v>1751</v>
      </c>
    </row>
    <row r="1645" spans="1:23" x14ac:dyDescent="0.3">
      <c r="A1645" s="1"/>
      <c r="B1645" s="1"/>
      <c r="C1645" s="1"/>
      <c r="D1645" s="1"/>
      <c r="E1645" s="16" t="s">
        <v>127</v>
      </c>
      <c r="F1645" s="16" t="s">
        <v>1721</v>
      </c>
      <c r="G1645" s="16">
        <v>6</v>
      </c>
      <c r="H1645" s="16" t="s">
        <v>28</v>
      </c>
      <c r="I1645" s="16">
        <v>1400</v>
      </c>
      <c r="J1645" s="16">
        <f t="shared" si="361"/>
        <v>8400</v>
      </c>
      <c r="K1645" s="16"/>
      <c r="L1645" s="16"/>
      <c r="M1645" s="16"/>
      <c r="N1645" s="16"/>
      <c r="O1645" s="16">
        <v>6</v>
      </c>
      <c r="P1645" s="16">
        <v>1400</v>
      </c>
      <c r="Q1645" s="16">
        <f t="shared" ref="Q1645:Q1649" si="368">O1645*P1645</f>
        <v>8400</v>
      </c>
      <c r="R1645" s="18">
        <v>0.18</v>
      </c>
      <c r="S1645" s="16">
        <f t="shared" ref="S1645:S1649" si="369">Q1645*R1645</f>
        <v>1512</v>
      </c>
      <c r="T1645" s="16">
        <f t="shared" ref="T1645:T1649" si="370">Q1645+S1645</f>
        <v>9912</v>
      </c>
      <c r="U1645" s="16" t="s">
        <v>1749</v>
      </c>
      <c r="V1645" s="19" t="s">
        <v>1748</v>
      </c>
      <c r="W1645" s="142" t="s">
        <v>1751</v>
      </c>
    </row>
    <row r="1646" spans="1:23" x14ac:dyDescent="0.3">
      <c r="A1646" s="1"/>
      <c r="B1646" s="1"/>
      <c r="C1646" s="1"/>
      <c r="D1646" s="1"/>
      <c r="E1646" s="16" t="s">
        <v>127</v>
      </c>
      <c r="F1646" s="16" t="s">
        <v>1722</v>
      </c>
      <c r="G1646" s="16">
        <v>10</v>
      </c>
      <c r="H1646" s="16" t="s">
        <v>28</v>
      </c>
      <c r="I1646" s="16">
        <v>410</v>
      </c>
      <c r="J1646" s="16">
        <f t="shared" si="361"/>
        <v>4100</v>
      </c>
      <c r="K1646" s="16"/>
      <c r="L1646" s="16"/>
      <c r="M1646" s="16"/>
      <c r="N1646" s="16"/>
      <c r="O1646" s="16">
        <v>10</v>
      </c>
      <c r="P1646" s="16">
        <v>410</v>
      </c>
      <c r="Q1646" s="16">
        <f t="shared" si="368"/>
        <v>4100</v>
      </c>
      <c r="R1646" s="18">
        <v>0.18</v>
      </c>
      <c r="S1646" s="16">
        <f t="shared" si="369"/>
        <v>738</v>
      </c>
      <c r="T1646" s="16">
        <f t="shared" si="370"/>
        <v>4838</v>
      </c>
      <c r="U1646" s="16" t="s">
        <v>1749</v>
      </c>
      <c r="V1646" s="19" t="s">
        <v>1748</v>
      </c>
      <c r="W1646" s="142" t="s">
        <v>1751</v>
      </c>
    </row>
    <row r="1647" spans="1:23" ht="25.2" x14ac:dyDescent="0.3">
      <c r="A1647" s="1"/>
      <c r="B1647" s="1"/>
      <c r="C1647" s="1"/>
      <c r="D1647" s="1"/>
      <c r="E1647" s="16" t="s">
        <v>127</v>
      </c>
      <c r="F1647" s="39" t="s">
        <v>1723</v>
      </c>
      <c r="G1647" s="16">
        <v>6</v>
      </c>
      <c r="H1647" s="16" t="s">
        <v>28</v>
      </c>
      <c r="I1647" s="16">
        <v>2050</v>
      </c>
      <c r="J1647" s="16">
        <f t="shared" si="361"/>
        <v>12300</v>
      </c>
      <c r="K1647" s="16"/>
      <c r="L1647" s="16"/>
      <c r="M1647" s="16"/>
      <c r="N1647" s="16"/>
      <c r="O1647" s="16">
        <v>6</v>
      </c>
      <c r="P1647" s="16">
        <v>2050</v>
      </c>
      <c r="Q1647" s="16">
        <f t="shared" si="368"/>
        <v>12300</v>
      </c>
      <c r="R1647" s="18">
        <v>0.18</v>
      </c>
      <c r="S1647" s="16">
        <f t="shared" si="369"/>
        <v>2214</v>
      </c>
      <c r="T1647" s="16">
        <f t="shared" si="370"/>
        <v>14514</v>
      </c>
      <c r="U1647" s="16" t="s">
        <v>1749</v>
      </c>
      <c r="V1647" s="19" t="s">
        <v>1748</v>
      </c>
      <c r="W1647" s="142" t="s">
        <v>1751</v>
      </c>
    </row>
    <row r="1648" spans="1:23" ht="25.2" x14ac:dyDescent="0.3">
      <c r="A1648" s="1"/>
      <c r="B1648" s="1"/>
      <c r="C1648" s="1"/>
      <c r="D1648" s="1"/>
      <c r="E1648" s="16" t="s">
        <v>127</v>
      </c>
      <c r="F1648" s="39" t="s">
        <v>1724</v>
      </c>
      <c r="G1648" s="16">
        <v>6</v>
      </c>
      <c r="H1648" s="16" t="s">
        <v>28</v>
      </c>
      <c r="I1648" s="16">
        <v>240</v>
      </c>
      <c r="J1648" s="16">
        <f t="shared" si="361"/>
        <v>1440</v>
      </c>
      <c r="K1648" s="16"/>
      <c r="L1648" s="16"/>
      <c r="M1648" s="16"/>
      <c r="N1648" s="16"/>
      <c r="O1648" s="16">
        <v>6</v>
      </c>
      <c r="P1648" s="16">
        <v>240</v>
      </c>
      <c r="Q1648" s="16">
        <f t="shared" si="368"/>
        <v>1440</v>
      </c>
      <c r="R1648" s="18">
        <v>0.18</v>
      </c>
      <c r="S1648" s="16">
        <f t="shared" si="369"/>
        <v>259.2</v>
      </c>
      <c r="T1648" s="16">
        <f t="shared" si="370"/>
        <v>1699.2</v>
      </c>
      <c r="U1648" s="16" t="s">
        <v>1749</v>
      </c>
      <c r="V1648" s="19" t="s">
        <v>1748</v>
      </c>
      <c r="W1648" s="142" t="s">
        <v>1751</v>
      </c>
    </row>
    <row r="1649" spans="1:23" ht="37.799999999999997" x14ac:dyDescent="0.3">
      <c r="A1649" s="1"/>
      <c r="B1649" s="1"/>
      <c r="C1649" s="1"/>
      <c r="D1649" s="1"/>
      <c r="E1649" s="16" t="s">
        <v>127</v>
      </c>
      <c r="F1649" s="39" t="s">
        <v>1725</v>
      </c>
      <c r="G1649" s="16">
        <v>10</v>
      </c>
      <c r="H1649" s="16" t="s">
        <v>28</v>
      </c>
      <c r="I1649" s="16">
        <v>210</v>
      </c>
      <c r="J1649" s="16">
        <f t="shared" si="361"/>
        <v>2100</v>
      </c>
      <c r="K1649" s="16"/>
      <c r="L1649" s="16"/>
      <c r="M1649" s="16"/>
      <c r="N1649" s="16"/>
      <c r="O1649" s="16">
        <v>10</v>
      </c>
      <c r="P1649" s="16">
        <v>210</v>
      </c>
      <c r="Q1649" s="16">
        <f t="shared" si="368"/>
        <v>2100</v>
      </c>
      <c r="R1649" s="18">
        <v>0.18</v>
      </c>
      <c r="S1649" s="16">
        <f t="shared" si="369"/>
        <v>378</v>
      </c>
      <c r="T1649" s="16">
        <f t="shared" si="370"/>
        <v>2478</v>
      </c>
      <c r="U1649" s="16" t="s">
        <v>1749</v>
      </c>
      <c r="V1649" s="19" t="s">
        <v>1748</v>
      </c>
      <c r="W1649" s="142" t="s">
        <v>1751</v>
      </c>
    </row>
    <row r="1650" spans="1:23" x14ac:dyDescent="0.3">
      <c r="A1650" s="1"/>
      <c r="B1650" s="1"/>
      <c r="C1650" s="1"/>
      <c r="D1650" s="1"/>
      <c r="E1650" s="1"/>
      <c r="F1650" s="124" t="s">
        <v>39</v>
      </c>
      <c r="G1650" s="1"/>
      <c r="H1650" s="1"/>
      <c r="I1650" s="1"/>
      <c r="J1650" s="124">
        <f>SUM(J1644:J1649)</f>
        <v>32840</v>
      </c>
      <c r="K1650" s="1"/>
      <c r="L1650" s="1"/>
      <c r="M1650" s="1"/>
      <c r="N1650" s="1"/>
      <c r="O1650" s="1"/>
      <c r="P1650" s="1"/>
      <c r="Q1650" s="1"/>
      <c r="R1650" s="1"/>
      <c r="S1650" s="1"/>
      <c r="T1650" s="1"/>
      <c r="U1650" s="1"/>
      <c r="V1650" s="1"/>
      <c r="W1650" s="142"/>
    </row>
    <row r="1651" spans="1:23" x14ac:dyDescent="0.3">
      <c r="A1651" s="1"/>
      <c r="B1651" s="1"/>
      <c r="C1651" s="1"/>
      <c r="D1651" s="1"/>
      <c r="E1651" s="1"/>
      <c r="F1651" s="124" t="s">
        <v>599</v>
      </c>
      <c r="G1651" s="1"/>
      <c r="H1651" s="1"/>
      <c r="I1651" s="1"/>
      <c r="J1651" s="124">
        <f>J1650*18/100</f>
        <v>5911.2</v>
      </c>
      <c r="K1651" s="1"/>
      <c r="L1651" s="1"/>
      <c r="M1651" s="1"/>
      <c r="N1651" s="1"/>
      <c r="O1651" s="1"/>
      <c r="P1651" s="1"/>
      <c r="Q1651" s="1"/>
      <c r="R1651" s="1"/>
      <c r="S1651" s="1"/>
      <c r="T1651" s="1"/>
      <c r="U1651" s="1"/>
      <c r="V1651" s="1"/>
      <c r="W1651" s="142"/>
    </row>
    <row r="1652" spans="1:23" x14ac:dyDescent="0.3">
      <c r="A1652" s="1"/>
      <c r="B1652" s="1"/>
      <c r="C1652" s="1"/>
      <c r="D1652" s="1"/>
      <c r="E1652" s="1"/>
      <c r="F1652" s="124" t="s">
        <v>41</v>
      </c>
      <c r="G1652" s="1"/>
      <c r="H1652" s="1"/>
      <c r="I1652" s="1"/>
      <c r="J1652" s="124">
        <f>SUM(J1650:J1651)</f>
        <v>38751.199999999997</v>
      </c>
      <c r="K1652" s="1"/>
      <c r="L1652" s="1"/>
      <c r="M1652" s="1"/>
      <c r="N1652" s="1"/>
      <c r="O1652" s="1"/>
      <c r="P1652" s="1"/>
      <c r="Q1652" s="1"/>
      <c r="R1652" s="1"/>
      <c r="S1652" s="1"/>
      <c r="T1652" s="1">
        <f>SUM(T1644:T1651)</f>
        <v>38751.199999999997</v>
      </c>
      <c r="U1652" s="1"/>
      <c r="V1652" s="1"/>
      <c r="W1652" s="142"/>
    </row>
    <row r="1653" spans="1:23" x14ac:dyDescent="0.3">
      <c r="A1653" s="1"/>
      <c r="B1653" s="1"/>
      <c r="C1653" s="1"/>
      <c r="D1653" s="1"/>
      <c r="E1653" s="1"/>
      <c r="F1653" s="124"/>
      <c r="G1653" s="1"/>
      <c r="H1653" s="1"/>
      <c r="I1653" s="1"/>
      <c r="J1653" s="1">
        <f t="shared" si="361"/>
        <v>0</v>
      </c>
      <c r="K1653" s="1"/>
      <c r="L1653" s="1"/>
      <c r="M1653" s="1"/>
      <c r="N1653" s="1"/>
      <c r="O1653" s="1"/>
      <c r="P1653" s="1"/>
      <c r="Q1653" s="1"/>
      <c r="R1653" s="1"/>
      <c r="S1653" s="1"/>
      <c r="T1653" s="1"/>
      <c r="U1653" s="1"/>
      <c r="V1653" s="1"/>
      <c r="W1653" s="142"/>
    </row>
    <row r="1654" spans="1:23" ht="25.2" x14ac:dyDescent="0.3">
      <c r="A1654" s="16">
        <v>141</v>
      </c>
      <c r="B1654" s="16">
        <v>8600061035</v>
      </c>
      <c r="C1654" s="16" t="s">
        <v>1731</v>
      </c>
      <c r="D1654" s="16" t="s">
        <v>1732</v>
      </c>
      <c r="E1654" s="16" t="s">
        <v>127</v>
      </c>
      <c r="F1654" s="39" t="s">
        <v>1733</v>
      </c>
      <c r="G1654" s="16">
        <v>8</v>
      </c>
      <c r="H1654" s="16" t="s">
        <v>28</v>
      </c>
      <c r="I1654" s="16">
        <v>1830</v>
      </c>
      <c r="J1654" s="33">
        <f t="shared" si="361"/>
        <v>14640</v>
      </c>
      <c r="K1654" s="16"/>
      <c r="L1654" s="16"/>
      <c r="M1654" s="16"/>
      <c r="N1654" s="16"/>
      <c r="O1654" s="16">
        <v>8</v>
      </c>
      <c r="P1654" s="16">
        <v>1830</v>
      </c>
      <c r="Q1654" s="16">
        <f>O1654*P1654</f>
        <v>14640</v>
      </c>
      <c r="R1654" s="18">
        <v>0.18</v>
      </c>
      <c r="S1654" s="16">
        <f>Q1654*R1654</f>
        <v>2635.2</v>
      </c>
      <c r="T1654" s="16">
        <f>Q1654+S1654</f>
        <v>17275.2</v>
      </c>
      <c r="U1654" s="16" t="s">
        <v>1761</v>
      </c>
      <c r="V1654" s="19">
        <v>45819</v>
      </c>
      <c r="W1654" s="142" t="s">
        <v>1767</v>
      </c>
    </row>
    <row r="1655" spans="1:23" x14ac:dyDescent="0.3">
      <c r="A1655" s="1"/>
      <c r="B1655" s="1"/>
      <c r="C1655" s="1"/>
      <c r="D1655" s="1"/>
      <c r="E1655" s="1"/>
      <c r="F1655" s="124" t="s">
        <v>39</v>
      </c>
      <c r="G1655" s="1"/>
      <c r="H1655" s="1"/>
      <c r="I1655" s="1"/>
      <c r="J1655" s="124">
        <f>SUM(J1654)</f>
        <v>14640</v>
      </c>
      <c r="K1655" s="1"/>
      <c r="L1655" s="1"/>
      <c r="M1655" s="1"/>
      <c r="N1655" s="1"/>
      <c r="O1655" s="1"/>
      <c r="P1655" s="1"/>
      <c r="Q1655" s="1"/>
      <c r="R1655" s="1"/>
      <c r="S1655" s="1"/>
      <c r="T1655" s="1"/>
      <c r="U1655" s="1"/>
      <c r="V1655" s="1"/>
      <c r="W1655" s="142"/>
    </row>
    <row r="1656" spans="1:23" x14ac:dyDescent="0.3">
      <c r="A1656" s="1"/>
      <c r="B1656" s="1"/>
      <c r="C1656" s="1"/>
      <c r="D1656" s="1"/>
      <c r="E1656" s="1"/>
      <c r="F1656" s="124" t="s">
        <v>187</v>
      </c>
      <c r="G1656" s="1"/>
      <c r="H1656" s="1"/>
      <c r="I1656" s="1"/>
      <c r="J1656" s="124">
        <f>J1655*18/100</f>
        <v>2635.2</v>
      </c>
      <c r="K1656" s="1"/>
      <c r="L1656" s="1"/>
      <c r="M1656" s="1"/>
      <c r="N1656" s="1"/>
      <c r="O1656" s="1"/>
      <c r="P1656" s="1"/>
      <c r="Q1656" s="1"/>
      <c r="R1656" s="1"/>
      <c r="S1656" s="1"/>
      <c r="T1656" s="1"/>
      <c r="U1656" s="1"/>
      <c r="V1656" s="1"/>
      <c r="W1656" s="142"/>
    </row>
    <row r="1657" spans="1:23" x14ac:dyDescent="0.3">
      <c r="A1657" s="1"/>
      <c r="B1657" s="1"/>
      <c r="C1657" s="1"/>
      <c r="D1657" s="1"/>
      <c r="E1657" s="1"/>
      <c r="F1657" s="124" t="s">
        <v>41</v>
      </c>
      <c r="G1657" s="1"/>
      <c r="H1657" s="1"/>
      <c r="I1657" s="1"/>
      <c r="J1657" s="124">
        <f>SUM(J1655:J1656)</f>
        <v>17275.2</v>
      </c>
      <c r="K1657" s="1"/>
      <c r="L1657" s="1"/>
      <c r="M1657" s="1"/>
      <c r="N1657" s="1"/>
      <c r="O1657" s="1"/>
      <c r="P1657" s="1"/>
      <c r="Q1657" s="1"/>
      <c r="R1657" s="1"/>
      <c r="S1657" s="1"/>
      <c r="T1657" s="1"/>
      <c r="U1657" s="1"/>
      <c r="V1657" s="1"/>
      <c r="W1657" s="142"/>
    </row>
    <row r="1658" spans="1:23" x14ac:dyDescent="0.3">
      <c r="A1658" s="1"/>
      <c r="B1658" s="1"/>
      <c r="C1658" s="1"/>
      <c r="D1658" s="1"/>
      <c r="E1658" s="1"/>
      <c r="F1658" s="124"/>
      <c r="G1658" s="1"/>
      <c r="H1658" s="1"/>
      <c r="I1658" s="1"/>
      <c r="J1658" s="1">
        <f t="shared" si="361"/>
        <v>0</v>
      </c>
      <c r="K1658" s="1"/>
      <c r="L1658" s="1"/>
      <c r="M1658" s="1"/>
      <c r="N1658" s="1"/>
      <c r="O1658" s="1"/>
      <c r="P1658" s="1"/>
      <c r="Q1658" s="1"/>
      <c r="R1658" s="1"/>
      <c r="S1658" s="1"/>
      <c r="T1658" s="1"/>
      <c r="U1658" s="1"/>
      <c r="V1658" s="1"/>
      <c r="W1658" s="142"/>
    </row>
    <row r="1659" spans="1:23" x14ac:dyDescent="0.3">
      <c r="A1659" s="16">
        <v>142</v>
      </c>
      <c r="B1659" s="16">
        <v>8600061067</v>
      </c>
      <c r="C1659" s="16" t="s">
        <v>1734</v>
      </c>
      <c r="D1659" s="16" t="s">
        <v>300</v>
      </c>
      <c r="E1659" s="16" t="s">
        <v>127</v>
      </c>
      <c r="F1659" s="39" t="s">
        <v>1735</v>
      </c>
      <c r="G1659" s="16">
        <v>250</v>
      </c>
      <c r="H1659" s="16" t="s">
        <v>28</v>
      </c>
      <c r="I1659" s="16">
        <v>60</v>
      </c>
      <c r="J1659" s="16">
        <f t="shared" si="361"/>
        <v>15000</v>
      </c>
      <c r="K1659" s="16"/>
      <c r="L1659" s="16"/>
      <c r="M1659" s="16"/>
      <c r="N1659" s="16"/>
      <c r="O1659" s="16">
        <v>250</v>
      </c>
      <c r="P1659" s="16">
        <v>60</v>
      </c>
      <c r="Q1659" s="16">
        <f>O1659*P1659</f>
        <v>15000</v>
      </c>
      <c r="R1659" s="18">
        <v>0.18</v>
      </c>
      <c r="S1659" s="16">
        <f>Q1659*R1659</f>
        <v>2700</v>
      </c>
      <c r="T1659" s="16">
        <f>Q1659+S1659</f>
        <v>17700</v>
      </c>
      <c r="U1659" s="16" t="s">
        <v>1741</v>
      </c>
      <c r="V1659" s="19" t="s">
        <v>1734</v>
      </c>
      <c r="W1659" s="142" t="s">
        <v>1746</v>
      </c>
    </row>
    <row r="1660" spans="1:23" x14ac:dyDescent="0.3">
      <c r="A1660" s="1"/>
      <c r="B1660" s="1"/>
      <c r="C1660" s="1"/>
      <c r="D1660" s="1"/>
      <c r="E1660" s="16" t="s">
        <v>127</v>
      </c>
      <c r="F1660" s="16" t="s">
        <v>1736</v>
      </c>
      <c r="G1660" s="16">
        <v>50</v>
      </c>
      <c r="H1660" s="16" t="s">
        <v>28</v>
      </c>
      <c r="I1660" s="16">
        <v>60</v>
      </c>
      <c r="J1660" s="16">
        <f t="shared" si="361"/>
        <v>3000</v>
      </c>
      <c r="K1660" s="16"/>
      <c r="L1660" s="16"/>
      <c r="M1660" s="16"/>
      <c r="N1660" s="16"/>
      <c r="O1660" s="16">
        <v>50</v>
      </c>
      <c r="P1660" s="16">
        <v>60</v>
      </c>
      <c r="Q1660" s="16">
        <f t="shared" ref="Q1660:Q1664" si="371">O1660*P1660</f>
        <v>3000</v>
      </c>
      <c r="R1660" s="18">
        <v>0.18</v>
      </c>
      <c r="S1660" s="16">
        <f t="shared" ref="S1660:S1664" si="372">Q1660*R1660</f>
        <v>540</v>
      </c>
      <c r="T1660" s="16">
        <f t="shared" ref="T1660:T1664" si="373">Q1660+S1660</f>
        <v>3540</v>
      </c>
      <c r="U1660" s="16" t="s">
        <v>1741</v>
      </c>
      <c r="V1660" s="19" t="s">
        <v>1734</v>
      </c>
      <c r="W1660" s="142" t="s">
        <v>1746</v>
      </c>
    </row>
    <row r="1661" spans="1:23" x14ac:dyDescent="0.3">
      <c r="A1661" s="1"/>
      <c r="B1661" s="1"/>
      <c r="C1661" s="1"/>
      <c r="D1661" s="1"/>
      <c r="E1661" s="16" t="s">
        <v>127</v>
      </c>
      <c r="F1661" s="16" t="s">
        <v>1737</v>
      </c>
      <c r="G1661" s="16">
        <v>2</v>
      </c>
      <c r="H1661" s="16" t="s">
        <v>510</v>
      </c>
      <c r="I1661" s="16">
        <v>1600</v>
      </c>
      <c r="J1661" s="16">
        <f t="shared" si="361"/>
        <v>3200</v>
      </c>
      <c r="K1661" s="16"/>
      <c r="L1661" s="16"/>
      <c r="M1661" s="16"/>
      <c r="N1661" s="16"/>
      <c r="O1661" s="16">
        <v>2</v>
      </c>
      <c r="P1661" s="16">
        <v>1600</v>
      </c>
      <c r="Q1661" s="16">
        <f t="shared" si="371"/>
        <v>3200</v>
      </c>
      <c r="R1661" s="18">
        <v>0.18</v>
      </c>
      <c r="S1661" s="16">
        <f t="shared" si="372"/>
        <v>576</v>
      </c>
      <c r="T1661" s="16">
        <f t="shared" si="373"/>
        <v>3776</v>
      </c>
      <c r="U1661" s="16" t="s">
        <v>1741</v>
      </c>
      <c r="V1661" s="19" t="s">
        <v>1734</v>
      </c>
      <c r="W1661" s="142" t="s">
        <v>1746</v>
      </c>
    </row>
    <row r="1662" spans="1:23" x14ac:dyDescent="0.3">
      <c r="A1662" s="1"/>
      <c r="B1662" s="1"/>
      <c r="C1662" s="1"/>
      <c r="D1662" s="1"/>
      <c r="E1662" s="16" t="s">
        <v>127</v>
      </c>
      <c r="F1662" s="16" t="s">
        <v>1738</v>
      </c>
      <c r="G1662" s="16">
        <v>4</v>
      </c>
      <c r="H1662" s="16" t="s">
        <v>57</v>
      </c>
      <c r="I1662" s="16">
        <v>85</v>
      </c>
      <c r="J1662" s="16">
        <f t="shared" si="361"/>
        <v>340</v>
      </c>
      <c r="K1662" s="16"/>
      <c r="L1662" s="16"/>
      <c r="M1662" s="16"/>
      <c r="N1662" s="16"/>
      <c r="O1662" s="16">
        <v>4</v>
      </c>
      <c r="P1662" s="16">
        <v>85</v>
      </c>
      <c r="Q1662" s="16">
        <f t="shared" si="371"/>
        <v>340</v>
      </c>
      <c r="R1662" s="18">
        <v>0.18</v>
      </c>
      <c r="S1662" s="16">
        <f t="shared" si="372"/>
        <v>61.199999999999996</v>
      </c>
      <c r="T1662" s="16">
        <f t="shared" si="373"/>
        <v>401.2</v>
      </c>
      <c r="U1662" s="16" t="s">
        <v>1741</v>
      </c>
      <c r="V1662" s="19" t="s">
        <v>1734</v>
      </c>
      <c r="W1662" s="142" t="s">
        <v>1746</v>
      </c>
    </row>
    <row r="1663" spans="1:23" x14ac:dyDescent="0.3">
      <c r="A1663" s="1"/>
      <c r="B1663" s="1"/>
      <c r="C1663" s="1"/>
      <c r="D1663" s="1"/>
      <c r="E1663" s="16" t="s">
        <v>127</v>
      </c>
      <c r="F1663" s="16" t="s">
        <v>1739</v>
      </c>
      <c r="G1663" s="16">
        <v>4</v>
      </c>
      <c r="H1663" s="16" t="s">
        <v>57</v>
      </c>
      <c r="I1663" s="16">
        <v>55</v>
      </c>
      <c r="J1663" s="16">
        <f t="shared" si="361"/>
        <v>220</v>
      </c>
      <c r="K1663" s="16"/>
      <c r="L1663" s="16"/>
      <c r="M1663" s="16"/>
      <c r="N1663" s="16"/>
      <c r="O1663" s="16">
        <v>4</v>
      </c>
      <c r="P1663" s="16">
        <v>55</v>
      </c>
      <c r="Q1663" s="16">
        <f t="shared" si="371"/>
        <v>220</v>
      </c>
      <c r="R1663" s="18">
        <v>0.18</v>
      </c>
      <c r="S1663" s="16">
        <f t="shared" si="372"/>
        <v>39.6</v>
      </c>
      <c r="T1663" s="16">
        <f t="shared" si="373"/>
        <v>259.60000000000002</v>
      </c>
      <c r="U1663" s="16" t="s">
        <v>1741</v>
      </c>
      <c r="V1663" s="19" t="s">
        <v>1734</v>
      </c>
      <c r="W1663" s="142" t="s">
        <v>1746</v>
      </c>
    </row>
    <row r="1664" spans="1:23" x14ac:dyDescent="0.3">
      <c r="A1664" s="1"/>
      <c r="B1664" s="1"/>
      <c r="C1664" s="1"/>
      <c r="D1664" s="1"/>
      <c r="E1664" s="16" t="s">
        <v>127</v>
      </c>
      <c r="F1664" s="16" t="s">
        <v>1740</v>
      </c>
      <c r="G1664" s="16">
        <v>1</v>
      </c>
      <c r="H1664" s="16" t="s">
        <v>205</v>
      </c>
      <c r="I1664" s="16">
        <v>300</v>
      </c>
      <c r="J1664" s="16">
        <f t="shared" si="361"/>
        <v>300</v>
      </c>
      <c r="K1664" s="16"/>
      <c r="L1664" s="16"/>
      <c r="M1664" s="16"/>
      <c r="N1664" s="16"/>
      <c r="O1664" s="16">
        <v>1</v>
      </c>
      <c r="P1664" s="16">
        <v>300</v>
      </c>
      <c r="Q1664" s="16">
        <f t="shared" si="371"/>
        <v>300</v>
      </c>
      <c r="R1664" s="18">
        <v>0.18</v>
      </c>
      <c r="S1664" s="16">
        <f t="shared" si="372"/>
        <v>54</v>
      </c>
      <c r="T1664" s="16">
        <f t="shared" si="373"/>
        <v>354</v>
      </c>
      <c r="U1664" s="16" t="s">
        <v>1741</v>
      </c>
      <c r="V1664" s="19" t="s">
        <v>1734</v>
      </c>
      <c r="W1664" s="142" t="s">
        <v>1746</v>
      </c>
    </row>
    <row r="1665" spans="1:23" x14ac:dyDescent="0.3">
      <c r="A1665" s="1"/>
      <c r="B1665" s="1"/>
      <c r="C1665" s="1"/>
      <c r="D1665" s="1"/>
      <c r="E1665" s="1"/>
      <c r="F1665" s="124" t="s">
        <v>39</v>
      </c>
      <c r="G1665" s="1"/>
      <c r="H1665" s="1"/>
      <c r="I1665" s="1"/>
      <c r="J1665" s="124">
        <f>SUM(J1659:J1664)</f>
        <v>22060</v>
      </c>
      <c r="K1665" s="1"/>
      <c r="L1665" s="1"/>
      <c r="M1665" s="1"/>
      <c r="N1665" s="1"/>
      <c r="O1665" s="1"/>
      <c r="P1665" s="1"/>
      <c r="Q1665" s="1"/>
      <c r="R1665" s="1"/>
      <c r="S1665" s="1"/>
      <c r="T1665" s="1"/>
      <c r="U1665" s="1"/>
      <c r="V1665" s="1"/>
      <c r="W1665" s="142"/>
    </row>
    <row r="1666" spans="1:23" x14ac:dyDescent="0.3">
      <c r="A1666" s="1"/>
      <c r="B1666" s="1"/>
      <c r="C1666" s="1"/>
      <c r="D1666" s="1"/>
      <c r="E1666" s="1"/>
      <c r="F1666" s="124" t="s">
        <v>187</v>
      </c>
      <c r="G1666" s="1"/>
      <c r="H1666" s="1"/>
      <c r="I1666" s="1"/>
      <c r="J1666" s="124">
        <f>J1665*18/100</f>
        <v>3970.8</v>
      </c>
      <c r="K1666" s="1"/>
      <c r="L1666" s="1"/>
      <c r="M1666" s="1"/>
      <c r="N1666" s="1"/>
      <c r="O1666" s="1"/>
      <c r="P1666" s="1"/>
      <c r="Q1666" s="1"/>
      <c r="R1666" s="1"/>
      <c r="S1666" s="1"/>
      <c r="T1666" s="1"/>
      <c r="U1666" s="1"/>
      <c r="V1666" s="1"/>
      <c r="W1666" s="142"/>
    </row>
    <row r="1667" spans="1:23" x14ac:dyDescent="0.3">
      <c r="A1667" s="1"/>
      <c r="B1667" s="1"/>
      <c r="C1667" s="1"/>
      <c r="D1667" s="1"/>
      <c r="E1667" s="1"/>
      <c r="F1667" s="124" t="s">
        <v>41</v>
      </c>
      <c r="G1667" s="1"/>
      <c r="H1667" s="1"/>
      <c r="I1667" s="1"/>
      <c r="J1667" s="124">
        <f>SUM(J1665:J1666)</f>
        <v>26030.799999999999</v>
      </c>
      <c r="K1667" s="1"/>
      <c r="L1667" s="1"/>
      <c r="M1667" s="1"/>
      <c r="N1667" s="1"/>
      <c r="O1667" s="1"/>
      <c r="P1667" s="1"/>
      <c r="Q1667" s="1"/>
      <c r="R1667" s="1"/>
      <c r="S1667" s="1"/>
      <c r="T1667" s="1">
        <f>SUM(T1659:T1666)</f>
        <v>26030.799999999999</v>
      </c>
      <c r="U1667" s="1"/>
      <c r="V1667" s="1"/>
      <c r="W1667" s="142"/>
    </row>
    <row r="1668" spans="1:23" x14ac:dyDescent="0.3">
      <c r="A1668" s="1"/>
      <c r="B1668" s="1"/>
      <c r="C1668" s="1"/>
      <c r="D1668" s="1"/>
      <c r="E1668" s="1"/>
      <c r="F1668" s="124"/>
      <c r="G1668" s="1"/>
      <c r="H1668" s="1"/>
      <c r="I1668" s="1"/>
      <c r="J1668" s="1">
        <f t="shared" si="361"/>
        <v>0</v>
      </c>
      <c r="K1668" s="1"/>
      <c r="L1668" s="1"/>
      <c r="M1668" s="1"/>
      <c r="N1668" s="1"/>
      <c r="O1668" s="1"/>
      <c r="P1668" s="1"/>
      <c r="Q1668" s="1"/>
      <c r="R1668" s="1"/>
      <c r="S1668" s="1"/>
      <c r="T1668" s="1"/>
      <c r="U1668" s="1"/>
      <c r="V1668" s="1"/>
      <c r="W1668" s="142"/>
    </row>
    <row r="1669" spans="1:23" ht="25.2" x14ac:dyDescent="0.3">
      <c r="A1669" s="16">
        <v>143</v>
      </c>
      <c r="B1669" s="16">
        <v>8600061189</v>
      </c>
      <c r="C1669" s="16" t="s">
        <v>1742</v>
      </c>
      <c r="D1669" s="16" t="s">
        <v>1502</v>
      </c>
      <c r="E1669" s="16" t="s">
        <v>127</v>
      </c>
      <c r="F1669" s="39" t="s">
        <v>1743</v>
      </c>
      <c r="G1669" s="16">
        <v>1</v>
      </c>
      <c r="H1669" s="16" t="s">
        <v>28</v>
      </c>
      <c r="I1669" s="16">
        <v>10300</v>
      </c>
      <c r="J1669" s="16">
        <f t="shared" si="361"/>
        <v>10300</v>
      </c>
      <c r="K1669" s="16"/>
      <c r="L1669" s="16"/>
      <c r="M1669" s="16"/>
      <c r="N1669" s="16"/>
      <c r="O1669" s="16">
        <v>1</v>
      </c>
      <c r="P1669" s="16">
        <v>10300</v>
      </c>
      <c r="Q1669" s="16">
        <f>O1669*P1669</f>
        <v>10300</v>
      </c>
      <c r="R1669" s="18">
        <v>0.18</v>
      </c>
      <c r="S1669" s="16">
        <f>Q1669*R1669</f>
        <v>1854</v>
      </c>
      <c r="T1669" s="16">
        <f>Q1669+S1669</f>
        <v>12154</v>
      </c>
      <c r="U1669" s="16" t="s">
        <v>1747</v>
      </c>
      <c r="V1669" s="19" t="s">
        <v>1748</v>
      </c>
      <c r="W1669" s="142" t="s">
        <v>1751</v>
      </c>
    </row>
    <row r="1670" spans="1:23" x14ac:dyDescent="0.3">
      <c r="A1670" s="1"/>
      <c r="B1670" s="1"/>
      <c r="C1670" s="1"/>
      <c r="D1670" s="1"/>
      <c r="E1670" s="1"/>
      <c r="F1670" s="124" t="s">
        <v>39</v>
      </c>
      <c r="G1670" s="1"/>
      <c r="H1670" s="1"/>
      <c r="I1670" s="1"/>
      <c r="J1670" s="124">
        <f>SUM(J1669)</f>
        <v>10300</v>
      </c>
      <c r="K1670" s="1"/>
      <c r="L1670" s="1"/>
      <c r="M1670" s="1"/>
      <c r="N1670" s="1"/>
      <c r="O1670" s="1"/>
      <c r="P1670" s="1"/>
      <c r="Q1670" s="1"/>
      <c r="R1670" s="1"/>
      <c r="S1670" s="1"/>
      <c r="T1670" s="1"/>
      <c r="U1670" s="1"/>
      <c r="V1670" s="1"/>
      <c r="W1670" s="142"/>
    </row>
    <row r="1671" spans="1:23" x14ac:dyDescent="0.3">
      <c r="A1671" s="1"/>
      <c r="B1671" s="1"/>
      <c r="C1671" s="1"/>
      <c r="D1671" s="1"/>
      <c r="E1671" s="1"/>
      <c r="F1671" s="124" t="s">
        <v>187</v>
      </c>
      <c r="G1671" s="1"/>
      <c r="H1671" s="1"/>
      <c r="I1671" s="1"/>
      <c r="J1671" s="124">
        <f>J1670*18/100</f>
        <v>1854</v>
      </c>
      <c r="K1671" s="1"/>
      <c r="L1671" s="1"/>
      <c r="M1671" s="1"/>
      <c r="N1671" s="1"/>
      <c r="O1671" s="1"/>
      <c r="P1671" s="1"/>
      <c r="Q1671" s="1"/>
      <c r="R1671" s="1"/>
      <c r="S1671" s="1"/>
      <c r="T1671" s="1"/>
      <c r="U1671" s="1"/>
      <c r="V1671" s="1"/>
      <c r="W1671" s="142"/>
    </row>
    <row r="1672" spans="1:23" x14ac:dyDescent="0.3">
      <c r="A1672" s="1"/>
      <c r="B1672" s="1"/>
      <c r="C1672" s="1"/>
      <c r="D1672" s="1"/>
      <c r="E1672" s="1"/>
      <c r="F1672" s="124" t="s">
        <v>41</v>
      </c>
      <c r="G1672" s="1"/>
      <c r="H1672" s="1"/>
      <c r="I1672" s="1"/>
      <c r="J1672" s="124">
        <f>SUM(J1670:J1671)</f>
        <v>12154</v>
      </c>
      <c r="K1672" s="1"/>
      <c r="L1672" s="1"/>
      <c r="M1672" s="1"/>
      <c r="N1672" s="1"/>
      <c r="O1672" s="1"/>
      <c r="P1672" s="1"/>
      <c r="Q1672" s="1"/>
      <c r="R1672" s="1"/>
      <c r="S1672" s="1"/>
      <c r="T1672" s="1"/>
      <c r="U1672" s="1"/>
      <c r="V1672" s="1"/>
      <c r="W1672" s="142"/>
    </row>
    <row r="1673" spans="1:23" x14ac:dyDescent="0.3">
      <c r="A1673" s="1"/>
      <c r="B1673" s="1"/>
      <c r="C1673" s="1"/>
      <c r="D1673" s="1"/>
      <c r="E1673" s="1"/>
      <c r="F1673" s="124"/>
      <c r="G1673" s="1"/>
      <c r="H1673" s="1"/>
      <c r="I1673" s="1"/>
      <c r="J1673" s="1">
        <f t="shared" si="361"/>
        <v>0</v>
      </c>
      <c r="K1673" s="1"/>
      <c r="L1673" s="1"/>
      <c r="M1673" s="1"/>
      <c r="N1673" s="1"/>
      <c r="O1673" s="1"/>
      <c r="P1673" s="1"/>
      <c r="Q1673" s="1"/>
      <c r="R1673" s="1"/>
      <c r="S1673" s="1"/>
      <c r="T1673" s="1"/>
      <c r="U1673" s="1"/>
      <c r="V1673" s="1"/>
      <c r="W1673" s="142"/>
    </row>
    <row r="1674" spans="1:23" ht="37.799999999999997" x14ac:dyDescent="0.3">
      <c r="A1674" s="16">
        <v>144</v>
      </c>
      <c r="B1674" s="16">
        <v>8600061190</v>
      </c>
      <c r="C1674" s="16" t="s">
        <v>1742</v>
      </c>
      <c r="D1674" s="16" t="s">
        <v>300</v>
      </c>
      <c r="E1674" s="16" t="s">
        <v>127</v>
      </c>
      <c r="F1674" s="39" t="s">
        <v>1744</v>
      </c>
      <c r="G1674" s="16">
        <v>1</v>
      </c>
      <c r="H1674" s="16" t="s">
        <v>28</v>
      </c>
      <c r="I1674" s="16">
        <v>24000</v>
      </c>
      <c r="J1674" s="16">
        <f t="shared" si="361"/>
        <v>24000</v>
      </c>
      <c r="K1674" s="16"/>
      <c r="L1674" s="16"/>
      <c r="M1674" s="16"/>
      <c r="N1674" s="16"/>
      <c r="O1674" s="16">
        <v>1</v>
      </c>
      <c r="P1674" s="16">
        <v>24000</v>
      </c>
      <c r="Q1674" s="16">
        <f>O1674*P1674</f>
        <v>24000</v>
      </c>
      <c r="R1674" s="18">
        <v>0.18</v>
      </c>
      <c r="S1674" s="16">
        <f>Q1674*R1674</f>
        <v>4320</v>
      </c>
      <c r="T1674" s="16">
        <f>Q1674+S1674</f>
        <v>28320</v>
      </c>
      <c r="U1674" s="16" t="s">
        <v>1760</v>
      </c>
      <c r="V1674" s="19">
        <v>45758</v>
      </c>
      <c r="W1674" s="142" t="s">
        <v>1767</v>
      </c>
    </row>
    <row r="1675" spans="1:23" ht="37.799999999999997" x14ac:dyDescent="0.3">
      <c r="A1675" s="1"/>
      <c r="B1675" s="1"/>
      <c r="C1675" s="1"/>
      <c r="D1675" s="1"/>
      <c r="E1675" s="16" t="s">
        <v>127</v>
      </c>
      <c r="F1675" s="39" t="s">
        <v>1745</v>
      </c>
      <c r="G1675" s="16">
        <v>1</v>
      </c>
      <c r="H1675" s="16" t="s">
        <v>28</v>
      </c>
      <c r="I1675" s="16">
        <v>22000</v>
      </c>
      <c r="J1675" s="16">
        <f t="shared" si="361"/>
        <v>22000</v>
      </c>
      <c r="K1675" s="16"/>
      <c r="L1675" s="16"/>
      <c r="M1675" s="16"/>
      <c r="N1675" s="16"/>
      <c r="O1675" s="16">
        <v>1</v>
      </c>
      <c r="P1675" s="16">
        <v>22000</v>
      </c>
      <c r="Q1675" s="16">
        <f>O1675*P1675</f>
        <v>22000</v>
      </c>
      <c r="R1675" s="18">
        <v>0.18</v>
      </c>
      <c r="S1675" s="16">
        <f>Q1675*R1675</f>
        <v>3960</v>
      </c>
      <c r="T1675" s="16">
        <f>Q1675+S1675</f>
        <v>25960</v>
      </c>
      <c r="U1675" s="16" t="s">
        <v>1760</v>
      </c>
      <c r="V1675" s="19">
        <v>45758</v>
      </c>
      <c r="W1675" s="142" t="s">
        <v>1767</v>
      </c>
    </row>
    <row r="1676" spans="1:23" x14ac:dyDescent="0.3">
      <c r="A1676" s="1"/>
      <c r="B1676" s="1"/>
      <c r="C1676" s="1"/>
      <c r="D1676" s="1"/>
      <c r="E1676" s="1"/>
      <c r="F1676" s="124" t="s">
        <v>39</v>
      </c>
      <c r="G1676" s="1"/>
      <c r="H1676" s="1"/>
      <c r="I1676" s="1"/>
      <c r="J1676" s="124">
        <f>SUM(J1674:J1675)</f>
        <v>46000</v>
      </c>
      <c r="K1676" s="1"/>
      <c r="L1676" s="1"/>
      <c r="M1676" s="1"/>
      <c r="N1676" s="1"/>
      <c r="O1676" s="1"/>
      <c r="P1676" s="1"/>
      <c r="Q1676" s="1"/>
      <c r="R1676" s="1"/>
      <c r="S1676" s="1"/>
      <c r="T1676" s="1"/>
      <c r="U1676" s="1"/>
      <c r="V1676" s="1"/>
      <c r="W1676" s="142"/>
    </row>
    <row r="1677" spans="1:23" x14ac:dyDescent="0.3">
      <c r="A1677" s="1"/>
      <c r="B1677" s="1"/>
      <c r="C1677" s="1"/>
      <c r="D1677" s="1"/>
      <c r="E1677" s="1"/>
      <c r="F1677" s="124" t="s">
        <v>187</v>
      </c>
      <c r="G1677" s="1"/>
      <c r="H1677" s="1"/>
      <c r="I1677" s="1"/>
      <c r="J1677" s="124">
        <f>J1676*18/100</f>
        <v>8280</v>
      </c>
      <c r="K1677" s="1"/>
      <c r="L1677" s="1"/>
      <c r="M1677" s="1"/>
      <c r="N1677" s="1"/>
      <c r="O1677" s="1"/>
      <c r="P1677" s="1"/>
      <c r="Q1677" s="1"/>
      <c r="R1677" s="1"/>
      <c r="S1677" s="1"/>
      <c r="T1677" s="1"/>
      <c r="U1677" s="1"/>
      <c r="V1677" s="1"/>
      <c r="W1677" s="142"/>
    </row>
    <row r="1678" spans="1:23" x14ac:dyDescent="0.3">
      <c r="A1678" s="1"/>
      <c r="B1678" s="1"/>
      <c r="C1678" s="1"/>
      <c r="D1678" s="1"/>
      <c r="E1678" s="1"/>
      <c r="F1678" s="124" t="s">
        <v>41</v>
      </c>
      <c r="G1678" s="1"/>
      <c r="H1678" s="1"/>
      <c r="I1678" s="1"/>
      <c r="J1678" s="124">
        <f>SUM(J1676:J1677)</f>
        <v>54280</v>
      </c>
      <c r="K1678" s="1"/>
      <c r="L1678" s="1"/>
      <c r="M1678" s="1"/>
      <c r="N1678" s="1"/>
      <c r="O1678" s="1"/>
      <c r="P1678" s="1"/>
      <c r="Q1678" s="1"/>
      <c r="R1678" s="1"/>
      <c r="S1678" s="1"/>
      <c r="T1678" s="1">
        <f>SUM(T1674:T1677)</f>
        <v>54280</v>
      </c>
      <c r="U1678" s="1"/>
      <c r="V1678" s="1"/>
      <c r="W1678" s="142"/>
    </row>
    <row r="1679" spans="1:23" x14ac:dyDescent="0.3">
      <c r="A1679" s="1"/>
      <c r="B1679" s="1"/>
      <c r="C1679" s="1"/>
      <c r="D1679" s="1"/>
      <c r="E1679" s="1"/>
      <c r="F1679" s="124"/>
      <c r="G1679" s="1"/>
      <c r="H1679" s="1"/>
      <c r="I1679" s="1"/>
      <c r="J1679" s="124"/>
      <c r="K1679" s="1"/>
      <c r="L1679" s="1"/>
      <c r="M1679" s="1"/>
      <c r="N1679" s="1"/>
      <c r="O1679" s="1"/>
      <c r="P1679" s="1"/>
      <c r="Q1679" s="1"/>
      <c r="R1679" s="1"/>
      <c r="S1679" s="1"/>
      <c r="T1679" s="1"/>
      <c r="U1679" s="1"/>
      <c r="V1679" s="1"/>
      <c r="W1679" s="142"/>
    </row>
    <row r="1680" spans="1:23" x14ac:dyDescent="0.3">
      <c r="A1680" s="16">
        <v>145</v>
      </c>
      <c r="B1680" s="16">
        <v>9200151535</v>
      </c>
      <c r="C1680" s="19">
        <v>45972</v>
      </c>
      <c r="D1680" s="16" t="s">
        <v>43</v>
      </c>
      <c r="E1680" s="16" t="s">
        <v>123</v>
      </c>
      <c r="F1680" s="16" t="s">
        <v>1768</v>
      </c>
      <c r="G1680" s="16">
        <v>1</v>
      </c>
      <c r="H1680" s="16" t="s">
        <v>28</v>
      </c>
      <c r="I1680" s="16">
        <v>1100</v>
      </c>
      <c r="J1680" s="16">
        <f t="shared" si="361"/>
        <v>1100</v>
      </c>
      <c r="K1680" s="16"/>
      <c r="L1680" s="16"/>
      <c r="M1680" s="16"/>
      <c r="N1680" s="16"/>
      <c r="O1680" s="16">
        <v>1</v>
      </c>
      <c r="P1680" s="16">
        <v>1100</v>
      </c>
      <c r="Q1680" s="16">
        <f>O1680*P1680</f>
        <v>1100</v>
      </c>
      <c r="R1680" s="18">
        <v>0</v>
      </c>
      <c r="S1680" s="16">
        <f>Q1680*R1680</f>
        <v>0</v>
      </c>
      <c r="T1680" s="16">
        <f>Q1680+S1680</f>
        <v>1100</v>
      </c>
      <c r="U1680" s="16" t="s">
        <v>1802</v>
      </c>
      <c r="V1680" s="19">
        <v>45881</v>
      </c>
      <c r="W1680" s="142" t="s">
        <v>1823</v>
      </c>
    </row>
    <row r="1681" spans="1:23" x14ac:dyDescent="0.3">
      <c r="A1681" s="1"/>
      <c r="B1681" s="1"/>
      <c r="C1681" s="1"/>
      <c r="D1681" s="1"/>
      <c r="E1681" s="16" t="s">
        <v>123</v>
      </c>
      <c r="F1681" s="16" t="s">
        <v>1769</v>
      </c>
      <c r="G1681" s="16">
        <v>1</v>
      </c>
      <c r="H1681" s="16" t="s">
        <v>28</v>
      </c>
      <c r="I1681" s="16">
        <v>14350</v>
      </c>
      <c r="J1681" s="16">
        <f t="shared" si="361"/>
        <v>14350</v>
      </c>
      <c r="K1681" s="16">
        <v>1</v>
      </c>
      <c r="L1681" s="16" t="s">
        <v>28</v>
      </c>
      <c r="M1681" s="16" t="s">
        <v>91</v>
      </c>
      <c r="N1681" s="16" t="s">
        <v>1789</v>
      </c>
      <c r="O1681" s="16">
        <v>1</v>
      </c>
      <c r="P1681" s="16">
        <v>14350</v>
      </c>
      <c r="Q1681" s="16">
        <f>O1681*P1681</f>
        <v>14350</v>
      </c>
      <c r="R1681" s="18">
        <v>0</v>
      </c>
      <c r="S1681" s="16">
        <f>Q1681*R1681</f>
        <v>0</v>
      </c>
      <c r="T1681" s="16">
        <f>Q1681+S1681</f>
        <v>14350</v>
      </c>
      <c r="U1681" s="16" t="s">
        <v>1802</v>
      </c>
      <c r="V1681" s="19">
        <v>45881</v>
      </c>
      <c r="W1681" s="142" t="s">
        <v>1823</v>
      </c>
    </row>
    <row r="1682" spans="1:23" x14ac:dyDescent="0.3">
      <c r="A1682" s="1"/>
      <c r="B1682" s="1"/>
      <c r="C1682" s="1"/>
      <c r="D1682" s="1"/>
      <c r="E1682" s="1"/>
      <c r="F1682" s="124" t="s">
        <v>39</v>
      </c>
      <c r="G1682" s="1"/>
      <c r="H1682" s="1"/>
      <c r="I1682" s="1"/>
      <c r="J1682" s="124">
        <f>SUM(J1680:J1681)</f>
        <v>15450</v>
      </c>
      <c r="K1682" s="1"/>
      <c r="L1682" s="1"/>
      <c r="M1682" s="1"/>
      <c r="N1682" s="1"/>
      <c r="O1682" s="1"/>
      <c r="P1682" s="1"/>
      <c r="Q1682" s="1"/>
      <c r="R1682" s="1"/>
      <c r="S1682" s="1"/>
      <c r="T1682" s="1"/>
      <c r="U1682" s="1"/>
      <c r="V1682" s="1"/>
      <c r="W1682" s="142"/>
    </row>
    <row r="1683" spans="1:23" x14ac:dyDescent="0.3">
      <c r="A1683" s="1"/>
      <c r="B1683" s="1"/>
      <c r="C1683" s="1"/>
      <c r="D1683" s="1"/>
      <c r="E1683" s="1"/>
      <c r="F1683" s="124" t="s">
        <v>599</v>
      </c>
      <c r="G1683" s="1"/>
      <c r="H1683" s="1"/>
      <c r="I1683" s="1"/>
      <c r="J1683" s="124">
        <f>J1682*0/100</f>
        <v>0</v>
      </c>
      <c r="K1683" s="1"/>
      <c r="L1683" s="1"/>
      <c r="M1683" s="1"/>
      <c r="N1683" s="1"/>
      <c r="O1683" s="1"/>
      <c r="P1683" s="1"/>
      <c r="Q1683" s="1"/>
      <c r="R1683" s="1"/>
      <c r="S1683" s="1"/>
      <c r="T1683" s="1"/>
      <c r="U1683" s="1"/>
      <c r="V1683" s="1"/>
      <c r="W1683" s="142"/>
    </row>
    <row r="1684" spans="1:23" x14ac:dyDescent="0.3">
      <c r="A1684" s="1"/>
      <c r="B1684" s="1"/>
      <c r="C1684" s="1"/>
      <c r="D1684" s="1"/>
      <c r="E1684" s="1"/>
      <c r="F1684" s="124" t="s">
        <v>41</v>
      </c>
      <c r="G1684" s="1"/>
      <c r="H1684" s="1"/>
      <c r="I1684" s="1"/>
      <c r="J1684" s="124">
        <f>SUM(J1682:J1683)</f>
        <v>15450</v>
      </c>
      <c r="K1684" s="1"/>
      <c r="L1684" s="1"/>
      <c r="M1684" s="1"/>
      <c r="N1684" s="1"/>
      <c r="O1684" s="1"/>
      <c r="P1684" s="1"/>
      <c r="Q1684" s="1"/>
      <c r="R1684" s="1"/>
      <c r="S1684" s="1"/>
      <c r="T1684" s="1">
        <f>SUM(T1680:T1683)</f>
        <v>15450</v>
      </c>
      <c r="U1684" s="1"/>
      <c r="V1684" s="1"/>
      <c r="W1684" s="142"/>
    </row>
    <row r="1685" spans="1:23" x14ac:dyDescent="0.3">
      <c r="A1685" s="1"/>
      <c r="B1685" s="1"/>
      <c r="C1685" s="1"/>
      <c r="D1685" s="1"/>
      <c r="E1685" s="1"/>
      <c r="F1685" s="124"/>
      <c r="G1685" s="1"/>
      <c r="H1685" s="1"/>
      <c r="I1685" s="1"/>
      <c r="J1685" s="124"/>
      <c r="K1685" s="1"/>
      <c r="L1685" s="1"/>
      <c r="M1685" s="1"/>
      <c r="N1685" s="1"/>
      <c r="O1685" s="1"/>
      <c r="P1685" s="1"/>
      <c r="Q1685" s="1"/>
      <c r="R1685" s="1"/>
      <c r="S1685" s="1"/>
      <c r="T1685" s="1"/>
      <c r="U1685" s="1"/>
      <c r="V1685" s="1"/>
      <c r="W1685" s="142"/>
    </row>
    <row r="1686" spans="1:23" ht="25.2" x14ac:dyDescent="0.3">
      <c r="A1686" s="16">
        <v>146</v>
      </c>
      <c r="B1686" s="16">
        <v>9200151964</v>
      </c>
      <c r="C1686" s="16" t="s">
        <v>1776</v>
      </c>
      <c r="D1686" s="16" t="s">
        <v>43</v>
      </c>
      <c r="E1686" s="16" t="s">
        <v>123</v>
      </c>
      <c r="F1686" s="39" t="s">
        <v>1777</v>
      </c>
      <c r="G1686" s="16">
        <v>10</v>
      </c>
      <c r="H1686" s="16" t="s">
        <v>28</v>
      </c>
      <c r="I1686" s="16">
        <v>13100</v>
      </c>
      <c r="J1686" s="16">
        <f t="shared" si="361"/>
        <v>131000</v>
      </c>
      <c r="K1686" s="16">
        <v>10</v>
      </c>
      <c r="L1686" s="16" t="s">
        <v>28</v>
      </c>
      <c r="M1686" s="16" t="s">
        <v>1570</v>
      </c>
      <c r="N1686" s="16" t="s">
        <v>1807</v>
      </c>
      <c r="O1686" s="16">
        <v>10</v>
      </c>
      <c r="P1686" s="16">
        <v>13100</v>
      </c>
      <c r="Q1686" s="16">
        <f>O1686*P1686</f>
        <v>131000</v>
      </c>
      <c r="R1686" s="18">
        <v>0</v>
      </c>
      <c r="S1686" s="16">
        <f>Q1686*R1686</f>
        <v>0</v>
      </c>
      <c r="T1686" s="16">
        <f>Q1686+S1686</f>
        <v>131000</v>
      </c>
      <c r="U1686" s="16" t="s">
        <v>1815</v>
      </c>
      <c r="V1686" s="19" t="s">
        <v>1814</v>
      </c>
      <c r="W1686" s="142" t="s">
        <v>1889</v>
      </c>
    </row>
    <row r="1687" spans="1:23" x14ac:dyDescent="0.3">
      <c r="A1687" s="1"/>
      <c r="B1687" s="1"/>
      <c r="C1687" s="1"/>
      <c r="D1687" s="1"/>
      <c r="E1687" s="1"/>
      <c r="F1687" s="16" t="s">
        <v>1778</v>
      </c>
      <c r="G1687" s="16">
        <v>100</v>
      </c>
      <c r="H1687" s="16" t="s">
        <v>60</v>
      </c>
      <c r="I1687" s="16">
        <v>220</v>
      </c>
      <c r="J1687" s="16">
        <f t="shared" si="361"/>
        <v>22000</v>
      </c>
      <c r="K1687" s="16">
        <v>100</v>
      </c>
      <c r="L1687" s="16" t="s">
        <v>60</v>
      </c>
      <c r="M1687" s="16" t="s">
        <v>1570</v>
      </c>
      <c r="N1687" s="16" t="s">
        <v>1808</v>
      </c>
      <c r="O1687" s="16">
        <v>100</v>
      </c>
      <c r="P1687" s="16">
        <v>220</v>
      </c>
      <c r="Q1687" s="16">
        <f t="shared" ref="Q1687:Q1690" si="374">O1687*P1687</f>
        <v>22000</v>
      </c>
      <c r="R1687" s="18">
        <v>0</v>
      </c>
      <c r="S1687" s="16">
        <f t="shared" ref="S1687:S1690" si="375">Q1687*R1687</f>
        <v>0</v>
      </c>
      <c r="T1687" s="16">
        <f t="shared" ref="T1687:T1690" si="376">Q1687+S1687</f>
        <v>22000</v>
      </c>
      <c r="U1687" s="16" t="s">
        <v>1815</v>
      </c>
      <c r="V1687" s="19" t="s">
        <v>1814</v>
      </c>
      <c r="W1687" s="142" t="s">
        <v>1889</v>
      </c>
    </row>
    <row r="1688" spans="1:23" x14ac:dyDescent="0.3">
      <c r="A1688" s="1"/>
      <c r="B1688" s="1"/>
      <c r="C1688" s="1"/>
      <c r="D1688" s="1"/>
      <c r="E1688" s="1"/>
      <c r="F1688" s="16" t="s">
        <v>1779</v>
      </c>
      <c r="G1688" s="16">
        <v>2</v>
      </c>
      <c r="H1688" s="16" t="s">
        <v>87</v>
      </c>
      <c r="I1688" s="16">
        <v>1000</v>
      </c>
      <c r="J1688" s="16">
        <f t="shared" si="361"/>
        <v>2000</v>
      </c>
      <c r="K1688" s="16"/>
      <c r="L1688" s="16"/>
      <c r="M1688" s="16"/>
      <c r="N1688" s="16"/>
      <c r="O1688" s="16">
        <v>2</v>
      </c>
      <c r="P1688" s="16">
        <v>1000</v>
      </c>
      <c r="Q1688" s="16">
        <f t="shared" si="374"/>
        <v>2000</v>
      </c>
      <c r="R1688" s="18">
        <v>0</v>
      </c>
      <c r="S1688" s="16">
        <f t="shared" si="375"/>
        <v>0</v>
      </c>
      <c r="T1688" s="16">
        <f t="shared" si="376"/>
        <v>2000</v>
      </c>
      <c r="U1688" s="16" t="s">
        <v>1815</v>
      </c>
      <c r="V1688" s="19" t="s">
        <v>1814</v>
      </c>
      <c r="W1688" s="142" t="s">
        <v>1889</v>
      </c>
    </row>
    <row r="1689" spans="1:23" x14ac:dyDescent="0.3">
      <c r="A1689" s="1"/>
      <c r="B1689" s="1"/>
      <c r="C1689" s="1"/>
      <c r="D1689" s="1"/>
      <c r="E1689" s="1"/>
      <c r="F1689" s="16" t="s">
        <v>1780</v>
      </c>
      <c r="G1689" s="16">
        <v>10</v>
      </c>
      <c r="H1689" s="16" t="s">
        <v>28</v>
      </c>
      <c r="I1689" s="16">
        <v>750</v>
      </c>
      <c r="J1689" s="16">
        <f t="shared" si="361"/>
        <v>7500</v>
      </c>
      <c r="K1689" s="16"/>
      <c r="L1689" s="16"/>
      <c r="M1689" s="16"/>
      <c r="N1689" s="16"/>
      <c r="O1689" s="16">
        <v>10</v>
      </c>
      <c r="P1689" s="16">
        <v>750</v>
      </c>
      <c r="Q1689" s="16">
        <f t="shared" si="374"/>
        <v>7500</v>
      </c>
      <c r="R1689" s="18">
        <v>0</v>
      </c>
      <c r="S1689" s="16">
        <f t="shared" si="375"/>
        <v>0</v>
      </c>
      <c r="T1689" s="16">
        <f t="shared" si="376"/>
        <v>7500</v>
      </c>
      <c r="U1689" s="16" t="s">
        <v>1815</v>
      </c>
      <c r="V1689" s="19" t="s">
        <v>1814</v>
      </c>
      <c r="W1689" s="142" t="s">
        <v>1889</v>
      </c>
    </row>
    <row r="1690" spans="1:23" ht="25.2" x14ac:dyDescent="0.3">
      <c r="A1690" s="1"/>
      <c r="B1690" s="1"/>
      <c r="C1690" s="1"/>
      <c r="D1690" s="1"/>
      <c r="E1690" s="1"/>
      <c r="F1690" s="39" t="s">
        <v>1781</v>
      </c>
      <c r="G1690" s="16">
        <v>10</v>
      </c>
      <c r="H1690" s="16" t="s">
        <v>28</v>
      </c>
      <c r="I1690" s="16">
        <v>1500</v>
      </c>
      <c r="J1690" s="16">
        <f t="shared" si="361"/>
        <v>15000</v>
      </c>
      <c r="K1690" s="16"/>
      <c r="L1690" s="16"/>
      <c r="M1690" s="16"/>
      <c r="N1690" s="16"/>
      <c r="O1690" s="16">
        <v>10</v>
      </c>
      <c r="P1690" s="16">
        <v>1500</v>
      </c>
      <c r="Q1690" s="16">
        <f t="shared" si="374"/>
        <v>15000</v>
      </c>
      <c r="R1690" s="18">
        <v>0</v>
      </c>
      <c r="S1690" s="16">
        <f t="shared" si="375"/>
        <v>0</v>
      </c>
      <c r="T1690" s="16">
        <f t="shared" si="376"/>
        <v>15000</v>
      </c>
      <c r="U1690" s="16" t="s">
        <v>1815</v>
      </c>
      <c r="V1690" s="19" t="s">
        <v>1814</v>
      </c>
      <c r="W1690" s="142" t="s">
        <v>1889</v>
      </c>
    </row>
    <row r="1691" spans="1:23" x14ac:dyDescent="0.3">
      <c r="A1691" s="1"/>
      <c r="B1691" s="1"/>
      <c r="C1691" s="1"/>
      <c r="D1691" s="1"/>
      <c r="E1691" s="1"/>
      <c r="F1691" s="124" t="s">
        <v>39</v>
      </c>
      <c r="G1691" s="1"/>
      <c r="H1691" s="1"/>
      <c r="I1691" s="1"/>
      <c r="J1691" s="124">
        <f>SUM(J1686:J1690)</f>
        <v>177500</v>
      </c>
      <c r="K1691" s="1"/>
      <c r="L1691" s="1"/>
      <c r="M1691" s="1"/>
      <c r="N1691" s="1"/>
      <c r="O1691" s="1"/>
      <c r="P1691" s="1"/>
      <c r="Q1691" s="1"/>
      <c r="R1691" s="1"/>
      <c r="S1691" s="1"/>
      <c r="T1691" s="1"/>
      <c r="U1691" s="1"/>
      <c r="V1691" s="1"/>
      <c r="W1691" s="142"/>
    </row>
    <row r="1692" spans="1:23" x14ac:dyDescent="0.3">
      <c r="A1692" s="1"/>
      <c r="B1692" s="1"/>
      <c r="C1692" s="1"/>
      <c r="D1692" s="1"/>
      <c r="E1692" s="1"/>
      <c r="F1692" s="124" t="s">
        <v>599</v>
      </c>
      <c r="G1692" s="1"/>
      <c r="H1692" s="1"/>
      <c r="I1692" s="1"/>
      <c r="J1692" s="124">
        <f>J1691*0/100</f>
        <v>0</v>
      </c>
      <c r="K1692" s="1"/>
      <c r="L1692" s="1"/>
      <c r="M1692" s="1"/>
      <c r="N1692" s="1"/>
      <c r="O1692" s="1"/>
      <c r="P1692" s="1"/>
      <c r="Q1692" s="1"/>
      <c r="R1692" s="1"/>
      <c r="S1692" s="1"/>
      <c r="T1692" s="1"/>
      <c r="U1692" s="1"/>
      <c r="V1692" s="1"/>
      <c r="W1692" s="142"/>
    </row>
    <row r="1693" spans="1:23" x14ac:dyDescent="0.3">
      <c r="A1693" s="1"/>
      <c r="B1693" s="1"/>
      <c r="C1693" s="1"/>
      <c r="D1693" s="1"/>
      <c r="E1693" s="1"/>
      <c r="F1693" s="124" t="s">
        <v>41</v>
      </c>
      <c r="G1693" s="1"/>
      <c r="H1693" s="1"/>
      <c r="I1693" s="1"/>
      <c r="J1693" s="124">
        <f>SUM(J1691:J1692)</f>
        <v>177500</v>
      </c>
      <c r="K1693" s="1"/>
      <c r="L1693" s="1"/>
      <c r="M1693" s="1"/>
      <c r="N1693" s="1"/>
      <c r="O1693" s="1"/>
      <c r="P1693" s="1"/>
      <c r="Q1693" s="1"/>
      <c r="R1693" s="1"/>
      <c r="S1693" s="1"/>
      <c r="T1693" s="1">
        <f>SUM(T1686:T1692)</f>
        <v>177500</v>
      </c>
      <c r="U1693" s="1"/>
      <c r="V1693" s="1"/>
      <c r="W1693" s="142"/>
    </row>
    <row r="1694" spans="1:23" x14ac:dyDescent="0.3">
      <c r="A1694" s="1"/>
      <c r="B1694" s="1"/>
      <c r="C1694" s="1"/>
      <c r="D1694" s="1"/>
      <c r="E1694" s="1"/>
      <c r="F1694" s="124"/>
      <c r="G1694" s="1"/>
      <c r="H1694" s="1"/>
      <c r="I1694" s="1"/>
      <c r="J1694" s="124"/>
      <c r="K1694" s="1"/>
      <c r="L1694" s="1"/>
      <c r="M1694" s="1"/>
      <c r="N1694" s="1"/>
      <c r="O1694" s="1"/>
      <c r="P1694" s="1"/>
      <c r="Q1694" s="1"/>
      <c r="R1694" s="1"/>
      <c r="S1694" s="1"/>
      <c r="T1694" s="1"/>
      <c r="U1694" s="1"/>
      <c r="V1694" s="1"/>
      <c r="W1694" s="142"/>
    </row>
    <row r="1695" spans="1:23" ht="50.4" x14ac:dyDescent="0.3">
      <c r="A1695" s="16">
        <v>147</v>
      </c>
      <c r="B1695" s="16">
        <v>9200152990</v>
      </c>
      <c r="C1695" s="19">
        <v>45700</v>
      </c>
      <c r="D1695" s="16" t="s">
        <v>43</v>
      </c>
      <c r="E1695" s="16" t="s">
        <v>123</v>
      </c>
      <c r="F1695" s="39" t="s">
        <v>1790</v>
      </c>
      <c r="G1695" s="16">
        <v>600</v>
      </c>
      <c r="H1695" s="16" t="s">
        <v>1791</v>
      </c>
      <c r="I1695" s="16">
        <v>55</v>
      </c>
      <c r="J1695" s="16">
        <f t="shared" si="361"/>
        <v>33000</v>
      </c>
      <c r="K1695" s="16"/>
      <c r="L1695" s="16"/>
      <c r="M1695" s="16"/>
      <c r="N1695" s="16"/>
      <c r="O1695" s="16">
        <v>600</v>
      </c>
      <c r="P1695" s="16">
        <v>55</v>
      </c>
      <c r="Q1695" s="16">
        <f>O1695*P1695</f>
        <v>33000</v>
      </c>
      <c r="R1695" s="18">
        <v>0</v>
      </c>
      <c r="S1695" s="16">
        <f>Q1695*R1695</f>
        <v>0</v>
      </c>
      <c r="T1695" s="16">
        <f>Q1695+S1695</f>
        <v>33000</v>
      </c>
      <c r="U1695" s="16" t="s">
        <v>1847</v>
      </c>
      <c r="V1695" s="19" t="s">
        <v>1846</v>
      </c>
      <c r="W1695" s="142" t="s">
        <v>2007</v>
      </c>
    </row>
    <row r="1696" spans="1:23" x14ac:dyDescent="0.3">
      <c r="A1696" s="1"/>
      <c r="B1696" s="1"/>
      <c r="C1696" s="1"/>
      <c r="D1696" s="1"/>
      <c r="E1696" s="1"/>
      <c r="F1696" s="124" t="s">
        <v>39</v>
      </c>
      <c r="G1696" s="1"/>
      <c r="H1696" s="1"/>
      <c r="I1696" s="1"/>
      <c r="J1696" s="124">
        <f>SUM(J1695)</f>
        <v>33000</v>
      </c>
      <c r="K1696" s="1"/>
      <c r="L1696" s="1"/>
      <c r="M1696" s="1"/>
      <c r="N1696" s="1"/>
      <c r="O1696" s="1"/>
      <c r="P1696" s="1"/>
      <c r="Q1696" s="1"/>
      <c r="R1696" s="1"/>
      <c r="S1696" s="1"/>
      <c r="T1696" s="1"/>
      <c r="U1696" s="1"/>
      <c r="V1696" s="1"/>
      <c r="W1696" s="142"/>
    </row>
    <row r="1697" spans="1:23" x14ac:dyDescent="0.3">
      <c r="A1697" s="1"/>
      <c r="B1697" s="1"/>
      <c r="C1697" s="1"/>
      <c r="D1697" s="1"/>
      <c r="E1697" s="1"/>
      <c r="F1697" s="124" t="s">
        <v>599</v>
      </c>
      <c r="G1697" s="1"/>
      <c r="H1697" s="1"/>
      <c r="I1697" s="1"/>
      <c r="J1697" s="124">
        <f>J1696*0/100</f>
        <v>0</v>
      </c>
      <c r="K1697" s="1"/>
      <c r="L1697" s="1"/>
      <c r="M1697" s="1"/>
      <c r="N1697" s="1"/>
      <c r="O1697" s="1"/>
      <c r="P1697" s="1"/>
      <c r="Q1697" s="1"/>
      <c r="R1697" s="1"/>
      <c r="S1697" s="1"/>
      <c r="T1697" s="1"/>
      <c r="U1697" s="1"/>
      <c r="V1697" s="1"/>
      <c r="W1697" s="142"/>
    </row>
    <row r="1698" spans="1:23" x14ac:dyDescent="0.3">
      <c r="A1698" s="1"/>
      <c r="B1698" s="1"/>
      <c r="C1698" s="1"/>
      <c r="D1698" s="1"/>
      <c r="E1698" s="1"/>
      <c r="F1698" s="124" t="s">
        <v>41</v>
      </c>
      <c r="G1698" s="1"/>
      <c r="H1698" s="1"/>
      <c r="I1698" s="1"/>
      <c r="J1698" s="124">
        <f>SUM(J1696:J1697)</f>
        <v>33000</v>
      </c>
      <c r="K1698" s="1"/>
      <c r="L1698" s="1"/>
      <c r="M1698" s="1"/>
      <c r="N1698" s="1"/>
      <c r="O1698" s="1"/>
      <c r="P1698" s="1"/>
      <c r="Q1698" s="1"/>
      <c r="R1698" s="1"/>
      <c r="S1698" s="1"/>
      <c r="T1698" s="1">
        <f>SUM(T1695:T1697)</f>
        <v>33000</v>
      </c>
      <c r="U1698" s="1"/>
      <c r="V1698" s="1"/>
      <c r="W1698" s="142"/>
    </row>
    <row r="1699" spans="1:23" x14ac:dyDescent="0.3">
      <c r="A1699" s="1"/>
      <c r="B1699" s="1"/>
      <c r="C1699" s="1"/>
      <c r="D1699" s="1"/>
      <c r="E1699" s="1"/>
      <c r="F1699" s="124"/>
      <c r="G1699" s="1"/>
      <c r="H1699" s="1"/>
      <c r="I1699" s="1"/>
      <c r="J1699" s="124"/>
      <c r="K1699" s="1"/>
      <c r="L1699" s="1"/>
      <c r="M1699" s="1"/>
      <c r="N1699" s="1"/>
      <c r="O1699" s="1"/>
      <c r="P1699" s="1"/>
      <c r="Q1699" s="1"/>
      <c r="R1699" s="1"/>
      <c r="S1699" s="1"/>
      <c r="T1699" s="1"/>
      <c r="U1699" s="1"/>
      <c r="V1699" s="1"/>
      <c r="W1699" s="142"/>
    </row>
    <row r="1700" spans="1:23" ht="25.2" x14ac:dyDescent="0.3">
      <c r="A1700" s="16">
        <v>148</v>
      </c>
      <c r="B1700" s="16">
        <v>9200153132</v>
      </c>
      <c r="C1700" s="19">
        <v>45759</v>
      </c>
      <c r="D1700" s="16" t="s">
        <v>43</v>
      </c>
      <c r="E1700" s="16" t="s">
        <v>123</v>
      </c>
      <c r="F1700" s="39" t="s">
        <v>1792</v>
      </c>
      <c r="G1700" s="16">
        <v>20</v>
      </c>
      <c r="H1700" s="16" t="s">
        <v>308</v>
      </c>
      <c r="I1700" s="16">
        <v>505</v>
      </c>
      <c r="J1700" s="16">
        <f t="shared" si="361"/>
        <v>10100</v>
      </c>
      <c r="K1700" s="16"/>
      <c r="L1700" s="16" t="s">
        <v>91</v>
      </c>
      <c r="M1700" s="16" t="s">
        <v>1830</v>
      </c>
      <c r="N1700" s="16"/>
      <c r="O1700" s="16">
        <v>19</v>
      </c>
      <c r="P1700" s="16">
        <v>505</v>
      </c>
      <c r="Q1700" s="16">
        <f>O1700*P1700</f>
        <v>9595</v>
      </c>
      <c r="R1700" s="18">
        <v>0</v>
      </c>
      <c r="S1700" s="16">
        <f>Q1700*R1700</f>
        <v>0</v>
      </c>
      <c r="T1700" s="16">
        <f>Q1700+S1700</f>
        <v>9595</v>
      </c>
      <c r="U1700" s="16" t="s">
        <v>1628</v>
      </c>
      <c r="V1700" s="19">
        <v>45912</v>
      </c>
      <c r="W1700" s="142" t="s">
        <v>1832</v>
      </c>
    </row>
    <row r="1701" spans="1:23" ht="25.2" x14ac:dyDescent="0.3">
      <c r="A1701" s="1"/>
      <c r="B1701" s="1"/>
      <c r="C1701" s="1"/>
      <c r="D1701" s="1"/>
      <c r="E1701" s="16" t="s">
        <v>123</v>
      </c>
      <c r="F1701" s="39" t="s">
        <v>1793</v>
      </c>
      <c r="G1701" s="16">
        <v>20</v>
      </c>
      <c r="H1701" s="16" t="s">
        <v>308</v>
      </c>
      <c r="I1701" s="16">
        <v>575</v>
      </c>
      <c r="J1701" s="16">
        <f t="shared" si="361"/>
        <v>11500</v>
      </c>
      <c r="K1701" s="16"/>
      <c r="L1701" s="16"/>
      <c r="M1701" s="16"/>
      <c r="N1701" s="16"/>
      <c r="O1701" s="16">
        <v>17</v>
      </c>
      <c r="P1701" s="16">
        <v>575</v>
      </c>
      <c r="Q1701" s="16">
        <f t="shared" ref="Q1701:Q1705" si="377">O1701*P1701</f>
        <v>9775</v>
      </c>
      <c r="R1701" s="18">
        <v>0</v>
      </c>
      <c r="S1701" s="16">
        <f t="shared" ref="S1701:S1705" si="378">Q1701*R1701</f>
        <v>0</v>
      </c>
      <c r="T1701" s="16">
        <f t="shared" ref="T1701:T1705" si="379">Q1701+S1701</f>
        <v>9775</v>
      </c>
      <c r="U1701" s="16" t="s">
        <v>1628</v>
      </c>
      <c r="V1701" s="19">
        <v>45912</v>
      </c>
      <c r="W1701" s="142" t="s">
        <v>1832</v>
      </c>
    </row>
    <row r="1702" spans="1:23" ht="25.2" x14ac:dyDescent="0.3">
      <c r="A1702" s="1"/>
      <c r="B1702" s="1"/>
      <c r="C1702" s="1"/>
      <c r="D1702" s="1"/>
      <c r="E1702" s="16" t="s">
        <v>123</v>
      </c>
      <c r="F1702" s="39" t="s">
        <v>1794</v>
      </c>
      <c r="G1702" s="16">
        <v>1</v>
      </c>
      <c r="H1702" s="16" t="s">
        <v>28</v>
      </c>
      <c r="I1702" s="16">
        <v>6460</v>
      </c>
      <c r="J1702" s="16">
        <f t="shared" si="361"/>
        <v>6460</v>
      </c>
      <c r="K1702" s="16"/>
      <c r="L1702" s="16"/>
      <c r="M1702" s="16"/>
      <c r="N1702" s="16"/>
      <c r="O1702" s="16">
        <v>1</v>
      </c>
      <c r="P1702" s="16">
        <v>6460</v>
      </c>
      <c r="Q1702" s="16">
        <f t="shared" si="377"/>
        <v>6460</v>
      </c>
      <c r="R1702" s="18">
        <v>0</v>
      </c>
      <c r="S1702" s="16">
        <f t="shared" si="378"/>
        <v>0</v>
      </c>
      <c r="T1702" s="16">
        <f t="shared" si="379"/>
        <v>6460</v>
      </c>
      <c r="U1702" s="16" t="s">
        <v>1628</v>
      </c>
      <c r="V1702" s="19">
        <v>45912</v>
      </c>
      <c r="W1702" s="142" t="s">
        <v>1832</v>
      </c>
    </row>
    <row r="1703" spans="1:23" ht="25.2" x14ac:dyDescent="0.3">
      <c r="A1703" s="1"/>
      <c r="B1703" s="1"/>
      <c r="C1703" s="1"/>
      <c r="D1703" s="1"/>
      <c r="E1703" s="16" t="s">
        <v>123</v>
      </c>
      <c r="F1703" s="39" t="s">
        <v>1795</v>
      </c>
      <c r="G1703" s="16">
        <v>1</v>
      </c>
      <c r="H1703" s="16" t="s">
        <v>28</v>
      </c>
      <c r="I1703" s="16">
        <v>6840</v>
      </c>
      <c r="J1703" s="16">
        <f t="shared" si="361"/>
        <v>6840</v>
      </c>
      <c r="K1703" s="16"/>
      <c r="L1703" s="16"/>
      <c r="M1703" s="16"/>
      <c r="N1703" s="16"/>
      <c r="O1703" s="16">
        <v>1</v>
      </c>
      <c r="P1703" s="16">
        <v>6840</v>
      </c>
      <c r="Q1703" s="16">
        <f t="shared" si="377"/>
        <v>6840</v>
      </c>
      <c r="R1703" s="18">
        <v>0</v>
      </c>
      <c r="S1703" s="16">
        <f t="shared" si="378"/>
        <v>0</v>
      </c>
      <c r="T1703" s="16">
        <f t="shared" si="379"/>
        <v>6840</v>
      </c>
      <c r="U1703" s="16" t="s">
        <v>1628</v>
      </c>
      <c r="V1703" s="19">
        <v>45912</v>
      </c>
      <c r="W1703" s="142" t="s">
        <v>1832</v>
      </c>
    </row>
    <row r="1704" spans="1:23" ht="25.2" x14ac:dyDescent="0.3">
      <c r="A1704" s="1"/>
      <c r="B1704" s="1"/>
      <c r="C1704" s="1"/>
      <c r="D1704" s="1"/>
      <c r="E1704" s="16" t="s">
        <v>123</v>
      </c>
      <c r="F1704" s="39" t="s">
        <v>1796</v>
      </c>
      <c r="G1704" s="16">
        <v>1</v>
      </c>
      <c r="H1704" s="16" t="s">
        <v>87</v>
      </c>
      <c r="I1704" s="16">
        <v>5225</v>
      </c>
      <c r="J1704" s="16">
        <f t="shared" si="361"/>
        <v>5225</v>
      </c>
      <c r="K1704" s="16"/>
      <c r="L1704" s="16" t="s">
        <v>91</v>
      </c>
      <c r="M1704" s="16" t="s">
        <v>1831</v>
      </c>
      <c r="N1704" s="16"/>
      <c r="O1704" s="16">
        <v>1</v>
      </c>
      <c r="P1704" s="16">
        <v>5225</v>
      </c>
      <c r="Q1704" s="16">
        <f t="shared" si="377"/>
        <v>5225</v>
      </c>
      <c r="R1704" s="18">
        <v>0</v>
      </c>
      <c r="S1704" s="16">
        <f t="shared" si="378"/>
        <v>0</v>
      </c>
      <c r="T1704" s="16">
        <f t="shared" si="379"/>
        <v>5225</v>
      </c>
      <c r="U1704" s="16" t="s">
        <v>1628</v>
      </c>
      <c r="V1704" s="19">
        <v>45912</v>
      </c>
      <c r="W1704" s="142" t="s">
        <v>1832</v>
      </c>
    </row>
    <row r="1705" spans="1:23" x14ac:dyDescent="0.3">
      <c r="A1705" s="1"/>
      <c r="B1705" s="1"/>
      <c r="C1705" s="1"/>
      <c r="D1705" s="1"/>
      <c r="E1705" s="16"/>
      <c r="F1705" s="16" t="s">
        <v>1797</v>
      </c>
      <c r="G1705" s="16">
        <v>2</v>
      </c>
      <c r="H1705" s="16" t="s">
        <v>87</v>
      </c>
      <c r="I1705" s="16">
        <v>5225</v>
      </c>
      <c r="J1705" s="16">
        <f t="shared" si="361"/>
        <v>10450</v>
      </c>
      <c r="K1705" s="16"/>
      <c r="L1705" s="16"/>
      <c r="M1705" s="16"/>
      <c r="N1705" s="16"/>
      <c r="O1705" s="16">
        <v>2</v>
      </c>
      <c r="P1705" s="16">
        <v>5225</v>
      </c>
      <c r="Q1705" s="16">
        <f t="shared" si="377"/>
        <v>10450</v>
      </c>
      <c r="R1705" s="18">
        <v>0</v>
      </c>
      <c r="S1705" s="16">
        <f t="shared" si="378"/>
        <v>0</v>
      </c>
      <c r="T1705" s="16">
        <f t="shared" si="379"/>
        <v>10450</v>
      </c>
      <c r="U1705" s="16" t="s">
        <v>1628</v>
      </c>
      <c r="V1705" s="19">
        <v>45912</v>
      </c>
      <c r="W1705" s="142" t="s">
        <v>1832</v>
      </c>
    </row>
    <row r="1706" spans="1:23" x14ac:dyDescent="0.3">
      <c r="A1706" s="1"/>
      <c r="B1706" s="1"/>
      <c r="C1706" s="1"/>
      <c r="D1706" s="1"/>
      <c r="E1706" s="1"/>
      <c r="F1706" s="124" t="s">
        <v>39</v>
      </c>
      <c r="G1706" s="1"/>
      <c r="H1706" s="1"/>
      <c r="I1706" s="1"/>
      <c r="J1706" s="124">
        <f>SUM(J1700:J1705)</f>
        <v>50575</v>
      </c>
      <c r="K1706" s="1"/>
      <c r="L1706" s="1"/>
      <c r="M1706" s="1"/>
      <c r="N1706" s="1"/>
      <c r="O1706" s="1"/>
      <c r="P1706" s="1"/>
      <c r="Q1706" s="1"/>
      <c r="R1706" s="1"/>
      <c r="S1706" s="1"/>
      <c r="T1706" s="1"/>
      <c r="U1706" s="1"/>
      <c r="V1706" s="1"/>
      <c r="W1706" s="142"/>
    </row>
    <row r="1707" spans="1:23" x14ac:dyDescent="0.3">
      <c r="A1707" s="1"/>
      <c r="B1707" s="1"/>
      <c r="C1707" s="1"/>
      <c r="D1707" s="1"/>
      <c r="E1707" s="1"/>
      <c r="F1707" s="124" t="s">
        <v>599</v>
      </c>
      <c r="G1707" s="1"/>
      <c r="H1707" s="1"/>
      <c r="I1707" s="1"/>
      <c r="J1707" s="124">
        <f>J1706*0/100</f>
        <v>0</v>
      </c>
      <c r="K1707" s="1"/>
      <c r="L1707" s="1"/>
      <c r="M1707" s="1"/>
      <c r="N1707" s="1"/>
      <c r="O1707" s="1"/>
      <c r="P1707" s="1"/>
      <c r="Q1707" s="1"/>
      <c r="R1707" s="1"/>
      <c r="S1707" s="1"/>
      <c r="T1707" s="1"/>
      <c r="U1707" s="1"/>
      <c r="V1707" s="1"/>
      <c r="W1707" s="142"/>
    </row>
    <row r="1708" spans="1:23" x14ac:dyDescent="0.3">
      <c r="A1708" s="1"/>
      <c r="B1708" s="1"/>
      <c r="C1708" s="1"/>
      <c r="D1708" s="1"/>
      <c r="E1708" s="1"/>
      <c r="F1708" s="124" t="s">
        <v>41</v>
      </c>
      <c r="G1708" s="1"/>
      <c r="H1708" s="1"/>
      <c r="I1708" s="1"/>
      <c r="J1708" s="124">
        <f>SUM(J1706:J1707)</f>
        <v>50575</v>
      </c>
      <c r="K1708" s="1"/>
      <c r="L1708" s="1"/>
      <c r="M1708" s="1"/>
      <c r="N1708" s="1"/>
      <c r="O1708" s="1"/>
      <c r="P1708" s="1"/>
      <c r="Q1708" s="1"/>
      <c r="R1708" s="1"/>
      <c r="S1708" s="1"/>
      <c r="T1708" s="1">
        <f>SUM(T1700:T1707)</f>
        <v>48345</v>
      </c>
      <c r="U1708" s="1"/>
      <c r="V1708" s="1"/>
      <c r="W1708" s="142"/>
    </row>
    <row r="1709" spans="1:23" x14ac:dyDescent="0.3">
      <c r="A1709" s="1"/>
      <c r="B1709" s="1"/>
      <c r="C1709" s="1"/>
      <c r="D1709" s="1"/>
      <c r="E1709" s="1"/>
      <c r="F1709" s="124"/>
      <c r="G1709" s="1"/>
      <c r="H1709" s="1"/>
      <c r="I1709" s="1"/>
      <c r="J1709" s="124"/>
      <c r="K1709" s="1"/>
      <c r="L1709" s="1"/>
      <c r="M1709" s="1"/>
      <c r="N1709" s="1"/>
      <c r="O1709" s="1"/>
      <c r="P1709" s="1"/>
      <c r="Q1709" s="1"/>
      <c r="R1709" s="1"/>
      <c r="S1709" s="1"/>
      <c r="T1709" s="1"/>
      <c r="U1709" s="1"/>
      <c r="V1709" s="1"/>
      <c r="W1709" s="142"/>
    </row>
    <row r="1710" spans="1:23" x14ac:dyDescent="0.3">
      <c r="A1710" s="16">
        <v>149</v>
      </c>
      <c r="B1710" s="16">
        <v>9200153238</v>
      </c>
      <c r="C1710" s="19">
        <v>45789</v>
      </c>
      <c r="D1710" s="16" t="s">
        <v>43</v>
      </c>
      <c r="E1710" s="16" t="s">
        <v>123</v>
      </c>
      <c r="F1710" s="16" t="s">
        <v>1800</v>
      </c>
      <c r="G1710" s="16">
        <v>1</v>
      </c>
      <c r="H1710" s="16" t="s">
        <v>28</v>
      </c>
      <c r="I1710" s="16">
        <v>8500</v>
      </c>
      <c r="J1710" s="16">
        <f t="shared" si="361"/>
        <v>8500</v>
      </c>
      <c r="K1710" s="16">
        <v>1</v>
      </c>
      <c r="L1710" s="16" t="s">
        <v>28</v>
      </c>
      <c r="M1710" s="16" t="s">
        <v>91</v>
      </c>
      <c r="N1710" s="16" t="s">
        <v>1926</v>
      </c>
      <c r="O1710" s="16">
        <v>1</v>
      </c>
      <c r="P1710" s="16">
        <v>8500</v>
      </c>
      <c r="Q1710" s="16">
        <f>O1710*P1710</f>
        <v>8500</v>
      </c>
      <c r="R1710" s="18">
        <v>0</v>
      </c>
      <c r="S1710" s="16">
        <f>Q1710*R1710</f>
        <v>0</v>
      </c>
      <c r="T1710" s="16">
        <f>Q1710+S1710</f>
        <v>8500</v>
      </c>
      <c r="U1710" s="16" t="s">
        <v>1946</v>
      </c>
      <c r="V1710" s="19">
        <v>46055</v>
      </c>
      <c r="W1710" s="142" t="s">
        <v>2011</v>
      </c>
    </row>
    <row r="1711" spans="1:23" x14ac:dyDescent="0.3">
      <c r="A1711" s="1"/>
      <c r="B1711" s="1"/>
      <c r="C1711" s="1"/>
      <c r="D1711" s="1"/>
      <c r="E1711" s="16" t="s">
        <v>123</v>
      </c>
      <c r="F1711" s="16" t="s">
        <v>1801</v>
      </c>
      <c r="G1711" s="16">
        <v>1</v>
      </c>
      <c r="H1711" s="16" t="s">
        <v>87</v>
      </c>
      <c r="I1711" s="16">
        <v>10000</v>
      </c>
      <c r="J1711" s="16">
        <f t="shared" si="361"/>
        <v>10000</v>
      </c>
      <c r="K1711" s="16"/>
      <c r="L1711" s="16"/>
      <c r="M1711" s="16"/>
      <c r="N1711" s="16"/>
      <c r="O1711" s="16">
        <v>1</v>
      </c>
      <c r="P1711" s="16">
        <v>10000</v>
      </c>
      <c r="Q1711" s="16">
        <f>O1711*P1711</f>
        <v>10000</v>
      </c>
      <c r="R1711" s="18">
        <v>0</v>
      </c>
      <c r="S1711" s="16">
        <f>Q1711*R1711</f>
        <v>0</v>
      </c>
      <c r="T1711" s="16">
        <f>Q1711+S1711</f>
        <v>10000</v>
      </c>
      <c r="U1711" s="16" t="s">
        <v>1946</v>
      </c>
      <c r="V1711" s="19">
        <v>46055</v>
      </c>
      <c r="W1711" s="142" t="s">
        <v>2011</v>
      </c>
    </row>
    <row r="1712" spans="1:23" x14ac:dyDescent="0.3">
      <c r="A1712" s="1"/>
      <c r="B1712" s="1"/>
      <c r="C1712" s="1"/>
      <c r="D1712" s="1"/>
      <c r="E1712" s="1"/>
      <c r="F1712" s="124" t="s">
        <v>39</v>
      </c>
      <c r="G1712" s="1"/>
      <c r="H1712" s="1"/>
      <c r="I1712" s="1"/>
      <c r="J1712" s="124">
        <f>SUM(J1710:J1711)</f>
        <v>18500</v>
      </c>
      <c r="K1712" s="1"/>
      <c r="L1712" s="1"/>
      <c r="M1712" s="1"/>
      <c r="N1712" s="1"/>
      <c r="O1712" s="1"/>
      <c r="P1712" s="1"/>
      <c r="Q1712" s="1"/>
      <c r="R1712" s="1"/>
      <c r="S1712" s="1"/>
      <c r="T1712" s="1"/>
      <c r="U1712" s="1"/>
      <c r="V1712" s="1"/>
      <c r="W1712" s="142"/>
    </row>
    <row r="1713" spans="1:23" x14ac:dyDescent="0.3">
      <c r="A1713" s="1"/>
      <c r="B1713" s="1"/>
      <c r="C1713" s="1"/>
      <c r="D1713" s="1"/>
      <c r="E1713" s="1"/>
      <c r="F1713" s="124" t="s">
        <v>599</v>
      </c>
      <c r="G1713" s="1"/>
      <c r="H1713" s="1"/>
      <c r="I1713" s="1"/>
      <c r="J1713" s="124">
        <f>J1712*0/100</f>
        <v>0</v>
      </c>
      <c r="K1713" s="1"/>
      <c r="L1713" s="1"/>
      <c r="M1713" s="1"/>
      <c r="N1713" s="1"/>
      <c r="O1713" s="1"/>
      <c r="P1713" s="1"/>
      <c r="Q1713" s="1"/>
      <c r="R1713" s="1"/>
      <c r="S1713" s="1"/>
      <c r="T1713" s="1"/>
      <c r="U1713" s="1"/>
      <c r="V1713" s="1"/>
      <c r="W1713" s="142"/>
    </row>
    <row r="1714" spans="1:23" x14ac:dyDescent="0.3">
      <c r="A1714" s="1"/>
      <c r="B1714" s="1"/>
      <c r="C1714" s="1"/>
      <c r="D1714" s="1"/>
      <c r="E1714" s="1"/>
      <c r="F1714" s="124" t="s">
        <v>41</v>
      </c>
      <c r="G1714" s="1"/>
      <c r="H1714" s="1"/>
      <c r="I1714" s="1"/>
      <c r="J1714" s="124">
        <f>SUM(J1712:J1713)</f>
        <v>18500</v>
      </c>
      <c r="K1714" s="1"/>
      <c r="L1714" s="1"/>
      <c r="M1714" s="1"/>
      <c r="N1714" s="1"/>
      <c r="O1714" s="1"/>
      <c r="P1714" s="1"/>
      <c r="Q1714" s="1"/>
      <c r="R1714" s="1"/>
      <c r="S1714" s="1"/>
      <c r="T1714" s="1">
        <f>SUM(T1710:T1713)</f>
        <v>18500</v>
      </c>
      <c r="U1714" s="1"/>
      <c r="V1714" s="1"/>
      <c r="W1714" s="142"/>
    </row>
    <row r="1715" spans="1:23" x14ac:dyDescent="0.3">
      <c r="A1715" s="1"/>
      <c r="B1715" s="1"/>
      <c r="C1715" s="1"/>
      <c r="D1715" s="1"/>
      <c r="E1715" s="1"/>
      <c r="F1715" s="124"/>
      <c r="G1715" s="1"/>
      <c r="H1715" s="1"/>
      <c r="I1715" s="1"/>
      <c r="J1715" s="124"/>
      <c r="K1715" s="1"/>
      <c r="L1715" s="1"/>
      <c r="M1715" s="1"/>
      <c r="N1715" s="1"/>
      <c r="O1715" s="1"/>
      <c r="P1715" s="1"/>
      <c r="Q1715" s="1"/>
      <c r="R1715" s="1"/>
      <c r="S1715" s="1"/>
      <c r="T1715" s="1"/>
      <c r="U1715" s="1"/>
      <c r="V1715" s="1"/>
      <c r="W1715" s="142"/>
    </row>
    <row r="1716" spans="1:23" ht="25.2" x14ac:dyDescent="0.3">
      <c r="A1716" s="16">
        <v>150</v>
      </c>
      <c r="B1716" s="16">
        <v>9200153514</v>
      </c>
      <c r="C1716" s="19">
        <v>45942</v>
      </c>
      <c r="D1716" s="16" t="s">
        <v>43</v>
      </c>
      <c r="E1716" s="16" t="s">
        <v>123</v>
      </c>
      <c r="F1716" s="39" t="s">
        <v>1806</v>
      </c>
      <c r="G1716" s="16">
        <v>6</v>
      </c>
      <c r="H1716" s="16" t="s">
        <v>28</v>
      </c>
      <c r="I1716" s="16">
        <v>17130</v>
      </c>
      <c r="J1716" s="16">
        <f t="shared" si="361"/>
        <v>102780</v>
      </c>
      <c r="K1716" s="16">
        <v>6</v>
      </c>
      <c r="L1716" s="16" t="s">
        <v>28</v>
      </c>
      <c r="M1716" s="16" t="s">
        <v>1570</v>
      </c>
      <c r="N1716" s="16" t="s">
        <v>1812</v>
      </c>
      <c r="O1716" s="16">
        <v>6</v>
      </c>
      <c r="P1716" s="16">
        <v>17130</v>
      </c>
      <c r="Q1716" s="16">
        <f>O1716*P1716</f>
        <v>102780</v>
      </c>
      <c r="R1716" s="18">
        <v>0</v>
      </c>
      <c r="S1716" s="16">
        <f>Q1716*R1716</f>
        <v>0</v>
      </c>
      <c r="T1716" s="16">
        <f>Q1716+S1716</f>
        <v>102780</v>
      </c>
      <c r="U1716" s="16" t="s">
        <v>1845</v>
      </c>
      <c r="V1716" s="19" t="s">
        <v>1846</v>
      </c>
      <c r="W1716" s="142" t="s">
        <v>1876</v>
      </c>
    </row>
    <row r="1717" spans="1:23" x14ac:dyDescent="0.3">
      <c r="A1717" s="1"/>
      <c r="B1717" s="1"/>
      <c r="C1717" s="1"/>
      <c r="D1717" s="1"/>
      <c r="E1717" s="1"/>
      <c r="F1717" s="124" t="s">
        <v>39</v>
      </c>
      <c r="G1717" s="1"/>
      <c r="H1717" s="1"/>
      <c r="I1717" s="1"/>
      <c r="J1717" s="124">
        <f>SUM(J1716)</f>
        <v>102780</v>
      </c>
      <c r="K1717" s="1"/>
      <c r="L1717" s="1"/>
      <c r="M1717" s="1"/>
      <c r="N1717" s="1"/>
      <c r="O1717" s="1"/>
      <c r="P1717" s="1"/>
      <c r="Q1717" s="1"/>
      <c r="R1717" s="1"/>
      <c r="S1717" s="1"/>
      <c r="T1717" s="1"/>
      <c r="U1717" s="1"/>
      <c r="V1717" s="1"/>
      <c r="W1717" s="142"/>
    </row>
    <row r="1718" spans="1:23" x14ac:dyDescent="0.3">
      <c r="A1718" s="1"/>
      <c r="B1718" s="1"/>
      <c r="C1718" s="1"/>
      <c r="D1718" s="1"/>
      <c r="E1718" s="1"/>
      <c r="F1718" s="124" t="s">
        <v>599</v>
      </c>
      <c r="G1718" s="1"/>
      <c r="H1718" s="1"/>
      <c r="I1718" s="1"/>
      <c r="J1718" s="124">
        <f>J1717*0%</f>
        <v>0</v>
      </c>
      <c r="K1718" s="1"/>
      <c r="L1718" s="1"/>
      <c r="M1718" s="1"/>
      <c r="N1718" s="1"/>
      <c r="O1718" s="1"/>
      <c r="P1718" s="1"/>
      <c r="Q1718" s="1"/>
      <c r="R1718" s="1"/>
      <c r="S1718" s="1"/>
      <c r="T1718" s="1"/>
      <c r="U1718" s="1"/>
      <c r="V1718" s="1"/>
      <c r="W1718" s="142"/>
    </row>
    <row r="1719" spans="1:23" x14ac:dyDescent="0.3">
      <c r="A1719" s="1"/>
      <c r="B1719" s="1"/>
      <c r="C1719" s="1"/>
      <c r="D1719" s="1"/>
      <c r="E1719" s="1"/>
      <c r="F1719" s="124" t="s">
        <v>41</v>
      </c>
      <c r="G1719" s="1"/>
      <c r="H1719" s="1"/>
      <c r="I1719" s="1"/>
      <c r="J1719" s="124">
        <f>SUM(J1717:J1718)</f>
        <v>102780</v>
      </c>
      <c r="K1719" s="1"/>
      <c r="L1719" s="1"/>
      <c r="M1719" s="1"/>
      <c r="N1719" s="1"/>
      <c r="O1719" s="1"/>
      <c r="P1719" s="1"/>
      <c r="Q1719" s="1"/>
      <c r="R1719" s="1"/>
      <c r="S1719" s="1"/>
      <c r="T1719" s="1">
        <f>SUM(T1716:T1718)</f>
        <v>102780</v>
      </c>
      <c r="U1719" s="1"/>
      <c r="V1719" s="1"/>
      <c r="W1719" s="142"/>
    </row>
    <row r="1720" spans="1:23" x14ac:dyDescent="0.3">
      <c r="A1720" s="1"/>
      <c r="B1720" s="1"/>
      <c r="C1720" s="1"/>
      <c r="D1720" s="1"/>
      <c r="E1720" s="1"/>
      <c r="F1720" s="124"/>
      <c r="G1720" s="1"/>
      <c r="H1720" s="1"/>
      <c r="I1720" s="1"/>
      <c r="J1720" s="124"/>
      <c r="K1720" s="1"/>
      <c r="L1720" s="1"/>
      <c r="M1720" s="1"/>
      <c r="N1720" s="1"/>
      <c r="O1720" s="1"/>
      <c r="P1720" s="1"/>
      <c r="Q1720" s="1"/>
      <c r="R1720" s="1"/>
      <c r="S1720" s="1"/>
      <c r="T1720" s="1"/>
      <c r="U1720" s="1"/>
      <c r="V1720" s="1"/>
      <c r="W1720" s="142"/>
    </row>
    <row r="1721" spans="1:23" ht="25.2" x14ac:dyDescent="0.3">
      <c r="A1721" s="16">
        <v>151</v>
      </c>
      <c r="B1721" s="16">
        <v>9200154304</v>
      </c>
      <c r="C1721" s="16" t="s">
        <v>1821</v>
      </c>
      <c r="D1721" s="16" t="s">
        <v>43</v>
      </c>
      <c r="E1721" s="16" t="s">
        <v>123</v>
      </c>
      <c r="F1721" s="39" t="s">
        <v>1822</v>
      </c>
      <c r="G1721" s="16">
        <v>1</v>
      </c>
      <c r="H1721" s="16" t="s">
        <v>87</v>
      </c>
      <c r="I1721" s="16">
        <v>24400</v>
      </c>
      <c r="J1721" s="16">
        <f t="shared" si="361"/>
        <v>24400</v>
      </c>
      <c r="K1721" s="16">
        <v>1</v>
      </c>
      <c r="L1721" s="16" t="s">
        <v>28</v>
      </c>
      <c r="M1721" s="16" t="s">
        <v>1570</v>
      </c>
      <c r="N1721" s="16" t="s">
        <v>1824</v>
      </c>
      <c r="O1721" s="16">
        <v>1</v>
      </c>
      <c r="P1721" s="16">
        <v>24400</v>
      </c>
      <c r="Q1721" s="16">
        <f>O1721*P1721</f>
        <v>24400</v>
      </c>
      <c r="R1721" s="18">
        <v>0</v>
      </c>
      <c r="S1721" s="16">
        <f>Q1721*S1722</f>
        <v>0</v>
      </c>
      <c r="T1721" s="16">
        <f>Q1721+S1721</f>
        <v>24400</v>
      </c>
      <c r="U1721" s="16" t="s">
        <v>1863</v>
      </c>
      <c r="V1721" s="19">
        <v>46054</v>
      </c>
      <c r="W1721" s="142" t="s">
        <v>2008</v>
      </c>
    </row>
    <row r="1722" spans="1:23" x14ac:dyDescent="0.3">
      <c r="A1722" s="1"/>
      <c r="B1722" s="1"/>
      <c r="C1722" s="1"/>
      <c r="D1722" s="1"/>
      <c r="E1722" s="1"/>
      <c r="F1722" s="124" t="s">
        <v>39</v>
      </c>
      <c r="G1722" s="1"/>
      <c r="H1722" s="1"/>
      <c r="I1722" s="1"/>
      <c r="J1722" s="124">
        <f>SUM(J1721)</f>
        <v>24400</v>
      </c>
      <c r="K1722" s="1"/>
      <c r="L1722" s="1"/>
      <c r="M1722" s="1"/>
      <c r="N1722" s="1"/>
      <c r="O1722" s="1"/>
      <c r="P1722" s="1"/>
      <c r="Q1722" s="1"/>
      <c r="R1722" s="1"/>
      <c r="S1722" s="1"/>
      <c r="T1722" s="1"/>
      <c r="U1722" s="1"/>
      <c r="V1722" s="1"/>
      <c r="W1722" s="142"/>
    </row>
    <row r="1723" spans="1:23" x14ac:dyDescent="0.3">
      <c r="A1723" s="1"/>
      <c r="B1723" s="1"/>
      <c r="C1723" s="1"/>
      <c r="D1723" s="1"/>
      <c r="E1723" s="1"/>
      <c r="F1723" s="124" t="s">
        <v>599</v>
      </c>
      <c r="G1723" s="1"/>
      <c r="H1723" s="1"/>
      <c r="I1723" s="1"/>
      <c r="J1723" s="124">
        <f>J1722*0%</f>
        <v>0</v>
      </c>
      <c r="K1723" s="1"/>
      <c r="L1723" s="1"/>
      <c r="M1723" s="1"/>
      <c r="N1723" s="1"/>
      <c r="O1723" s="1"/>
      <c r="P1723" s="1"/>
      <c r="Q1723" s="1"/>
      <c r="R1723" s="1"/>
      <c r="S1723" s="1"/>
      <c r="T1723" s="1"/>
      <c r="U1723" s="1"/>
      <c r="V1723" s="1"/>
      <c r="W1723" s="142"/>
    </row>
    <row r="1724" spans="1:23" x14ac:dyDescent="0.3">
      <c r="A1724" s="1"/>
      <c r="B1724" s="1"/>
      <c r="C1724" s="1"/>
      <c r="D1724" s="1"/>
      <c r="E1724" s="1"/>
      <c r="F1724" s="124" t="s">
        <v>41</v>
      </c>
      <c r="G1724" s="1"/>
      <c r="H1724" s="1"/>
      <c r="I1724" s="1"/>
      <c r="J1724" s="124">
        <f>SUM(J1722:J1723)</f>
        <v>24400</v>
      </c>
      <c r="K1724" s="1"/>
      <c r="L1724" s="1"/>
      <c r="M1724" s="1"/>
      <c r="N1724" s="1"/>
      <c r="O1724" s="1"/>
      <c r="P1724" s="1"/>
      <c r="Q1724" s="1"/>
      <c r="R1724" s="1"/>
      <c r="S1724" s="1"/>
      <c r="T1724" s="1">
        <f>SUM(T1721:T1723)</f>
        <v>24400</v>
      </c>
      <c r="U1724" s="1"/>
      <c r="V1724" s="1"/>
      <c r="W1724" s="142"/>
    </row>
    <row r="1725" spans="1:23" x14ac:dyDescent="0.3">
      <c r="A1725" s="1"/>
      <c r="B1725" s="1"/>
      <c r="C1725" s="1"/>
      <c r="D1725" s="1"/>
      <c r="E1725" s="1"/>
      <c r="F1725" s="124"/>
      <c r="G1725" s="1"/>
      <c r="H1725" s="1"/>
      <c r="I1725" s="1"/>
      <c r="J1725" s="124"/>
      <c r="K1725" s="1"/>
      <c r="L1725" s="1"/>
      <c r="M1725" s="1"/>
      <c r="N1725" s="1"/>
      <c r="O1725" s="1"/>
      <c r="P1725" s="1"/>
      <c r="Q1725" s="1"/>
      <c r="R1725" s="1"/>
      <c r="S1725" s="1"/>
      <c r="T1725" s="1"/>
      <c r="U1725" s="1"/>
      <c r="V1725" s="1"/>
      <c r="W1725" s="142"/>
    </row>
    <row r="1726" spans="1:23" ht="25.2" x14ac:dyDescent="0.3">
      <c r="A1726" s="16">
        <v>152</v>
      </c>
      <c r="B1726" s="16">
        <v>9200154632</v>
      </c>
      <c r="C1726" s="16" t="s">
        <v>1825</v>
      </c>
      <c r="D1726" s="16" t="s">
        <v>300</v>
      </c>
      <c r="E1726" s="16" t="s">
        <v>123</v>
      </c>
      <c r="F1726" s="39" t="s">
        <v>1566</v>
      </c>
      <c r="G1726" s="16">
        <v>2</v>
      </c>
      <c r="H1726" s="16" t="s">
        <v>28</v>
      </c>
      <c r="I1726" s="16">
        <v>56800</v>
      </c>
      <c r="J1726" s="16">
        <f t="shared" si="361"/>
        <v>113600</v>
      </c>
      <c r="K1726" s="16">
        <v>2</v>
      </c>
      <c r="L1726" s="16" t="s">
        <v>28</v>
      </c>
      <c r="M1726" s="16" t="s">
        <v>91</v>
      </c>
      <c r="N1726" s="16" t="s">
        <v>1870</v>
      </c>
      <c r="O1726" s="16">
        <v>2</v>
      </c>
      <c r="P1726" s="16">
        <v>56800</v>
      </c>
      <c r="Q1726" s="16">
        <f>O1726*P1726</f>
        <v>113600</v>
      </c>
      <c r="R1726" s="18">
        <v>0.18</v>
      </c>
      <c r="S1726" s="16">
        <f>Q1726*R1726</f>
        <v>20448</v>
      </c>
      <c r="T1726" s="16">
        <f>Q1726+S1726</f>
        <v>134048</v>
      </c>
      <c r="U1726" s="16" t="s">
        <v>1872</v>
      </c>
      <c r="V1726" s="19">
        <v>46143</v>
      </c>
      <c r="W1726" s="142" t="s">
        <v>2091</v>
      </c>
    </row>
    <row r="1727" spans="1:23" x14ac:dyDescent="0.3">
      <c r="A1727" s="1"/>
      <c r="B1727" s="1"/>
      <c r="C1727" s="1"/>
      <c r="D1727" s="1"/>
      <c r="E1727" s="16" t="s">
        <v>123</v>
      </c>
      <c r="F1727" s="16" t="s">
        <v>1567</v>
      </c>
      <c r="G1727" s="16">
        <v>2</v>
      </c>
      <c r="H1727" s="16" t="s">
        <v>87</v>
      </c>
      <c r="I1727" s="16">
        <v>6000</v>
      </c>
      <c r="J1727" s="16">
        <f t="shared" si="361"/>
        <v>12000</v>
      </c>
      <c r="K1727" s="16">
        <v>2</v>
      </c>
      <c r="L1727" s="16" t="s">
        <v>28</v>
      </c>
      <c r="M1727" s="16" t="s">
        <v>91</v>
      </c>
      <c r="N1727" s="16" t="s">
        <v>1871</v>
      </c>
      <c r="O1727" s="16">
        <v>2</v>
      </c>
      <c r="P1727" s="16">
        <v>6000</v>
      </c>
      <c r="Q1727" s="16">
        <f t="shared" ref="Q1727:Q1728" si="380">O1727*P1727</f>
        <v>12000</v>
      </c>
      <c r="R1727" s="18">
        <v>0.18</v>
      </c>
      <c r="S1727" s="16">
        <f t="shared" ref="S1727:S1728" si="381">Q1727*R1727</f>
        <v>2160</v>
      </c>
      <c r="T1727" s="16">
        <f t="shared" ref="T1727:T1728" si="382">Q1727+S1727</f>
        <v>14160</v>
      </c>
      <c r="U1727" s="16" t="s">
        <v>1872</v>
      </c>
      <c r="V1727" s="19">
        <v>46143</v>
      </c>
      <c r="W1727" s="142" t="s">
        <v>2091</v>
      </c>
    </row>
    <row r="1728" spans="1:23" x14ac:dyDescent="0.3">
      <c r="A1728" s="1"/>
      <c r="B1728" s="1"/>
      <c r="C1728" s="1"/>
      <c r="D1728" s="1"/>
      <c r="E1728" s="16" t="s">
        <v>123</v>
      </c>
      <c r="F1728" s="16" t="s">
        <v>1826</v>
      </c>
      <c r="G1728" s="16">
        <v>200</v>
      </c>
      <c r="H1728" s="16" t="s">
        <v>60</v>
      </c>
      <c r="I1728" s="16">
        <v>145</v>
      </c>
      <c r="J1728" s="16">
        <f t="shared" si="361"/>
        <v>29000</v>
      </c>
      <c r="K1728" s="16">
        <v>25</v>
      </c>
      <c r="L1728" s="16" t="s">
        <v>60</v>
      </c>
      <c r="M1728" s="16" t="s">
        <v>91</v>
      </c>
      <c r="N1728" s="16" t="s">
        <v>1871</v>
      </c>
      <c r="O1728" s="16">
        <v>25</v>
      </c>
      <c r="P1728" s="16">
        <v>145</v>
      </c>
      <c r="Q1728" s="16">
        <f t="shared" si="380"/>
        <v>3625</v>
      </c>
      <c r="R1728" s="18">
        <v>0.18</v>
      </c>
      <c r="S1728" s="16">
        <f t="shared" si="381"/>
        <v>652.5</v>
      </c>
      <c r="T1728" s="16">
        <f t="shared" si="382"/>
        <v>4277.5</v>
      </c>
      <c r="U1728" s="16" t="s">
        <v>1872</v>
      </c>
      <c r="V1728" s="19">
        <v>46143</v>
      </c>
      <c r="W1728" s="142" t="s">
        <v>2091</v>
      </c>
    </row>
    <row r="1729" spans="1:23" x14ac:dyDescent="0.3">
      <c r="A1729" s="1"/>
      <c r="B1729" s="1"/>
      <c r="C1729" s="1"/>
      <c r="D1729" s="1"/>
      <c r="E1729" s="1"/>
      <c r="F1729" s="124" t="s">
        <v>39</v>
      </c>
      <c r="G1729" s="1"/>
      <c r="H1729" s="1"/>
      <c r="I1729" s="1"/>
      <c r="J1729" s="124">
        <f>SUM(J1726:J1728)</f>
        <v>154600</v>
      </c>
      <c r="K1729" s="1"/>
      <c r="L1729" s="1"/>
      <c r="M1729" s="1"/>
      <c r="N1729" s="1"/>
      <c r="O1729" s="1"/>
      <c r="P1729" s="1"/>
      <c r="Q1729" s="1"/>
      <c r="R1729" s="1"/>
      <c r="S1729" s="1"/>
      <c r="T1729" s="1"/>
      <c r="U1729" s="1"/>
      <c r="V1729" s="1"/>
      <c r="W1729" s="142"/>
    </row>
    <row r="1730" spans="1:23" x14ac:dyDescent="0.3">
      <c r="A1730" s="1"/>
      <c r="B1730" s="1"/>
      <c r="C1730" s="1"/>
      <c r="D1730" s="1"/>
      <c r="E1730" s="1"/>
      <c r="F1730" s="124" t="s">
        <v>187</v>
      </c>
      <c r="G1730" s="1"/>
      <c r="H1730" s="1"/>
      <c r="I1730" s="1"/>
      <c r="J1730" s="124">
        <f>J1729*18/100</f>
        <v>27828</v>
      </c>
      <c r="K1730" s="1"/>
      <c r="L1730" s="1"/>
      <c r="M1730" s="1"/>
      <c r="N1730" s="1"/>
      <c r="O1730" s="1"/>
      <c r="P1730" s="1"/>
      <c r="Q1730" s="1"/>
      <c r="R1730" s="1"/>
      <c r="S1730" s="1"/>
      <c r="T1730" s="1"/>
      <c r="U1730" s="1"/>
      <c r="V1730" s="1"/>
      <c r="W1730" s="142"/>
    </row>
    <row r="1731" spans="1:23" x14ac:dyDescent="0.3">
      <c r="A1731" s="1"/>
      <c r="B1731" s="1"/>
      <c r="C1731" s="1"/>
      <c r="D1731" s="1"/>
      <c r="E1731" s="1"/>
      <c r="F1731" s="124" t="s">
        <v>41</v>
      </c>
      <c r="G1731" s="1"/>
      <c r="H1731" s="1"/>
      <c r="I1731" s="1"/>
      <c r="J1731" s="124">
        <f>SUM(J1729:J1730)</f>
        <v>182428</v>
      </c>
      <c r="K1731" s="1"/>
      <c r="L1731" s="1"/>
      <c r="M1731" s="1"/>
      <c r="N1731" s="1"/>
      <c r="O1731" s="1"/>
      <c r="P1731" s="1"/>
      <c r="Q1731" s="1"/>
      <c r="R1731" s="1"/>
      <c r="S1731" s="1"/>
      <c r="T1731" s="1">
        <f>SUM(T1726:T1730)</f>
        <v>152485.5</v>
      </c>
      <c r="U1731" s="1"/>
      <c r="V1731" s="1"/>
      <c r="W1731" s="142"/>
    </row>
    <row r="1732" spans="1:23" x14ac:dyDescent="0.3">
      <c r="A1732" s="1"/>
      <c r="B1732" s="1"/>
      <c r="C1732" s="1"/>
      <c r="D1732" s="1"/>
      <c r="E1732" s="1"/>
      <c r="F1732" s="124"/>
      <c r="G1732" s="1"/>
      <c r="H1732" s="1"/>
      <c r="I1732" s="1"/>
      <c r="J1732" s="1"/>
      <c r="K1732" s="1"/>
      <c r="L1732" s="1"/>
      <c r="M1732" s="1"/>
      <c r="N1732" s="1"/>
      <c r="O1732" s="1"/>
      <c r="P1732" s="1"/>
      <c r="Q1732" s="1"/>
      <c r="R1732" s="1"/>
      <c r="S1732" s="1"/>
      <c r="T1732" s="1"/>
      <c r="U1732" s="1"/>
      <c r="V1732" s="1"/>
      <c r="W1732" s="142"/>
    </row>
    <row r="1733" spans="1:23" x14ac:dyDescent="0.3">
      <c r="A1733" s="16">
        <v>153</v>
      </c>
      <c r="B1733" s="16">
        <v>8600062863</v>
      </c>
      <c r="C1733" s="16" t="s">
        <v>1834</v>
      </c>
      <c r="D1733" s="16" t="s">
        <v>300</v>
      </c>
      <c r="E1733" s="16" t="s">
        <v>127</v>
      </c>
      <c r="F1733" s="16" t="s">
        <v>1835</v>
      </c>
      <c r="G1733" s="16">
        <v>6</v>
      </c>
      <c r="H1733" s="16" t="s">
        <v>28</v>
      </c>
      <c r="I1733" s="16">
        <v>125</v>
      </c>
      <c r="J1733" s="16">
        <f t="shared" si="361"/>
        <v>750</v>
      </c>
      <c r="K1733" s="16">
        <v>6</v>
      </c>
      <c r="L1733" s="16" t="s">
        <v>28</v>
      </c>
      <c r="M1733" s="16" t="s">
        <v>91</v>
      </c>
      <c r="N1733" s="16" t="s">
        <v>1842</v>
      </c>
      <c r="O1733" s="16">
        <v>6</v>
      </c>
      <c r="P1733" s="16">
        <v>125</v>
      </c>
      <c r="Q1733" s="16">
        <f>O1733*P1733</f>
        <v>750</v>
      </c>
      <c r="R1733" s="18">
        <v>0.18</v>
      </c>
      <c r="S1733" s="16">
        <f>Q1733*R1733</f>
        <v>135</v>
      </c>
      <c r="T1733" s="16">
        <f>Q1733+S1733</f>
        <v>885</v>
      </c>
      <c r="U1733" s="16" t="s">
        <v>1843</v>
      </c>
      <c r="V1733" s="19" t="s">
        <v>1844</v>
      </c>
      <c r="W1733" s="142" t="s">
        <v>2175</v>
      </c>
    </row>
    <row r="1734" spans="1:23" x14ac:dyDescent="0.3">
      <c r="A1734" s="1"/>
      <c r="B1734" s="1"/>
      <c r="C1734" s="1"/>
      <c r="D1734" s="1"/>
      <c r="E1734" s="16" t="s">
        <v>127</v>
      </c>
      <c r="F1734" s="39" t="s">
        <v>1836</v>
      </c>
      <c r="G1734" s="16">
        <v>5</v>
      </c>
      <c r="H1734" s="16" t="s">
        <v>28</v>
      </c>
      <c r="I1734" s="16">
        <v>256</v>
      </c>
      <c r="J1734" s="16">
        <f t="shared" si="361"/>
        <v>1280</v>
      </c>
      <c r="K1734" s="16">
        <v>5</v>
      </c>
      <c r="L1734" s="16" t="s">
        <v>28</v>
      </c>
      <c r="M1734" s="16" t="s">
        <v>91</v>
      </c>
      <c r="N1734" s="16" t="s">
        <v>1842</v>
      </c>
      <c r="O1734" s="16">
        <v>5</v>
      </c>
      <c r="P1734" s="16">
        <v>256</v>
      </c>
      <c r="Q1734" s="16">
        <f t="shared" ref="Q1734:Q1739" si="383">O1734*P1734</f>
        <v>1280</v>
      </c>
      <c r="R1734" s="18">
        <v>0.18</v>
      </c>
      <c r="S1734" s="16">
        <f t="shared" ref="S1734:S1739" si="384">Q1734*R1734</f>
        <v>230.39999999999998</v>
      </c>
      <c r="T1734" s="16">
        <f t="shared" ref="T1734:T1739" si="385">Q1734+S1734</f>
        <v>1510.4</v>
      </c>
      <c r="U1734" s="16" t="s">
        <v>1843</v>
      </c>
      <c r="V1734" s="19" t="s">
        <v>1844</v>
      </c>
      <c r="W1734" s="142" t="s">
        <v>2175</v>
      </c>
    </row>
    <row r="1735" spans="1:23" x14ac:dyDescent="0.3">
      <c r="A1735" s="1"/>
      <c r="B1735" s="1"/>
      <c r="C1735" s="1"/>
      <c r="D1735" s="1"/>
      <c r="E1735" s="16" t="s">
        <v>127</v>
      </c>
      <c r="F1735" s="16" t="s">
        <v>1837</v>
      </c>
      <c r="G1735" s="16">
        <v>4</v>
      </c>
      <c r="H1735" s="16" t="s">
        <v>28</v>
      </c>
      <c r="I1735" s="16">
        <v>160</v>
      </c>
      <c r="J1735" s="16">
        <f t="shared" si="361"/>
        <v>640</v>
      </c>
      <c r="K1735" s="16">
        <v>4</v>
      </c>
      <c r="L1735" s="16" t="s">
        <v>28</v>
      </c>
      <c r="M1735" s="16" t="s">
        <v>91</v>
      </c>
      <c r="N1735" s="16" t="s">
        <v>1842</v>
      </c>
      <c r="O1735" s="16">
        <v>4</v>
      </c>
      <c r="P1735" s="16">
        <v>160</v>
      </c>
      <c r="Q1735" s="16">
        <f t="shared" si="383"/>
        <v>640</v>
      </c>
      <c r="R1735" s="18">
        <v>0.18</v>
      </c>
      <c r="S1735" s="16">
        <f t="shared" si="384"/>
        <v>115.19999999999999</v>
      </c>
      <c r="T1735" s="16">
        <f t="shared" si="385"/>
        <v>755.2</v>
      </c>
      <c r="U1735" s="16" t="s">
        <v>1843</v>
      </c>
      <c r="V1735" s="19" t="s">
        <v>1844</v>
      </c>
      <c r="W1735" s="142" t="s">
        <v>2175</v>
      </c>
    </row>
    <row r="1736" spans="1:23" x14ac:dyDescent="0.3">
      <c r="A1736" s="1"/>
      <c r="B1736" s="1"/>
      <c r="C1736" s="1"/>
      <c r="D1736" s="1"/>
      <c r="E1736" s="16" t="s">
        <v>127</v>
      </c>
      <c r="F1736" s="16" t="s">
        <v>1838</v>
      </c>
      <c r="G1736" s="16">
        <v>4</v>
      </c>
      <c r="H1736" s="16" t="s">
        <v>28</v>
      </c>
      <c r="I1736" s="16">
        <v>75</v>
      </c>
      <c r="J1736" s="16">
        <f t="shared" si="361"/>
        <v>300</v>
      </c>
      <c r="K1736" s="16">
        <v>4</v>
      </c>
      <c r="L1736" s="16" t="s">
        <v>28</v>
      </c>
      <c r="M1736" s="16" t="s">
        <v>91</v>
      </c>
      <c r="N1736" s="16" t="s">
        <v>1842</v>
      </c>
      <c r="O1736" s="16">
        <v>4</v>
      </c>
      <c r="P1736" s="16">
        <v>75</v>
      </c>
      <c r="Q1736" s="16">
        <f t="shared" si="383"/>
        <v>300</v>
      </c>
      <c r="R1736" s="18">
        <v>0.18</v>
      </c>
      <c r="S1736" s="16">
        <f t="shared" si="384"/>
        <v>54</v>
      </c>
      <c r="T1736" s="16">
        <f t="shared" si="385"/>
        <v>354</v>
      </c>
      <c r="U1736" s="16" t="s">
        <v>1843</v>
      </c>
      <c r="V1736" s="19" t="s">
        <v>1844</v>
      </c>
      <c r="W1736" s="142" t="s">
        <v>2175</v>
      </c>
    </row>
    <row r="1737" spans="1:23" x14ac:dyDescent="0.3">
      <c r="A1737" s="1"/>
      <c r="B1737" s="1"/>
      <c r="C1737" s="1"/>
      <c r="D1737" s="1"/>
      <c r="E1737" s="16" t="s">
        <v>127</v>
      </c>
      <c r="F1737" s="16" t="s">
        <v>1839</v>
      </c>
      <c r="G1737" s="16">
        <v>6</v>
      </c>
      <c r="H1737" s="16" t="s">
        <v>28</v>
      </c>
      <c r="I1737" s="16">
        <v>155</v>
      </c>
      <c r="J1737" s="16">
        <f t="shared" si="361"/>
        <v>930</v>
      </c>
      <c r="K1737" s="16">
        <v>6</v>
      </c>
      <c r="L1737" s="16" t="s">
        <v>28</v>
      </c>
      <c r="M1737" s="16" t="s">
        <v>91</v>
      </c>
      <c r="N1737" s="16" t="s">
        <v>1842</v>
      </c>
      <c r="O1737" s="16">
        <v>6</v>
      </c>
      <c r="P1737" s="16">
        <v>155</v>
      </c>
      <c r="Q1737" s="16">
        <f t="shared" si="383"/>
        <v>930</v>
      </c>
      <c r="R1737" s="18">
        <v>0.18</v>
      </c>
      <c r="S1737" s="16">
        <f t="shared" si="384"/>
        <v>167.4</v>
      </c>
      <c r="T1737" s="16">
        <f t="shared" si="385"/>
        <v>1097.4000000000001</v>
      </c>
      <c r="U1737" s="16" t="s">
        <v>1843</v>
      </c>
      <c r="V1737" s="19" t="s">
        <v>1844</v>
      </c>
      <c r="W1737" s="142" t="s">
        <v>2175</v>
      </c>
    </row>
    <row r="1738" spans="1:23" x14ac:dyDescent="0.3">
      <c r="A1738" s="1"/>
      <c r="B1738" s="1"/>
      <c r="C1738" s="1"/>
      <c r="D1738" s="1"/>
      <c r="E1738" s="16" t="s">
        <v>127</v>
      </c>
      <c r="F1738" s="16" t="s">
        <v>1840</v>
      </c>
      <c r="G1738" s="16">
        <v>2</v>
      </c>
      <c r="H1738" s="16" t="s">
        <v>28</v>
      </c>
      <c r="I1738" s="16">
        <v>55</v>
      </c>
      <c r="J1738" s="16">
        <f t="shared" si="361"/>
        <v>110</v>
      </c>
      <c r="K1738" s="16">
        <v>2</v>
      </c>
      <c r="L1738" s="16" t="s">
        <v>28</v>
      </c>
      <c r="M1738" s="16" t="s">
        <v>91</v>
      </c>
      <c r="N1738" s="16" t="s">
        <v>1842</v>
      </c>
      <c r="O1738" s="16">
        <v>2</v>
      </c>
      <c r="P1738" s="16">
        <v>55</v>
      </c>
      <c r="Q1738" s="16">
        <f t="shared" si="383"/>
        <v>110</v>
      </c>
      <c r="R1738" s="18">
        <v>0.18</v>
      </c>
      <c r="S1738" s="16">
        <f t="shared" si="384"/>
        <v>19.8</v>
      </c>
      <c r="T1738" s="16">
        <f t="shared" si="385"/>
        <v>129.80000000000001</v>
      </c>
      <c r="U1738" s="16" t="s">
        <v>1843</v>
      </c>
      <c r="V1738" s="19" t="s">
        <v>1844</v>
      </c>
      <c r="W1738" s="142" t="s">
        <v>2175</v>
      </c>
    </row>
    <row r="1739" spans="1:23" x14ac:dyDescent="0.3">
      <c r="A1739" s="1"/>
      <c r="B1739" s="1"/>
      <c r="C1739" s="1"/>
      <c r="D1739" s="1"/>
      <c r="E1739" s="16" t="s">
        <v>127</v>
      </c>
      <c r="F1739" s="16" t="s">
        <v>1841</v>
      </c>
      <c r="G1739" s="16">
        <v>1</v>
      </c>
      <c r="H1739" s="16" t="s">
        <v>28</v>
      </c>
      <c r="I1739" s="16">
        <v>1080</v>
      </c>
      <c r="J1739" s="16">
        <f t="shared" si="361"/>
        <v>1080</v>
      </c>
      <c r="K1739" s="16">
        <v>1</v>
      </c>
      <c r="L1739" s="16" t="s">
        <v>28</v>
      </c>
      <c r="M1739" s="16" t="s">
        <v>91</v>
      </c>
      <c r="N1739" s="16" t="s">
        <v>1842</v>
      </c>
      <c r="O1739" s="16">
        <v>1</v>
      </c>
      <c r="P1739" s="16">
        <v>1080</v>
      </c>
      <c r="Q1739" s="16">
        <f t="shared" si="383"/>
        <v>1080</v>
      </c>
      <c r="R1739" s="18">
        <v>0.18</v>
      </c>
      <c r="S1739" s="16">
        <f t="shared" si="384"/>
        <v>194.4</v>
      </c>
      <c r="T1739" s="16">
        <f t="shared" si="385"/>
        <v>1274.4000000000001</v>
      </c>
      <c r="U1739" s="16" t="s">
        <v>1843</v>
      </c>
      <c r="V1739" s="19" t="s">
        <v>1844</v>
      </c>
      <c r="W1739" s="142" t="s">
        <v>2175</v>
      </c>
    </row>
    <row r="1740" spans="1:23" x14ac:dyDescent="0.3">
      <c r="A1740" s="1"/>
      <c r="B1740" s="1"/>
      <c r="C1740" s="1"/>
      <c r="D1740" s="1"/>
      <c r="E1740" s="1"/>
      <c r="F1740" s="124" t="s">
        <v>39</v>
      </c>
      <c r="G1740" s="1"/>
      <c r="H1740" s="1"/>
      <c r="I1740" s="1"/>
      <c r="J1740" s="124">
        <f>SUM(J1733:J1739)</f>
        <v>5090</v>
      </c>
      <c r="K1740" s="1"/>
      <c r="L1740" s="1"/>
      <c r="M1740" s="1"/>
      <c r="N1740" s="1"/>
      <c r="O1740" s="1"/>
      <c r="P1740" s="1"/>
      <c r="Q1740" s="1"/>
      <c r="R1740" s="1"/>
      <c r="S1740" s="1"/>
      <c r="T1740" s="1"/>
      <c r="U1740" s="1"/>
      <c r="V1740" s="1"/>
      <c r="W1740" s="142"/>
    </row>
    <row r="1741" spans="1:23" x14ac:dyDescent="0.3">
      <c r="A1741" s="1"/>
      <c r="B1741" s="1"/>
      <c r="C1741" s="1"/>
      <c r="D1741" s="1"/>
      <c r="E1741" s="1"/>
      <c r="F1741" s="124" t="s">
        <v>187</v>
      </c>
      <c r="G1741" s="1"/>
      <c r="H1741" s="1"/>
      <c r="I1741" s="1"/>
      <c r="J1741" s="124">
        <f>J1740*18/100</f>
        <v>916.2</v>
      </c>
      <c r="K1741" s="1"/>
      <c r="L1741" s="1"/>
      <c r="M1741" s="1"/>
      <c r="N1741" s="1"/>
      <c r="O1741" s="1"/>
      <c r="P1741" s="1"/>
      <c r="Q1741" s="1"/>
      <c r="R1741" s="1"/>
      <c r="S1741" s="1"/>
      <c r="T1741" s="1"/>
      <c r="U1741" s="1"/>
      <c r="V1741" s="1"/>
      <c r="W1741" s="142"/>
    </row>
    <row r="1742" spans="1:23" x14ac:dyDescent="0.3">
      <c r="A1742" s="1"/>
      <c r="B1742" s="1"/>
      <c r="C1742" s="1"/>
      <c r="D1742" s="1"/>
      <c r="E1742" s="1"/>
      <c r="F1742" s="124" t="s">
        <v>41</v>
      </c>
      <c r="G1742" s="1"/>
      <c r="H1742" s="1"/>
      <c r="I1742" s="1"/>
      <c r="J1742" s="124">
        <f>SUM(J1740:J1741)</f>
        <v>6006.2</v>
      </c>
      <c r="K1742" s="1"/>
      <c r="L1742" s="1"/>
      <c r="M1742" s="1"/>
      <c r="N1742" s="1"/>
      <c r="O1742" s="1"/>
      <c r="P1742" s="1"/>
      <c r="Q1742" s="1"/>
      <c r="R1742" s="1"/>
      <c r="S1742" s="1"/>
      <c r="T1742" s="1">
        <f>SUM(T1733:T1741)</f>
        <v>6006.2000000000007</v>
      </c>
      <c r="U1742" s="1"/>
      <c r="V1742" s="1"/>
      <c r="W1742" s="142"/>
    </row>
    <row r="1743" spans="1:23" x14ac:dyDescent="0.3">
      <c r="A1743" s="1"/>
      <c r="B1743" s="1"/>
      <c r="C1743" s="1"/>
      <c r="D1743" s="1"/>
      <c r="E1743" s="1"/>
      <c r="F1743" s="124"/>
      <c r="G1743" s="1"/>
      <c r="H1743" s="1"/>
      <c r="I1743" s="1"/>
      <c r="J1743" s="124"/>
      <c r="K1743" s="1"/>
      <c r="L1743" s="1"/>
      <c r="M1743" s="1"/>
      <c r="N1743" s="1"/>
      <c r="O1743" s="1"/>
      <c r="P1743" s="1"/>
      <c r="Q1743" s="1"/>
      <c r="R1743" s="1"/>
      <c r="S1743" s="1"/>
      <c r="T1743" s="1"/>
      <c r="U1743" s="1"/>
      <c r="V1743" s="1"/>
      <c r="W1743" s="142"/>
    </row>
    <row r="1744" spans="1:23" ht="37.799999999999997" x14ac:dyDescent="0.3">
      <c r="A1744" s="16">
        <v>154</v>
      </c>
      <c r="B1744" s="16">
        <v>9200154982</v>
      </c>
      <c r="C1744" s="16" t="s">
        <v>1846</v>
      </c>
      <c r="D1744" s="16" t="s">
        <v>300</v>
      </c>
      <c r="E1744" s="16" t="s">
        <v>123</v>
      </c>
      <c r="F1744" s="39" t="s">
        <v>1866</v>
      </c>
      <c r="G1744" s="16">
        <v>500</v>
      </c>
      <c r="H1744" s="16" t="s">
        <v>111</v>
      </c>
      <c r="I1744" s="16">
        <v>355</v>
      </c>
      <c r="J1744" s="16">
        <f t="shared" si="361"/>
        <v>177500</v>
      </c>
      <c r="K1744" s="16">
        <v>16</v>
      </c>
      <c r="L1744" s="16" t="s">
        <v>28</v>
      </c>
      <c r="M1744" s="16" t="s">
        <v>91</v>
      </c>
      <c r="N1744" s="16" t="s">
        <v>1899</v>
      </c>
      <c r="O1744" s="16">
        <v>500</v>
      </c>
      <c r="P1744" s="16">
        <v>355</v>
      </c>
      <c r="Q1744" s="16">
        <f>O1744*P1744</f>
        <v>177500</v>
      </c>
      <c r="R1744" s="18">
        <v>0.18</v>
      </c>
      <c r="S1744" s="16">
        <f>Q1744*R1744</f>
        <v>31950</v>
      </c>
      <c r="T1744" s="16">
        <f>Q1744+S1744</f>
        <v>209450</v>
      </c>
      <c r="U1744" s="16" t="s">
        <v>2135</v>
      </c>
      <c r="V1744" s="19">
        <v>46329</v>
      </c>
      <c r="W1744" s="142" t="s">
        <v>2175</v>
      </c>
    </row>
    <row r="1745" spans="1:23" x14ac:dyDescent="0.3">
      <c r="A1745" s="1"/>
      <c r="B1745" s="1"/>
      <c r="C1745" s="1"/>
      <c r="D1745" s="1"/>
      <c r="E1745" s="1"/>
      <c r="F1745" s="124" t="s">
        <v>39</v>
      </c>
      <c r="G1745" s="1"/>
      <c r="H1745" s="1"/>
      <c r="I1745" s="1"/>
      <c r="J1745" s="124">
        <f>SUM(J1744)</f>
        <v>177500</v>
      </c>
      <c r="K1745" s="1"/>
      <c r="L1745" s="1"/>
      <c r="M1745" s="1"/>
      <c r="N1745" s="1"/>
      <c r="O1745" s="1"/>
      <c r="P1745" s="1"/>
      <c r="Q1745" s="1"/>
      <c r="R1745" s="1"/>
      <c r="S1745" s="1"/>
      <c r="T1745" s="1"/>
      <c r="U1745" s="1"/>
      <c r="V1745" s="1"/>
      <c r="W1745" s="142"/>
    </row>
    <row r="1746" spans="1:23" x14ac:dyDescent="0.3">
      <c r="A1746" s="1"/>
      <c r="B1746" s="1"/>
      <c r="C1746" s="1"/>
      <c r="D1746" s="1"/>
      <c r="E1746" s="1"/>
      <c r="F1746" s="124" t="s">
        <v>187</v>
      </c>
      <c r="G1746" s="1"/>
      <c r="H1746" s="1"/>
      <c r="I1746" s="1"/>
      <c r="J1746" s="124">
        <f>J1745*18/100</f>
        <v>31950</v>
      </c>
      <c r="K1746" s="1"/>
      <c r="L1746" s="1"/>
      <c r="M1746" s="1"/>
      <c r="N1746" s="1"/>
      <c r="O1746" s="1"/>
      <c r="P1746" s="1"/>
      <c r="Q1746" s="1"/>
      <c r="R1746" s="1"/>
      <c r="S1746" s="1"/>
      <c r="T1746" s="1"/>
      <c r="U1746" s="1"/>
      <c r="V1746" s="1"/>
      <c r="W1746" s="142"/>
    </row>
    <row r="1747" spans="1:23" x14ac:dyDescent="0.3">
      <c r="A1747" s="1"/>
      <c r="B1747" s="1"/>
      <c r="C1747" s="1"/>
      <c r="D1747" s="1"/>
      <c r="E1747" s="1"/>
      <c r="F1747" s="124" t="s">
        <v>41</v>
      </c>
      <c r="G1747" s="1"/>
      <c r="H1747" s="1"/>
      <c r="I1747" s="1"/>
      <c r="J1747" s="124">
        <f>SUM(J1745:J1746)</f>
        <v>209450</v>
      </c>
      <c r="K1747" s="1"/>
      <c r="L1747" s="1"/>
      <c r="M1747" s="1"/>
      <c r="N1747" s="1"/>
      <c r="O1747" s="1"/>
      <c r="P1747" s="1"/>
      <c r="Q1747" s="1"/>
      <c r="R1747" s="1"/>
      <c r="S1747" s="1"/>
      <c r="T1747" s="1"/>
      <c r="U1747" s="1"/>
      <c r="V1747" s="1"/>
      <c r="W1747" s="142"/>
    </row>
    <row r="1748" spans="1:23" x14ac:dyDescent="0.3">
      <c r="A1748" s="1"/>
      <c r="B1748" s="1"/>
      <c r="C1748" s="1"/>
      <c r="D1748" s="1"/>
      <c r="E1748" s="1"/>
      <c r="F1748" s="124"/>
      <c r="G1748" s="1"/>
      <c r="H1748" s="1"/>
      <c r="I1748" s="1"/>
      <c r="J1748" s="1">
        <f t="shared" si="361"/>
        <v>0</v>
      </c>
      <c r="K1748" s="1"/>
      <c r="L1748" s="1"/>
      <c r="M1748" s="1"/>
      <c r="N1748" s="1"/>
      <c r="O1748" s="1"/>
      <c r="P1748" s="1"/>
      <c r="Q1748" s="1"/>
      <c r="R1748" s="1"/>
      <c r="S1748" s="1"/>
      <c r="T1748" s="1"/>
      <c r="U1748" s="1"/>
      <c r="V1748" s="1"/>
      <c r="W1748" s="142"/>
    </row>
    <row r="1749" spans="1:23" ht="25.2" x14ac:dyDescent="0.3">
      <c r="A1749" s="16">
        <v>155</v>
      </c>
      <c r="B1749" s="16">
        <v>9200155006</v>
      </c>
      <c r="C1749" s="16" t="s">
        <v>1848</v>
      </c>
      <c r="D1749" s="16" t="s">
        <v>43</v>
      </c>
      <c r="E1749" s="16" t="s">
        <v>123</v>
      </c>
      <c r="F1749" s="39" t="s">
        <v>1849</v>
      </c>
      <c r="G1749" s="16">
        <v>120</v>
      </c>
      <c r="H1749" s="16" t="s">
        <v>28</v>
      </c>
      <c r="I1749" s="16">
        <v>220</v>
      </c>
      <c r="J1749" s="16">
        <f t="shared" si="361"/>
        <v>26400</v>
      </c>
      <c r="K1749" s="16">
        <v>120</v>
      </c>
      <c r="L1749" s="16" t="s">
        <v>28</v>
      </c>
      <c r="M1749" s="16" t="s">
        <v>91</v>
      </c>
      <c r="N1749" s="16" t="s">
        <v>1897</v>
      </c>
      <c r="O1749" s="16">
        <v>120</v>
      </c>
      <c r="P1749" s="16">
        <v>220</v>
      </c>
      <c r="Q1749" s="16">
        <f>O1749*P1749</f>
        <v>26400</v>
      </c>
      <c r="R1749" s="18">
        <v>0</v>
      </c>
      <c r="S1749" s="16">
        <f>Q1749*R1749</f>
        <v>0</v>
      </c>
      <c r="T1749" s="16">
        <f>Q1749+S1749</f>
        <v>26400</v>
      </c>
      <c r="U1749" s="16" t="s">
        <v>2123</v>
      </c>
      <c r="V1749" s="19">
        <v>46298</v>
      </c>
      <c r="W1749" s="142" t="s">
        <v>2172</v>
      </c>
    </row>
    <row r="1750" spans="1:23" x14ac:dyDescent="0.3">
      <c r="A1750" s="85"/>
      <c r="B1750" s="85"/>
      <c r="C1750" s="85"/>
      <c r="D1750" s="85"/>
      <c r="E1750" s="16" t="s">
        <v>123</v>
      </c>
      <c r="F1750" s="16" t="s">
        <v>1850</v>
      </c>
      <c r="G1750" s="16">
        <v>500</v>
      </c>
      <c r="H1750" s="16" t="s">
        <v>60</v>
      </c>
      <c r="I1750" s="16">
        <v>105</v>
      </c>
      <c r="J1750" s="16">
        <f t="shared" si="361"/>
        <v>52500</v>
      </c>
      <c r="K1750" s="16">
        <v>500</v>
      </c>
      <c r="L1750" s="16" t="s">
        <v>60</v>
      </c>
      <c r="M1750" s="16" t="s">
        <v>91</v>
      </c>
      <c r="N1750" s="16" t="s">
        <v>1897</v>
      </c>
      <c r="O1750" s="16">
        <v>500</v>
      </c>
      <c r="P1750" s="16">
        <v>105</v>
      </c>
      <c r="Q1750" s="16">
        <f t="shared" ref="Q1750:Q1753" si="386">O1750*P1750</f>
        <v>52500</v>
      </c>
      <c r="R1750" s="18">
        <v>0</v>
      </c>
      <c r="S1750" s="16">
        <f t="shared" ref="S1750:S1753" si="387">Q1750*R1750</f>
        <v>0</v>
      </c>
      <c r="T1750" s="16">
        <f t="shared" ref="T1750:T1753" si="388">Q1750+S1750</f>
        <v>52500</v>
      </c>
      <c r="U1750" s="16" t="s">
        <v>2123</v>
      </c>
      <c r="V1750" s="19">
        <v>46298</v>
      </c>
      <c r="W1750" s="142" t="s">
        <v>2172</v>
      </c>
    </row>
    <row r="1751" spans="1:23" x14ac:dyDescent="0.3">
      <c r="A1751" s="85"/>
      <c r="B1751" s="85"/>
      <c r="C1751" s="85"/>
      <c r="D1751" s="85"/>
      <c r="E1751" s="16" t="s">
        <v>123</v>
      </c>
      <c r="F1751" s="16" t="s">
        <v>1851</v>
      </c>
      <c r="G1751" s="16">
        <v>500</v>
      </c>
      <c r="H1751" s="16" t="s">
        <v>60</v>
      </c>
      <c r="I1751" s="16">
        <v>80</v>
      </c>
      <c r="J1751" s="16">
        <f t="shared" si="361"/>
        <v>40000</v>
      </c>
      <c r="K1751" s="16">
        <v>500</v>
      </c>
      <c r="L1751" s="16" t="s">
        <v>60</v>
      </c>
      <c r="M1751" s="16" t="s">
        <v>91</v>
      </c>
      <c r="N1751" s="16" t="s">
        <v>1898</v>
      </c>
      <c r="O1751" s="16">
        <v>500</v>
      </c>
      <c r="P1751" s="16">
        <v>80</v>
      </c>
      <c r="Q1751" s="16">
        <f t="shared" si="386"/>
        <v>40000</v>
      </c>
      <c r="R1751" s="18">
        <v>0</v>
      </c>
      <c r="S1751" s="16">
        <f t="shared" si="387"/>
        <v>0</v>
      </c>
      <c r="T1751" s="16">
        <f t="shared" si="388"/>
        <v>40000</v>
      </c>
      <c r="U1751" s="16" t="s">
        <v>2123</v>
      </c>
      <c r="V1751" s="19">
        <v>46298</v>
      </c>
      <c r="W1751" s="142" t="s">
        <v>2172</v>
      </c>
    </row>
    <row r="1752" spans="1:23" x14ac:dyDescent="0.3">
      <c r="A1752" s="85"/>
      <c r="B1752" s="85"/>
      <c r="C1752" s="85"/>
      <c r="D1752" s="85"/>
      <c r="E1752" s="16" t="s">
        <v>123</v>
      </c>
      <c r="F1752" s="16" t="s">
        <v>1852</v>
      </c>
      <c r="G1752" s="16">
        <v>60</v>
      </c>
      <c r="H1752" s="16" t="s">
        <v>28</v>
      </c>
      <c r="I1752" s="16">
        <v>176</v>
      </c>
      <c r="J1752" s="16">
        <f t="shared" si="361"/>
        <v>10560</v>
      </c>
      <c r="K1752" s="16">
        <v>60</v>
      </c>
      <c r="L1752" s="16" t="s">
        <v>28</v>
      </c>
      <c r="M1752" s="16" t="s">
        <v>91</v>
      </c>
      <c r="N1752" s="16" t="s">
        <v>1897</v>
      </c>
      <c r="O1752" s="16">
        <v>60</v>
      </c>
      <c r="P1752" s="16">
        <v>176</v>
      </c>
      <c r="Q1752" s="16">
        <f t="shared" si="386"/>
        <v>10560</v>
      </c>
      <c r="R1752" s="18">
        <v>0</v>
      </c>
      <c r="S1752" s="16">
        <f t="shared" si="387"/>
        <v>0</v>
      </c>
      <c r="T1752" s="16">
        <f t="shared" si="388"/>
        <v>10560</v>
      </c>
      <c r="U1752" s="16" t="s">
        <v>2123</v>
      </c>
      <c r="V1752" s="19">
        <v>46298</v>
      </c>
      <c r="W1752" s="142" t="s">
        <v>2172</v>
      </c>
    </row>
    <row r="1753" spans="1:23" x14ac:dyDescent="0.3">
      <c r="A1753" s="85"/>
      <c r="B1753" s="85"/>
      <c r="C1753" s="85"/>
      <c r="D1753" s="161" t="s">
        <v>2558</v>
      </c>
      <c r="E1753" s="16" t="s">
        <v>123</v>
      </c>
      <c r="F1753" s="16" t="s">
        <v>1853</v>
      </c>
      <c r="G1753" s="16">
        <v>500</v>
      </c>
      <c r="H1753" s="16" t="s">
        <v>111</v>
      </c>
      <c r="I1753" s="16">
        <v>218</v>
      </c>
      <c r="J1753" s="16">
        <f t="shared" si="361"/>
        <v>109000</v>
      </c>
      <c r="K1753" s="16" t="s">
        <v>2505</v>
      </c>
      <c r="L1753" s="16"/>
      <c r="M1753" s="16" t="s">
        <v>1570</v>
      </c>
      <c r="N1753" s="16" t="s">
        <v>2504</v>
      </c>
      <c r="O1753" s="16">
        <v>500</v>
      </c>
      <c r="P1753" s="16">
        <v>218</v>
      </c>
      <c r="Q1753" s="16">
        <f t="shared" si="386"/>
        <v>109000</v>
      </c>
      <c r="R1753" s="18">
        <v>0</v>
      </c>
      <c r="S1753" s="16">
        <f t="shared" si="387"/>
        <v>0</v>
      </c>
      <c r="T1753" s="16">
        <f t="shared" si="388"/>
        <v>109000</v>
      </c>
      <c r="U1753" s="97" t="s">
        <v>2556</v>
      </c>
      <c r="V1753" s="110" t="s">
        <v>2557</v>
      </c>
      <c r="W1753" s="142" t="s">
        <v>2640</v>
      </c>
    </row>
    <row r="1754" spans="1:23" x14ac:dyDescent="0.3">
      <c r="A1754" s="1"/>
      <c r="B1754" s="1"/>
      <c r="C1754" s="1"/>
      <c r="D1754" s="1"/>
      <c r="E1754" s="1"/>
      <c r="F1754" s="124" t="s">
        <v>39</v>
      </c>
      <c r="G1754" s="1"/>
      <c r="H1754" s="1"/>
      <c r="I1754" s="1"/>
      <c r="J1754" s="1">
        <f>SUM(J1749:J1753)</f>
        <v>238460</v>
      </c>
      <c r="K1754" s="1"/>
      <c r="L1754" s="1"/>
      <c r="M1754" s="1"/>
      <c r="N1754" s="1"/>
      <c r="O1754" s="1"/>
      <c r="P1754" s="1"/>
      <c r="Q1754" s="1"/>
      <c r="R1754" s="1"/>
      <c r="S1754" s="1"/>
      <c r="T1754" s="1"/>
      <c r="U1754" s="1"/>
      <c r="V1754" s="1"/>
      <c r="W1754" s="142"/>
    </row>
    <row r="1755" spans="1:23" x14ac:dyDescent="0.3">
      <c r="A1755" s="1"/>
      <c r="B1755" s="1"/>
      <c r="C1755" s="1"/>
      <c r="D1755" s="1"/>
      <c r="E1755" s="1"/>
      <c r="F1755" s="124" t="s">
        <v>599</v>
      </c>
      <c r="G1755" s="1"/>
      <c r="H1755" s="1"/>
      <c r="I1755" s="1"/>
      <c r="J1755" s="1">
        <f>J1754*0%</f>
        <v>0</v>
      </c>
      <c r="K1755" s="1"/>
      <c r="L1755" s="1"/>
      <c r="M1755" s="1"/>
      <c r="N1755" s="1"/>
      <c r="O1755" s="1"/>
      <c r="P1755" s="1"/>
      <c r="Q1755" s="1"/>
      <c r="R1755" s="1"/>
      <c r="S1755" s="1"/>
      <c r="T1755" s="1"/>
      <c r="U1755" s="1"/>
      <c r="V1755" s="1"/>
      <c r="W1755" s="142"/>
    </row>
    <row r="1756" spans="1:23" x14ac:dyDescent="0.3">
      <c r="A1756" s="1"/>
      <c r="B1756" s="1"/>
      <c r="C1756" s="1"/>
      <c r="D1756" s="1"/>
      <c r="E1756" s="1"/>
      <c r="F1756" s="124" t="s">
        <v>41</v>
      </c>
      <c r="G1756" s="1"/>
      <c r="H1756" s="1"/>
      <c r="I1756" s="1"/>
      <c r="J1756" s="1">
        <f>SUM(J1754:J1755)</f>
        <v>238460</v>
      </c>
      <c r="K1756" s="1"/>
      <c r="L1756" s="1"/>
      <c r="M1756" s="1"/>
      <c r="N1756" s="1"/>
      <c r="O1756" s="1"/>
      <c r="P1756" s="1"/>
      <c r="Q1756" s="1"/>
      <c r="R1756" s="1"/>
      <c r="S1756" s="1"/>
      <c r="T1756" s="1">
        <f>SUM(T1749:T1755)</f>
        <v>238460</v>
      </c>
      <c r="U1756" s="1"/>
      <c r="V1756" s="1"/>
      <c r="W1756" s="142"/>
    </row>
    <row r="1757" spans="1:23" x14ac:dyDescent="0.3">
      <c r="A1757" s="1"/>
      <c r="B1757" s="1"/>
      <c r="C1757" s="1"/>
      <c r="D1757" s="1"/>
      <c r="E1757" s="1"/>
      <c r="F1757" s="1"/>
      <c r="G1757" s="1"/>
      <c r="H1757" s="1"/>
      <c r="I1757" s="1"/>
      <c r="J1757" s="1"/>
      <c r="K1757" s="1"/>
      <c r="L1757" s="1"/>
      <c r="M1757" s="1"/>
      <c r="N1757" s="1"/>
      <c r="O1757" s="1"/>
      <c r="P1757" s="1"/>
      <c r="Q1757" s="1"/>
      <c r="R1757" s="1"/>
      <c r="S1757" s="1"/>
      <c r="T1757" s="1"/>
      <c r="U1757" s="1"/>
      <c r="V1757" s="1"/>
      <c r="W1757" s="142"/>
    </row>
    <row r="1758" spans="1:23" x14ac:dyDescent="0.3">
      <c r="A1758" s="16">
        <v>156</v>
      </c>
      <c r="B1758" s="16">
        <v>9200155196</v>
      </c>
      <c r="C1758" s="16" t="s">
        <v>1854</v>
      </c>
      <c r="D1758" s="16" t="s">
        <v>43</v>
      </c>
      <c r="E1758" s="16" t="s">
        <v>123</v>
      </c>
      <c r="F1758" s="16" t="s">
        <v>1855</v>
      </c>
      <c r="G1758" s="16">
        <v>450</v>
      </c>
      <c r="H1758" s="16" t="s">
        <v>111</v>
      </c>
      <c r="I1758" s="16">
        <v>547</v>
      </c>
      <c r="J1758" s="16">
        <f t="shared" si="361"/>
        <v>246150</v>
      </c>
      <c r="K1758" s="16">
        <v>352</v>
      </c>
      <c r="L1758" s="16" t="s">
        <v>111</v>
      </c>
      <c r="M1758" s="16" t="s">
        <v>91</v>
      </c>
      <c r="N1758" s="16" t="s">
        <v>1965</v>
      </c>
      <c r="O1758" s="16">
        <v>442</v>
      </c>
      <c r="P1758" s="16">
        <v>547</v>
      </c>
      <c r="Q1758" s="16">
        <f>O1758*P1758</f>
        <v>241774</v>
      </c>
      <c r="R1758" s="18">
        <v>0</v>
      </c>
      <c r="S1758" s="16">
        <f>Q1758*R1758</f>
        <v>0</v>
      </c>
      <c r="T1758" s="16">
        <f>Q1758+S1758</f>
        <v>241774</v>
      </c>
      <c r="U1758" s="16" t="s">
        <v>2136</v>
      </c>
      <c r="V1758" s="19">
        <v>46329</v>
      </c>
      <c r="W1758" s="142" t="s">
        <v>2199</v>
      </c>
    </row>
    <row r="1759" spans="1:23" x14ac:dyDescent="0.3">
      <c r="A1759" s="1"/>
      <c r="B1759" s="1"/>
      <c r="C1759" s="1"/>
      <c r="D1759" s="1"/>
      <c r="E1759" s="16" t="s">
        <v>123</v>
      </c>
      <c r="F1759" s="16" t="s">
        <v>1856</v>
      </c>
      <c r="G1759" s="16">
        <v>1650</v>
      </c>
      <c r="H1759" s="16" t="s">
        <v>252</v>
      </c>
      <c r="I1759" s="16">
        <v>139</v>
      </c>
      <c r="J1759" s="16">
        <f t="shared" si="361"/>
        <v>229350</v>
      </c>
      <c r="K1759" s="16">
        <v>730</v>
      </c>
      <c r="L1759" s="16" t="s">
        <v>252</v>
      </c>
      <c r="M1759" s="16" t="s">
        <v>91</v>
      </c>
      <c r="N1759" s="16" t="s">
        <v>1965</v>
      </c>
      <c r="O1759" s="16">
        <v>870</v>
      </c>
      <c r="P1759" s="16">
        <v>139</v>
      </c>
      <c r="Q1759" s="16">
        <f t="shared" ref="Q1759:Q1765" si="389">O1759*P1759</f>
        <v>120930</v>
      </c>
      <c r="R1759" s="18">
        <v>0</v>
      </c>
      <c r="S1759" s="16">
        <f t="shared" ref="S1759:S1765" si="390">Q1759*R1759</f>
        <v>0</v>
      </c>
      <c r="T1759" s="16">
        <f t="shared" ref="T1759:T1765" si="391">Q1759+S1759</f>
        <v>120930</v>
      </c>
      <c r="U1759" s="16" t="s">
        <v>2136</v>
      </c>
      <c r="V1759" s="19">
        <v>46329</v>
      </c>
      <c r="W1759" s="142" t="s">
        <v>2199</v>
      </c>
    </row>
    <row r="1760" spans="1:23" ht="25.2" x14ac:dyDescent="0.3">
      <c r="A1760" s="1"/>
      <c r="B1760" s="1"/>
      <c r="C1760" s="1"/>
      <c r="D1760" s="1"/>
      <c r="E1760" s="16" t="s">
        <v>123</v>
      </c>
      <c r="F1760" s="39" t="s">
        <v>1857</v>
      </c>
      <c r="G1760" s="16">
        <v>14</v>
      </c>
      <c r="H1760" s="16" t="s">
        <v>87</v>
      </c>
      <c r="I1760" s="16">
        <v>1200</v>
      </c>
      <c r="J1760" s="16">
        <f t="shared" si="361"/>
        <v>16800</v>
      </c>
      <c r="K1760" s="16"/>
      <c r="L1760" s="16"/>
      <c r="M1760" s="16"/>
      <c r="N1760" s="16"/>
      <c r="O1760" s="16">
        <v>14</v>
      </c>
      <c r="P1760" s="16">
        <v>1200</v>
      </c>
      <c r="Q1760" s="16">
        <f t="shared" si="389"/>
        <v>16800</v>
      </c>
      <c r="R1760" s="18">
        <v>0</v>
      </c>
      <c r="S1760" s="16">
        <f t="shared" si="390"/>
        <v>0</v>
      </c>
      <c r="T1760" s="16">
        <f t="shared" si="391"/>
        <v>16800</v>
      </c>
      <c r="U1760" s="16" t="s">
        <v>2136</v>
      </c>
      <c r="V1760" s="19">
        <v>46329</v>
      </c>
      <c r="W1760" s="142" t="s">
        <v>2199</v>
      </c>
    </row>
    <row r="1761" spans="1:23" ht="25.2" x14ac:dyDescent="0.3">
      <c r="A1761" s="1"/>
      <c r="B1761" s="1"/>
      <c r="C1761" s="1"/>
      <c r="D1761" s="1"/>
      <c r="E1761" s="16" t="s">
        <v>123</v>
      </c>
      <c r="F1761" s="39" t="s">
        <v>1858</v>
      </c>
      <c r="G1761" s="16">
        <v>2</v>
      </c>
      <c r="H1761" s="16" t="s">
        <v>857</v>
      </c>
      <c r="I1761" s="16">
        <v>2500</v>
      </c>
      <c r="J1761" s="16">
        <f t="shared" si="361"/>
        <v>5000</v>
      </c>
      <c r="K1761" s="16"/>
      <c r="L1761" s="16"/>
      <c r="M1761" s="16"/>
      <c r="N1761" s="16"/>
      <c r="O1761" s="16">
        <v>2</v>
      </c>
      <c r="P1761" s="16">
        <v>2500</v>
      </c>
      <c r="Q1761" s="16">
        <f t="shared" si="389"/>
        <v>5000</v>
      </c>
      <c r="R1761" s="18">
        <v>0</v>
      </c>
      <c r="S1761" s="16">
        <f t="shared" si="390"/>
        <v>0</v>
      </c>
      <c r="T1761" s="16">
        <f t="shared" si="391"/>
        <v>5000</v>
      </c>
      <c r="U1761" s="16" t="s">
        <v>2136</v>
      </c>
      <c r="V1761" s="19">
        <v>46329</v>
      </c>
      <c r="W1761" s="142" t="s">
        <v>2199</v>
      </c>
    </row>
    <row r="1762" spans="1:23" x14ac:dyDescent="0.3">
      <c r="A1762" s="1"/>
      <c r="B1762" s="1"/>
      <c r="C1762" s="1"/>
      <c r="D1762" s="1"/>
      <c r="E1762" s="16" t="s">
        <v>123</v>
      </c>
      <c r="F1762" s="16" t="s">
        <v>1859</v>
      </c>
      <c r="G1762" s="16">
        <v>250</v>
      </c>
      <c r="H1762" s="16" t="s">
        <v>252</v>
      </c>
      <c r="I1762" s="16">
        <v>75</v>
      </c>
      <c r="J1762" s="16">
        <f t="shared" si="361"/>
        <v>18750</v>
      </c>
      <c r="K1762" s="16"/>
      <c r="L1762" s="16"/>
      <c r="M1762" s="16"/>
      <c r="N1762" s="16"/>
      <c r="O1762" s="16">
        <v>250</v>
      </c>
      <c r="P1762" s="16">
        <v>75</v>
      </c>
      <c r="Q1762" s="16">
        <f t="shared" si="389"/>
        <v>18750</v>
      </c>
      <c r="R1762" s="18">
        <v>0</v>
      </c>
      <c r="S1762" s="16">
        <f t="shared" si="390"/>
        <v>0</v>
      </c>
      <c r="T1762" s="16">
        <f t="shared" si="391"/>
        <v>18750</v>
      </c>
      <c r="U1762" s="16" t="s">
        <v>2136</v>
      </c>
      <c r="V1762" s="19">
        <v>46329</v>
      </c>
      <c r="W1762" s="142" t="s">
        <v>2199</v>
      </c>
    </row>
    <row r="1763" spans="1:23" ht="25.2" x14ac:dyDescent="0.3">
      <c r="A1763" s="1"/>
      <c r="B1763" s="1"/>
      <c r="C1763" s="1"/>
      <c r="D1763" s="1"/>
      <c r="E1763" s="16" t="s">
        <v>123</v>
      </c>
      <c r="F1763" s="39" t="s">
        <v>1860</v>
      </c>
      <c r="G1763" s="16">
        <v>150</v>
      </c>
      <c r="H1763" s="16" t="s">
        <v>28</v>
      </c>
      <c r="I1763" s="16">
        <v>70</v>
      </c>
      <c r="J1763" s="16">
        <f t="shared" si="361"/>
        <v>10500</v>
      </c>
      <c r="K1763" s="16"/>
      <c r="L1763" s="16"/>
      <c r="M1763" s="16"/>
      <c r="N1763" s="16"/>
      <c r="O1763" s="16">
        <v>150</v>
      </c>
      <c r="P1763" s="16">
        <v>70</v>
      </c>
      <c r="Q1763" s="16">
        <f t="shared" si="389"/>
        <v>10500</v>
      </c>
      <c r="R1763" s="18">
        <v>0</v>
      </c>
      <c r="S1763" s="16">
        <f t="shared" si="390"/>
        <v>0</v>
      </c>
      <c r="T1763" s="16">
        <f t="shared" si="391"/>
        <v>10500</v>
      </c>
      <c r="U1763" s="16" t="s">
        <v>2136</v>
      </c>
      <c r="V1763" s="19">
        <v>46329</v>
      </c>
      <c r="W1763" s="142" t="s">
        <v>2199</v>
      </c>
    </row>
    <row r="1764" spans="1:23" x14ac:dyDescent="0.3">
      <c r="A1764" s="1"/>
      <c r="B1764" s="1"/>
      <c r="C1764" s="1"/>
      <c r="D1764" s="1"/>
      <c r="E1764" s="16" t="s">
        <v>123</v>
      </c>
      <c r="F1764" s="16" t="s">
        <v>1861</v>
      </c>
      <c r="G1764" s="16">
        <v>900</v>
      </c>
      <c r="H1764" s="16" t="s">
        <v>111</v>
      </c>
      <c r="I1764" s="16">
        <v>8</v>
      </c>
      <c r="J1764" s="16">
        <f t="shared" si="361"/>
        <v>7200</v>
      </c>
      <c r="K1764" s="16">
        <v>4</v>
      </c>
      <c r="L1764" s="16" t="s">
        <v>53</v>
      </c>
      <c r="M1764" s="16" t="s">
        <v>91</v>
      </c>
      <c r="N1764" s="16" t="s">
        <v>1966</v>
      </c>
      <c r="O1764" s="16">
        <v>900</v>
      </c>
      <c r="P1764" s="16">
        <v>8</v>
      </c>
      <c r="Q1764" s="16">
        <f t="shared" si="389"/>
        <v>7200</v>
      </c>
      <c r="R1764" s="18">
        <v>0</v>
      </c>
      <c r="S1764" s="16">
        <f t="shared" si="390"/>
        <v>0</v>
      </c>
      <c r="T1764" s="16">
        <f t="shared" si="391"/>
        <v>7200</v>
      </c>
      <c r="U1764" s="16" t="s">
        <v>2136</v>
      </c>
      <c r="V1764" s="19">
        <v>46329</v>
      </c>
      <c r="W1764" s="142" t="s">
        <v>2199</v>
      </c>
    </row>
    <row r="1765" spans="1:23" x14ac:dyDescent="0.3">
      <c r="A1765" s="1"/>
      <c r="B1765" s="1"/>
      <c r="C1765" s="1"/>
      <c r="D1765" s="1"/>
      <c r="E1765" s="16" t="s">
        <v>123</v>
      </c>
      <c r="F1765" s="16" t="s">
        <v>1862</v>
      </c>
      <c r="G1765" s="16">
        <v>900</v>
      </c>
      <c r="H1765" s="16" t="s">
        <v>111</v>
      </c>
      <c r="I1765" s="16">
        <v>23</v>
      </c>
      <c r="J1765" s="16">
        <f t="shared" si="361"/>
        <v>20700</v>
      </c>
      <c r="K1765" s="16"/>
      <c r="L1765" s="16"/>
      <c r="M1765" s="16"/>
      <c r="N1765" s="16"/>
      <c r="O1765" s="16">
        <v>900</v>
      </c>
      <c r="P1765" s="16">
        <v>23</v>
      </c>
      <c r="Q1765" s="16">
        <f t="shared" si="389"/>
        <v>20700</v>
      </c>
      <c r="R1765" s="18">
        <v>0</v>
      </c>
      <c r="S1765" s="16">
        <f t="shared" si="390"/>
        <v>0</v>
      </c>
      <c r="T1765" s="16">
        <f t="shared" si="391"/>
        <v>20700</v>
      </c>
      <c r="U1765" s="16" t="s">
        <v>2136</v>
      </c>
      <c r="V1765" s="19">
        <v>46329</v>
      </c>
      <c r="W1765" s="142" t="s">
        <v>2199</v>
      </c>
    </row>
    <row r="1766" spans="1:23" x14ac:dyDescent="0.3">
      <c r="A1766" s="1"/>
      <c r="B1766" s="1"/>
      <c r="C1766" s="1"/>
      <c r="D1766" s="1"/>
      <c r="E1766" s="1"/>
      <c r="F1766" s="124" t="s">
        <v>39</v>
      </c>
      <c r="G1766" s="1"/>
      <c r="H1766" s="1"/>
      <c r="I1766" s="1"/>
      <c r="J1766" s="124">
        <f>SUM(J1758:J1765)</f>
        <v>554450</v>
      </c>
      <c r="K1766" s="1"/>
      <c r="L1766" s="1"/>
      <c r="M1766" s="1"/>
      <c r="N1766" s="1"/>
      <c r="O1766" s="1"/>
      <c r="P1766" s="1"/>
      <c r="Q1766" s="1"/>
      <c r="R1766" s="1"/>
      <c r="S1766" s="1"/>
      <c r="T1766" s="1"/>
      <c r="U1766" s="1"/>
      <c r="V1766" s="1"/>
      <c r="W1766" s="142"/>
    </row>
    <row r="1767" spans="1:23" x14ac:dyDescent="0.3">
      <c r="A1767" s="1"/>
      <c r="B1767" s="1"/>
      <c r="C1767" s="1"/>
      <c r="D1767" s="1"/>
      <c r="E1767" s="1"/>
      <c r="F1767" s="124" t="s">
        <v>599</v>
      </c>
      <c r="G1767" s="1"/>
      <c r="H1767" s="1"/>
      <c r="I1767" s="1"/>
      <c r="J1767" s="124">
        <f>J1766*0/100</f>
        <v>0</v>
      </c>
      <c r="K1767" s="1"/>
      <c r="L1767" s="1"/>
      <c r="M1767" s="1"/>
      <c r="N1767" s="1"/>
      <c r="O1767" s="1"/>
      <c r="P1767" s="1"/>
      <c r="Q1767" s="1"/>
      <c r="R1767" s="1"/>
      <c r="S1767" s="1"/>
      <c r="T1767" s="1"/>
      <c r="U1767" s="1"/>
      <c r="V1767" s="1"/>
      <c r="W1767" s="142"/>
    </row>
    <row r="1768" spans="1:23" x14ac:dyDescent="0.3">
      <c r="A1768" s="1"/>
      <c r="B1768" s="1"/>
      <c r="C1768" s="1"/>
      <c r="D1768" s="1"/>
      <c r="E1768" s="1"/>
      <c r="F1768" s="124" t="s">
        <v>41</v>
      </c>
      <c r="G1768" s="1"/>
      <c r="H1768" s="1"/>
      <c r="I1768" s="1"/>
      <c r="J1768" s="124">
        <f>SUM(J1766:J1767)</f>
        <v>554450</v>
      </c>
      <c r="K1768" s="1"/>
      <c r="L1768" s="1"/>
      <c r="M1768" s="1"/>
      <c r="N1768" s="1"/>
      <c r="O1768" s="1"/>
      <c r="P1768" s="1"/>
      <c r="Q1768" s="1"/>
      <c r="R1768" s="1"/>
      <c r="S1768" s="1"/>
      <c r="T1768" s="1">
        <f>SUM(T1758:T1767)</f>
        <v>441654</v>
      </c>
      <c r="U1768" s="1"/>
      <c r="V1768" s="1"/>
      <c r="W1768" s="142"/>
    </row>
    <row r="1769" spans="1:23" x14ac:dyDescent="0.3">
      <c r="A1769" s="1"/>
      <c r="B1769" s="1"/>
      <c r="C1769" s="1"/>
      <c r="D1769" s="1"/>
      <c r="E1769" s="1"/>
      <c r="F1769" s="1"/>
      <c r="G1769" s="1"/>
      <c r="H1769" s="1"/>
      <c r="I1769" s="1"/>
      <c r="J1769" s="1"/>
      <c r="K1769" s="1"/>
      <c r="L1769" s="1"/>
      <c r="M1769" s="1"/>
      <c r="N1769" s="1"/>
      <c r="O1769" s="1"/>
      <c r="P1769" s="1"/>
      <c r="Q1769" s="1"/>
      <c r="R1769" s="1"/>
      <c r="S1769" s="1"/>
      <c r="T1769" s="1"/>
      <c r="U1769" s="1"/>
      <c r="V1769" s="1"/>
      <c r="W1769" s="142"/>
    </row>
    <row r="1770" spans="1:23" ht="25.2" x14ac:dyDescent="0.3">
      <c r="A1770" s="16">
        <v>157</v>
      </c>
      <c r="B1770" s="16">
        <v>8100022449</v>
      </c>
      <c r="C1770" s="19">
        <v>46054</v>
      </c>
      <c r="D1770" s="16" t="s">
        <v>43</v>
      </c>
      <c r="E1770" s="16" t="s">
        <v>123</v>
      </c>
      <c r="F1770" s="39" t="s">
        <v>1864</v>
      </c>
      <c r="G1770" s="16">
        <v>1500</v>
      </c>
      <c r="H1770" s="16" t="s">
        <v>111</v>
      </c>
      <c r="I1770" s="16">
        <v>25</v>
      </c>
      <c r="J1770" s="16">
        <f t="shared" si="361"/>
        <v>37500</v>
      </c>
      <c r="K1770" s="16"/>
      <c r="L1770" s="16"/>
      <c r="M1770" s="16"/>
      <c r="N1770" s="16"/>
      <c r="O1770" s="16">
        <v>990</v>
      </c>
      <c r="P1770" s="16">
        <v>25</v>
      </c>
      <c r="Q1770" s="16">
        <f>O1770*P1770</f>
        <v>24750</v>
      </c>
      <c r="R1770" s="18">
        <v>0.18</v>
      </c>
      <c r="S1770" s="16">
        <f>Q1770*R1770</f>
        <v>4455</v>
      </c>
      <c r="T1770" s="16">
        <f>Q1770+S1770</f>
        <v>29205</v>
      </c>
      <c r="U1770" s="16" t="s">
        <v>1962</v>
      </c>
      <c r="V1770" s="19">
        <v>46055</v>
      </c>
      <c r="W1770" s="142" t="s">
        <v>2125</v>
      </c>
    </row>
    <row r="1771" spans="1:23" ht="50.4" x14ac:dyDescent="0.3">
      <c r="A1771" s="1"/>
      <c r="B1771" s="1"/>
      <c r="C1771" s="1"/>
      <c r="D1771" s="1"/>
      <c r="E1771" s="16" t="s">
        <v>127</v>
      </c>
      <c r="F1771" s="39" t="s">
        <v>1865</v>
      </c>
      <c r="G1771" s="16">
        <v>1500</v>
      </c>
      <c r="H1771" s="16" t="s">
        <v>111</v>
      </c>
      <c r="I1771" s="16">
        <v>95</v>
      </c>
      <c r="J1771" s="16">
        <f t="shared" si="361"/>
        <v>142500</v>
      </c>
      <c r="K1771" s="16">
        <v>1500</v>
      </c>
      <c r="L1771" s="16" t="s">
        <v>111</v>
      </c>
      <c r="M1771" s="16" t="s">
        <v>91</v>
      </c>
      <c r="N1771" s="16" t="s">
        <v>1941</v>
      </c>
      <c r="O1771" s="16">
        <v>1500</v>
      </c>
      <c r="P1771" s="16">
        <v>95</v>
      </c>
      <c r="Q1771" s="16">
        <f>O1771*P1771</f>
        <v>142500</v>
      </c>
      <c r="R1771" s="18">
        <v>0.18</v>
      </c>
      <c r="S1771" s="16">
        <f>Q1771*R1771</f>
        <v>25650</v>
      </c>
      <c r="T1771" s="16">
        <f>Q1771+S1771</f>
        <v>168150</v>
      </c>
      <c r="U1771" s="16" t="s">
        <v>1962</v>
      </c>
      <c r="V1771" s="19">
        <v>46055</v>
      </c>
      <c r="W1771" s="142" t="s">
        <v>2125</v>
      </c>
    </row>
    <row r="1772" spans="1:23" x14ac:dyDescent="0.3">
      <c r="A1772" s="1"/>
      <c r="B1772" s="1"/>
      <c r="C1772" s="1"/>
      <c r="D1772" s="1"/>
      <c r="E1772" s="1"/>
      <c r="F1772" s="124" t="s">
        <v>39</v>
      </c>
      <c r="G1772" s="1"/>
      <c r="H1772" s="1"/>
      <c r="I1772" s="1"/>
      <c r="J1772" s="124">
        <f>SUM(J1770:J1771)</f>
        <v>180000</v>
      </c>
      <c r="K1772" s="1"/>
      <c r="L1772" s="1"/>
      <c r="M1772" s="1"/>
      <c r="N1772" s="1"/>
      <c r="O1772" s="1"/>
      <c r="P1772" s="1"/>
      <c r="Q1772" s="1"/>
      <c r="R1772" s="1"/>
      <c r="S1772" s="1"/>
      <c r="T1772" s="1"/>
      <c r="U1772" s="1"/>
      <c r="V1772" s="1"/>
      <c r="W1772" s="142"/>
    </row>
    <row r="1773" spans="1:23" x14ac:dyDescent="0.3">
      <c r="A1773" s="1"/>
      <c r="B1773" s="1"/>
      <c r="C1773" s="1"/>
      <c r="D1773" s="1"/>
      <c r="E1773" s="1"/>
      <c r="F1773" s="124" t="s">
        <v>187</v>
      </c>
      <c r="G1773" s="1"/>
      <c r="H1773" s="1"/>
      <c r="I1773" s="1"/>
      <c r="J1773" s="124">
        <f>J1772*18/100</f>
        <v>32400</v>
      </c>
      <c r="K1773" s="1"/>
      <c r="L1773" s="1"/>
      <c r="M1773" s="1"/>
      <c r="N1773" s="1"/>
      <c r="O1773" s="1"/>
      <c r="P1773" s="1"/>
      <c r="Q1773" s="1"/>
      <c r="R1773" s="1"/>
      <c r="S1773" s="1"/>
      <c r="T1773" s="1"/>
      <c r="U1773" s="1"/>
      <c r="V1773" s="1"/>
      <c r="W1773" s="142"/>
    </row>
    <row r="1774" spans="1:23" x14ac:dyDescent="0.3">
      <c r="A1774" s="1"/>
      <c r="B1774" s="1"/>
      <c r="C1774" s="1"/>
      <c r="D1774" s="1"/>
      <c r="E1774" s="1"/>
      <c r="F1774" s="124" t="s">
        <v>41</v>
      </c>
      <c r="G1774" s="1"/>
      <c r="H1774" s="1"/>
      <c r="I1774" s="1"/>
      <c r="J1774" s="124">
        <f>SUM(J1772:J1773)</f>
        <v>212400</v>
      </c>
      <c r="K1774" s="1"/>
      <c r="L1774" s="1"/>
      <c r="M1774" s="1"/>
      <c r="N1774" s="1"/>
      <c r="O1774" s="1"/>
      <c r="P1774" s="1"/>
      <c r="Q1774" s="1"/>
      <c r="R1774" s="1"/>
      <c r="S1774" s="1"/>
      <c r="T1774" s="1">
        <f>SUM(T1770:T1773)</f>
        <v>197355</v>
      </c>
      <c r="U1774" s="1"/>
      <c r="V1774" s="1"/>
      <c r="W1774" s="142"/>
    </row>
    <row r="1775" spans="1:23" x14ac:dyDescent="0.3">
      <c r="A1775" s="1"/>
      <c r="B1775" s="1"/>
      <c r="C1775" s="1"/>
      <c r="D1775" s="1"/>
      <c r="E1775" s="1"/>
      <c r="F1775" s="1"/>
      <c r="G1775" s="1"/>
      <c r="H1775" s="1"/>
      <c r="I1775" s="1"/>
      <c r="J1775" s="1"/>
      <c r="K1775" s="1"/>
      <c r="L1775" s="1"/>
      <c r="M1775" s="1"/>
      <c r="N1775" s="1"/>
      <c r="O1775" s="1"/>
      <c r="P1775" s="1"/>
      <c r="Q1775" s="1"/>
      <c r="R1775" s="1"/>
      <c r="S1775" s="1"/>
      <c r="T1775" s="1"/>
      <c r="U1775" s="1"/>
      <c r="V1775" s="1"/>
      <c r="W1775" s="142"/>
    </row>
    <row r="1776" spans="1:23" ht="25.2" x14ac:dyDescent="0.3">
      <c r="A1776" s="16">
        <v>158</v>
      </c>
      <c r="B1776" s="16">
        <v>8100022452</v>
      </c>
      <c r="C1776" s="19">
        <v>46054</v>
      </c>
      <c r="D1776" s="38" t="s">
        <v>1867</v>
      </c>
      <c r="E1776" s="16" t="s">
        <v>127</v>
      </c>
      <c r="F1776" s="39" t="s">
        <v>1868</v>
      </c>
      <c r="G1776" s="16">
        <v>2</v>
      </c>
      <c r="H1776" s="16" t="s">
        <v>28</v>
      </c>
      <c r="I1776" s="16">
        <v>13200</v>
      </c>
      <c r="J1776" s="16">
        <f t="shared" si="361"/>
        <v>26400</v>
      </c>
      <c r="K1776" s="16"/>
      <c r="L1776" s="16"/>
      <c r="M1776" s="16"/>
      <c r="N1776" s="16"/>
      <c r="O1776" s="16">
        <v>2</v>
      </c>
      <c r="P1776" s="16">
        <v>13200</v>
      </c>
      <c r="Q1776" s="16">
        <f>O1776*P1776</f>
        <v>26400</v>
      </c>
      <c r="R1776" s="18">
        <v>0.18</v>
      </c>
      <c r="S1776" s="16">
        <f>Q1776*R1776</f>
        <v>4752</v>
      </c>
      <c r="T1776" s="16">
        <f>Q1776+S1776</f>
        <v>31152</v>
      </c>
      <c r="U1776" s="16" t="s">
        <v>1886</v>
      </c>
      <c r="V1776" s="19">
        <v>46296</v>
      </c>
      <c r="W1776" s="142" t="s">
        <v>1945</v>
      </c>
    </row>
    <row r="1777" spans="1:23" ht="25.2" x14ac:dyDescent="0.3">
      <c r="A1777" s="1"/>
      <c r="B1777" s="1"/>
      <c r="C1777" s="1"/>
      <c r="D1777" s="1"/>
      <c r="E1777" s="16" t="s">
        <v>123</v>
      </c>
      <c r="F1777" s="39" t="s">
        <v>1869</v>
      </c>
      <c r="G1777" s="16">
        <v>1</v>
      </c>
      <c r="H1777" s="16" t="s">
        <v>87</v>
      </c>
      <c r="I1777" s="16">
        <v>3500</v>
      </c>
      <c r="J1777" s="16">
        <f t="shared" si="361"/>
        <v>3500</v>
      </c>
      <c r="K1777" s="16"/>
      <c r="L1777" s="16"/>
      <c r="M1777" s="16"/>
      <c r="N1777" s="16"/>
      <c r="O1777" s="16">
        <v>1</v>
      </c>
      <c r="P1777" s="16">
        <v>3500</v>
      </c>
      <c r="Q1777" s="16">
        <f>O1777*P1777</f>
        <v>3500</v>
      </c>
      <c r="R1777" s="18">
        <v>0.18</v>
      </c>
      <c r="S1777" s="16">
        <f>Q1777*R1777</f>
        <v>630</v>
      </c>
      <c r="T1777" s="16">
        <f>Q1777+S1777</f>
        <v>4130</v>
      </c>
      <c r="U1777" s="121" t="s">
        <v>1887</v>
      </c>
      <c r="V1777" s="123">
        <v>46357</v>
      </c>
      <c r="W1777" s="142" t="s">
        <v>1945</v>
      </c>
    </row>
    <row r="1778" spans="1:23" x14ac:dyDescent="0.3">
      <c r="A1778" s="1"/>
      <c r="B1778" s="1"/>
      <c r="C1778" s="1"/>
      <c r="D1778" s="1"/>
      <c r="E1778" s="1"/>
      <c r="F1778" s="124" t="s">
        <v>39</v>
      </c>
      <c r="G1778" s="1"/>
      <c r="H1778" s="1"/>
      <c r="I1778" s="1"/>
      <c r="J1778" s="124">
        <f>SUM(J1776:J1777)</f>
        <v>29900</v>
      </c>
      <c r="K1778" s="1"/>
      <c r="L1778" s="1"/>
      <c r="M1778" s="1"/>
      <c r="N1778" s="1"/>
      <c r="O1778" s="1"/>
      <c r="P1778" s="1"/>
      <c r="Q1778" s="1"/>
      <c r="R1778" s="1"/>
      <c r="S1778" s="1"/>
      <c r="T1778" s="1"/>
      <c r="U1778" s="1"/>
      <c r="V1778" s="1"/>
      <c r="W1778" s="142"/>
    </row>
    <row r="1779" spans="1:23" x14ac:dyDescent="0.3">
      <c r="A1779" s="1"/>
      <c r="B1779" s="1"/>
      <c r="C1779" s="1"/>
      <c r="D1779" s="1"/>
      <c r="E1779" s="1"/>
      <c r="F1779" s="124" t="s">
        <v>187</v>
      </c>
      <c r="G1779" s="1"/>
      <c r="H1779" s="1"/>
      <c r="I1779" s="1"/>
      <c r="J1779" s="124">
        <f>J1778*18/100</f>
        <v>5382</v>
      </c>
      <c r="K1779" s="1"/>
      <c r="L1779" s="1"/>
      <c r="M1779" s="1"/>
      <c r="N1779" s="1"/>
      <c r="O1779" s="1"/>
      <c r="P1779" s="1"/>
      <c r="Q1779" s="1"/>
      <c r="R1779" s="1"/>
      <c r="S1779" s="1"/>
      <c r="T1779" s="1"/>
      <c r="U1779" s="1"/>
      <c r="V1779" s="1"/>
      <c r="W1779" s="142"/>
    </row>
    <row r="1780" spans="1:23" x14ac:dyDescent="0.3">
      <c r="A1780" s="1"/>
      <c r="B1780" s="1"/>
      <c r="C1780" s="1"/>
      <c r="D1780" s="1"/>
      <c r="E1780" s="1"/>
      <c r="F1780" s="124" t="s">
        <v>41</v>
      </c>
      <c r="G1780" s="1"/>
      <c r="H1780" s="1"/>
      <c r="I1780" s="1"/>
      <c r="J1780" s="124">
        <f>SUM(J1778:J1779)</f>
        <v>35282</v>
      </c>
      <c r="K1780" s="1"/>
      <c r="L1780" s="1"/>
      <c r="M1780" s="1"/>
      <c r="N1780" s="1"/>
      <c r="O1780" s="1"/>
      <c r="P1780" s="1"/>
      <c r="Q1780" s="1"/>
      <c r="R1780" s="1"/>
      <c r="S1780" s="1"/>
      <c r="T1780" s="1">
        <f>SUM(T1776:T1779)</f>
        <v>35282</v>
      </c>
      <c r="U1780" s="1"/>
      <c r="V1780" s="1"/>
      <c r="W1780" s="142"/>
    </row>
    <row r="1781" spans="1:23" x14ac:dyDescent="0.3">
      <c r="A1781" s="1"/>
      <c r="B1781" s="1"/>
      <c r="C1781" s="1"/>
      <c r="D1781" s="1"/>
      <c r="E1781" s="1"/>
      <c r="F1781" s="1"/>
      <c r="G1781" s="1"/>
      <c r="H1781" s="1"/>
      <c r="I1781" s="1"/>
      <c r="J1781" s="1"/>
      <c r="K1781" s="1"/>
      <c r="L1781" s="1"/>
      <c r="M1781" s="1"/>
      <c r="N1781" s="1"/>
      <c r="O1781" s="1"/>
      <c r="P1781" s="1"/>
      <c r="Q1781" s="1"/>
      <c r="R1781" s="1"/>
      <c r="S1781" s="1"/>
      <c r="T1781" s="1"/>
      <c r="U1781" s="1"/>
      <c r="V1781" s="1"/>
      <c r="W1781" s="142"/>
    </row>
    <row r="1782" spans="1:23" ht="25.2" x14ac:dyDescent="0.3">
      <c r="A1782" s="16">
        <v>159</v>
      </c>
      <c r="B1782" s="16">
        <v>9200155357</v>
      </c>
      <c r="C1782" s="19">
        <v>46143</v>
      </c>
      <c r="D1782" s="16" t="s">
        <v>43</v>
      </c>
      <c r="E1782" s="1" t="s">
        <v>123</v>
      </c>
      <c r="F1782" s="102" t="s">
        <v>1873</v>
      </c>
      <c r="G1782" s="101">
        <v>2</v>
      </c>
      <c r="H1782" s="101" t="s">
        <v>28</v>
      </c>
      <c r="I1782" s="101">
        <v>3099</v>
      </c>
      <c r="J1782" s="101">
        <f t="shared" si="361"/>
        <v>6198</v>
      </c>
      <c r="K1782" s="26" t="s">
        <v>2393</v>
      </c>
      <c r="L1782" s="1"/>
      <c r="M1782" s="1"/>
      <c r="N1782" s="1"/>
      <c r="O1782" s="1"/>
      <c r="P1782" s="1"/>
      <c r="Q1782" s="1"/>
      <c r="R1782" s="1"/>
      <c r="S1782" s="1"/>
      <c r="T1782" s="1"/>
      <c r="U1782" s="1"/>
      <c r="V1782" s="1"/>
      <c r="W1782" s="142"/>
    </row>
    <row r="1783" spans="1:23" x14ac:dyDescent="0.3">
      <c r="A1783" s="1"/>
      <c r="B1783" s="1"/>
      <c r="C1783" s="1"/>
      <c r="D1783" s="1"/>
      <c r="E1783" s="16" t="s">
        <v>123</v>
      </c>
      <c r="F1783" s="16" t="s">
        <v>1874</v>
      </c>
      <c r="G1783" s="16">
        <v>2</v>
      </c>
      <c r="H1783" s="16" t="s">
        <v>28</v>
      </c>
      <c r="I1783" s="16">
        <v>3360</v>
      </c>
      <c r="J1783" s="16">
        <f t="shared" si="361"/>
        <v>6720</v>
      </c>
      <c r="K1783" s="16">
        <v>2</v>
      </c>
      <c r="L1783" s="16" t="s">
        <v>28</v>
      </c>
      <c r="M1783" s="16" t="s">
        <v>91</v>
      </c>
      <c r="N1783" s="16" t="s">
        <v>1888</v>
      </c>
      <c r="O1783" s="16">
        <v>2</v>
      </c>
      <c r="P1783" s="16">
        <v>3360</v>
      </c>
      <c r="Q1783" s="16">
        <f>O1783*P1783</f>
        <v>6720</v>
      </c>
      <c r="R1783" s="18">
        <v>0</v>
      </c>
      <c r="S1783" s="16">
        <f>Q1783*R1783</f>
        <v>0</v>
      </c>
      <c r="T1783" s="16">
        <f>Q1783+S1783</f>
        <v>6720</v>
      </c>
      <c r="U1783" s="16" t="s">
        <v>2184</v>
      </c>
      <c r="V1783" s="19" t="s">
        <v>2180</v>
      </c>
      <c r="W1783" s="142" t="s">
        <v>2231</v>
      </c>
    </row>
    <row r="1784" spans="1:23" ht="25.2" x14ac:dyDescent="0.3">
      <c r="A1784" s="1"/>
      <c r="B1784" s="1"/>
      <c r="C1784" s="1"/>
      <c r="D1784" s="1"/>
      <c r="E1784" s="16" t="s">
        <v>123</v>
      </c>
      <c r="F1784" s="39" t="s">
        <v>1875</v>
      </c>
      <c r="G1784" s="16">
        <v>2</v>
      </c>
      <c r="H1784" s="16" t="s">
        <v>28</v>
      </c>
      <c r="I1784" s="16">
        <v>2515</v>
      </c>
      <c r="J1784" s="16">
        <f t="shared" si="361"/>
        <v>5030</v>
      </c>
      <c r="K1784" s="16">
        <v>2</v>
      </c>
      <c r="L1784" s="16" t="s">
        <v>28</v>
      </c>
      <c r="M1784" s="16" t="s">
        <v>91</v>
      </c>
      <c r="N1784" s="16" t="s">
        <v>1888</v>
      </c>
      <c r="O1784" s="16">
        <v>2</v>
      </c>
      <c r="P1784" s="16">
        <v>2515</v>
      </c>
      <c r="Q1784" s="16">
        <f>O1784*P1784</f>
        <v>5030</v>
      </c>
      <c r="R1784" s="18">
        <v>0</v>
      </c>
      <c r="S1784" s="16">
        <f>Q1784*R1784</f>
        <v>0</v>
      </c>
      <c r="T1784" s="16">
        <f>Q1784+S1784</f>
        <v>5030</v>
      </c>
      <c r="U1784" s="16" t="s">
        <v>2184</v>
      </c>
      <c r="V1784" s="19" t="s">
        <v>2180</v>
      </c>
      <c r="W1784" s="142" t="s">
        <v>2231</v>
      </c>
    </row>
    <row r="1785" spans="1:23" x14ac:dyDescent="0.3">
      <c r="A1785" s="1"/>
      <c r="B1785" s="1"/>
      <c r="C1785" s="1"/>
      <c r="D1785" s="1"/>
      <c r="E1785" s="1"/>
      <c r="F1785" s="124" t="s">
        <v>39</v>
      </c>
      <c r="G1785" s="1"/>
      <c r="H1785" s="1"/>
      <c r="I1785" s="1"/>
      <c r="J1785" s="124">
        <f>SUM(J1782:J1784)</f>
        <v>17948</v>
      </c>
      <c r="K1785" s="1"/>
      <c r="L1785" s="1"/>
      <c r="M1785" s="1"/>
      <c r="N1785" s="1"/>
      <c r="O1785" s="1"/>
      <c r="P1785" s="1"/>
      <c r="Q1785" s="1"/>
      <c r="R1785" s="1"/>
      <c r="S1785" s="1"/>
      <c r="T1785" s="1"/>
      <c r="U1785" s="1"/>
      <c r="V1785" s="1"/>
      <c r="W1785" s="142"/>
    </row>
    <row r="1786" spans="1:23" x14ac:dyDescent="0.3">
      <c r="A1786" s="1"/>
      <c r="B1786" s="1"/>
      <c r="C1786" s="1"/>
      <c r="D1786" s="1"/>
      <c r="E1786" s="1"/>
      <c r="F1786" s="124" t="s">
        <v>599</v>
      </c>
      <c r="G1786" s="1"/>
      <c r="H1786" s="1"/>
      <c r="I1786" s="1"/>
      <c r="J1786" s="124">
        <f>J1785*0/100</f>
        <v>0</v>
      </c>
      <c r="K1786" s="1"/>
      <c r="L1786" s="1"/>
      <c r="M1786" s="1"/>
      <c r="N1786" s="1"/>
      <c r="O1786" s="1"/>
      <c r="P1786" s="1"/>
      <c r="Q1786" s="1"/>
      <c r="R1786" s="1"/>
      <c r="S1786" s="1"/>
      <c r="T1786" s="1">
        <f>SUM(T1783:T1785)</f>
        <v>11750</v>
      </c>
      <c r="U1786" s="1"/>
      <c r="V1786" s="1"/>
      <c r="W1786" s="142"/>
    </row>
    <row r="1787" spans="1:23" x14ac:dyDescent="0.3">
      <c r="A1787" s="1"/>
      <c r="B1787" s="1"/>
      <c r="C1787" s="1"/>
      <c r="D1787" s="1"/>
      <c r="E1787" s="1"/>
      <c r="F1787" s="124" t="s">
        <v>41</v>
      </c>
      <c r="G1787" s="1"/>
      <c r="H1787" s="1"/>
      <c r="I1787" s="1"/>
      <c r="J1787" s="124">
        <f>SUM(J1785:J1786)</f>
        <v>17948</v>
      </c>
      <c r="K1787" s="1"/>
      <c r="L1787" s="1"/>
      <c r="M1787" s="1"/>
      <c r="N1787" s="1"/>
      <c r="O1787" s="1"/>
      <c r="P1787" s="1"/>
      <c r="Q1787" s="1"/>
      <c r="R1787" s="1"/>
      <c r="S1787" s="1"/>
      <c r="T1787" s="1"/>
      <c r="U1787" s="1"/>
      <c r="V1787" s="1"/>
      <c r="W1787" s="142"/>
    </row>
    <row r="1788" spans="1:23" x14ac:dyDescent="0.3">
      <c r="A1788" s="1"/>
      <c r="B1788" s="1"/>
      <c r="C1788" s="1"/>
      <c r="D1788" s="1"/>
      <c r="E1788" s="1"/>
      <c r="F1788" s="1"/>
      <c r="G1788" s="1"/>
      <c r="H1788" s="1"/>
      <c r="I1788" s="1"/>
      <c r="J1788" s="1">
        <f t="shared" si="361"/>
        <v>0</v>
      </c>
      <c r="K1788" s="1"/>
      <c r="L1788" s="1"/>
      <c r="M1788" s="1"/>
      <c r="N1788" s="1"/>
      <c r="O1788" s="1"/>
      <c r="P1788" s="1"/>
      <c r="Q1788" s="1"/>
      <c r="R1788" s="1"/>
      <c r="S1788" s="1"/>
      <c r="T1788" s="1"/>
      <c r="U1788" s="1"/>
      <c r="V1788" s="1"/>
      <c r="W1788" s="142"/>
    </row>
    <row r="1789" spans="1:23" ht="25.2" x14ac:dyDescent="0.3">
      <c r="A1789" s="16">
        <v>160</v>
      </c>
      <c r="B1789" s="16">
        <v>9200155658</v>
      </c>
      <c r="C1789" s="19">
        <v>46266</v>
      </c>
      <c r="D1789" s="16" t="s">
        <v>43</v>
      </c>
      <c r="E1789" s="16" t="s">
        <v>123</v>
      </c>
      <c r="F1789" s="39" t="s">
        <v>904</v>
      </c>
      <c r="G1789" s="16">
        <v>1</v>
      </c>
      <c r="H1789" s="16" t="s">
        <v>28</v>
      </c>
      <c r="I1789" s="16">
        <v>15200</v>
      </c>
      <c r="J1789" s="16">
        <f t="shared" si="361"/>
        <v>15200</v>
      </c>
      <c r="K1789" s="16"/>
      <c r="L1789" s="16"/>
      <c r="M1789" s="16"/>
      <c r="N1789" s="16"/>
      <c r="O1789" s="16">
        <v>1</v>
      </c>
      <c r="P1789" s="16">
        <v>15200</v>
      </c>
      <c r="Q1789" s="16">
        <f>O1789*P1789</f>
        <v>15200</v>
      </c>
      <c r="R1789" s="18">
        <v>0</v>
      </c>
      <c r="S1789" s="16">
        <f>Q1789*R1789</f>
        <v>0</v>
      </c>
      <c r="T1789" s="16">
        <f>Q1789+S1789</f>
        <v>15200</v>
      </c>
      <c r="U1789" s="16" t="s">
        <v>2171</v>
      </c>
      <c r="V1789" s="19" t="s">
        <v>2167</v>
      </c>
      <c r="W1789" s="142" t="s">
        <v>2231</v>
      </c>
    </row>
    <row r="1790" spans="1:23" ht="37.799999999999997" x14ac:dyDescent="0.3">
      <c r="A1790" s="85"/>
      <c r="B1790" s="85"/>
      <c r="C1790" s="85"/>
      <c r="D1790" s="85"/>
      <c r="E1790" s="16" t="s">
        <v>123</v>
      </c>
      <c r="F1790" s="39" t="s">
        <v>1877</v>
      </c>
      <c r="G1790" s="16">
        <v>1</v>
      </c>
      <c r="H1790" s="16" t="s">
        <v>28</v>
      </c>
      <c r="I1790" s="16">
        <v>6800</v>
      </c>
      <c r="J1790" s="16">
        <f t="shared" si="361"/>
        <v>6800</v>
      </c>
      <c r="K1790" s="16">
        <v>1</v>
      </c>
      <c r="L1790" s="16" t="s">
        <v>28</v>
      </c>
      <c r="M1790" s="16" t="s">
        <v>91</v>
      </c>
      <c r="N1790" s="16" t="s">
        <v>1928</v>
      </c>
      <c r="O1790" s="16">
        <v>1</v>
      </c>
      <c r="P1790" s="16">
        <v>6800</v>
      </c>
      <c r="Q1790" s="16">
        <f t="shared" ref="Q1790:Q1795" si="392">O1790*P1790</f>
        <v>6800</v>
      </c>
      <c r="R1790" s="18">
        <v>0</v>
      </c>
      <c r="S1790" s="16">
        <f t="shared" ref="S1790:S1795" si="393">Q1790*R1790</f>
        <v>0</v>
      </c>
      <c r="T1790" s="16">
        <f t="shared" ref="T1790:T1795" si="394">Q1790+S1790</f>
        <v>6800</v>
      </c>
      <c r="U1790" s="16" t="s">
        <v>2171</v>
      </c>
      <c r="V1790" s="19" t="s">
        <v>2167</v>
      </c>
      <c r="W1790" s="142" t="s">
        <v>2231</v>
      </c>
    </row>
    <row r="1791" spans="1:23" ht="37.799999999999997" x14ac:dyDescent="0.3">
      <c r="A1791" s="85"/>
      <c r="B1791" s="85"/>
      <c r="C1791" s="85"/>
      <c r="D1791" s="85"/>
      <c r="E1791" s="16" t="s">
        <v>123</v>
      </c>
      <c r="F1791" s="39" t="s">
        <v>1878</v>
      </c>
      <c r="G1791" s="16">
        <v>1</v>
      </c>
      <c r="H1791" s="16" t="s">
        <v>87</v>
      </c>
      <c r="I1791" s="16">
        <v>22000</v>
      </c>
      <c r="J1791" s="16">
        <f t="shared" si="361"/>
        <v>22000</v>
      </c>
      <c r="K1791" s="16">
        <v>3</v>
      </c>
      <c r="L1791" s="16" t="s">
        <v>28</v>
      </c>
      <c r="M1791" s="16" t="s">
        <v>91</v>
      </c>
      <c r="N1791" s="16" t="s">
        <v>1927</v>
      </c>
      <c r="O1791" s="16">
        <v>1</v>
      </c>
      <c r="P1791" s="16">
        <v>22000</v>
      </c>
      <c r="Q1791" s="16">
        <f t="shared" si="392"/>
        <v>22000</v>
      </c>
      <c r="R1791" s="18">
        <v>0</v>
      </c>
      <c r="S1791" s="16">
        <f t="shared" si="393"/>
        <v>0</v>
      </c>
      <c r="T1791" s="16">
        <f t="shared" si="394"/>
        <v>22000</v>
      </c>
      <c r="U1791" s="16" t="s">
        <v>2171</v>
      </c>
      <c r="V1791" s="19" t="s">
        <v>2167</v>
      </c>
      <c r="W1791" s="142" t="s">
        <v>2231</v>
      </c>
    </row>
    <row r="1792" spans="1:23" ht="25.2" x14ac:dyDescent="0.3">
      <c r="A1792" s="85"/>
      <c r="B1792" s="85"/>
      <c r="C1792" s="85"/>
      <c r="D1792" s="85"/>
      <c r="E1792" s="16" t="s">
        <v>123</v>
      </c>
      <c r="F1792" s="39" t="s">
        <v>1879</v>
      </c>
      <c r="G1792" s="16">
        <v>2</v>
      </c>
      <c r="H1792" s="16" t="s">
        <v>87</v>
      </c>
      <c r="I1792" s="16">
        <v>8800</v>
      </c>
      <c r="J1792" s="16">
        <f t="shared" si="361"/>
        <v>17600</v>
      </c>
      <c r="K1792" s="16"/>
      <c r="L1792" s="16"/>
      <c r="M1792" s="16"/>
      <c r="N1792" s="16"/>
      <c r="O1792" s="16">
        <v>2</v>
      </c>
      <c r="P1792" s="16">
        <v>8800</v>
      </c>
      <c r="Q1792" s="16">
        <f t="shared" si="392"/>
        <v>17600</v>
      </c>
      <c r="R1792" s="18">
        <v>0</v>
      </c>
      <c r="S1792" s="16">
        <f t="shared" si="393"/>
        <v>0</v>
      </c>
      <c r="T1792" s="16">
        <f t="shared" si="394"/>
        <v>17600</v>
      </c>
      <c r="U1792" s="16" t="s">
        <v>2171</v>
      </c>
      <c r="V1792" s="19" t="s">
        <v>2167</v>
      </c>
      <c r="W1792" s="142" t="s">
        <v>2231</v>
      </c>
    </row>
    <row r="1793" spans="1:25" ht="25.2" x14ac:dyDescent="0.3">
      <c r="A1793" s="85"/>
      <c r="B1793" s="85"/>
      <c r="C1793" s="85"/>
      <c r="D1793" s="85"/>
      <c r="E1793" s="16" t="s">
        <v>123</v>
      </c>
      <c r="F1793" s="39" t="s">
        <v>1880</v>
      </c>
      <c r="G1793" s="16">
        <v>2</v>
      </c>
      <c r="H1793" s="16" t="s">
        <v>87</v>
      </c>
      <c r="I1793" s="16">
        <v>3200</v>
      </c>
      <c r="J1793" s="16">
        <f t="shared" si="361"/>
        <v>6400</v>
      </c>
      <c r="K1793" s="16"/>
      <c r="L1793" s="16"/>
      <c r="M1793" s="16"/>
      <c r="N1793" s="16"/>
      <c r="O1793" s="16">
        <v>2</v>
      </c>
      <c r="P1793" s="16">
        <v>3200</v>
      </c>
      <c r="Q1793" s="16">
        <f t="shared" si="392"/>
        <v>6400</v>
      </c>
      <c r="R1793" s="18">
        <v>0</v>
      </c>
      <c r="S1793" s="16">
        <f t="shared" si="393"/>
        <v>0</v>
      </c>
      <c r="T1793" s="16">
        <f t="shared" si="394"/>
        <v>6400</v>
      </c>
      <c r="U1793" s="16" t="s">
        <v>2171</v>
      </c>
      <c r="V1793" s="19" t="s">
        <v>2167</v>
      </c>
      <c r="W1793" s="142" t="s">
        <v>2231</v>
      </c>
    </row>
    <row r="1794" spans="1:25" ht="25.2" x14ac:dyDescent="0.3">
      <c r="A1794" s="85"/>
      <c r="B1794" s="119"/>
      <c r="C1794" s="119"/>
      <c r="D1794" s="85" t="s">
        <v>2408</v>
      </c>
      <c r="E1794" s="16" t="s">
        <v>123</v>
      </c>
      <c r="F1794" s="39" t="s">
        <v>1881</v>
      </c>
      <c r="G1794" s="16">
        <v>1</v>
      </c>
      <c r="H1794" s="16" t="s">
        <v>87</v>
      </c>
      <c r="I1794" s="16">
        <v>30000</v>
      </c>
      <c r="J1794" s="16">
        <f t="shared" si="361"/>
        <v>30000</v>
      </c>
      <c r="K1794" s="16">
        <v>2</v>
      </c>
      <c r="L1794" s="16" t="s">
        <v>28</v>
      </c>
      <c r="M1794" s="16" t="s">
        <v>91</v>
      </c>
      <c r="N1794" s="187" t="s">
        <v>2407</v>
      </c>
      <c r="O1794" s="16">
        <v>1</v>
      </c>
      <c r="P1794" s="173">
        <v>9643</v>
      </c>
      <c r="Q1794" s="16">
        <f t="shared" si="392"/>
        <v>9643</v>
      </c>
      <c r="R1794" s="18">
        <v>0</v>
      </c>
      <c r="S1794" s="16">
        <f t="shared" si="393"/>
        <v>0</v>
      </c>
      <c r="T1794" s="16">
        <f t="shared" si="394"/>
        <v>9643</v>
      </c>
      <c r="U1794" s="16" t="s">
        <v>2171</v>
      </c>
      <c r="V1794" s="19" t="s">
        <v>2167</v>
      </c>
      <c r="W1794" s="142" t="s">
        <v>2231</v>
      </c>
      <c r="X1794" s="119"/>
      <c r="Y1794" s="119"/>
    </row>
    <row r="1795" spans="1:25" x14ac:dyDescent="0.3">
      <c r="A1795" s="85"/>
      <c r="B1795" s="85"/>
      <c r="C1795" s="85"/>
      <c r="D1795" s="85"/>
      <c r="E1795" s="16" t="s">
        <v>123</v>
      </c>
      <c r="F1795" s="16" t="s">
        <v>1882</v>
      </c>
      <c r="G1795" s="16">
        <v>6</v>
      </c>
      <c r="H1795" s="16" t="s">
        <v>28</v>
      </c>
      <c r="I1795" s="16">
        <v>2800</v>
      </c>
      <c r="J1795" s="16">
        <f t="shared" si="361"/>
        <v>16800</v>
      </c>
      <c r="K1795" s="16">
        <v>6</v>
      </c>
      <c r="L1795" s="16" t="s">
        <v>28</v>
      </c>
      <c r="M1795" s="16" t="s">
        <v>91</v>
      </c>
      <c r="N1795" s="16" t="s">
        <v>1940</v>
      </c>
      <c r="O1795" s="16">
        <v>6</v>
      </c>
      <c r="P1795" s="16">
        <v>2800</v>
      </c>
      <c r="Q1795" s="16">
        <f t="shared" si="392"/>
        <v>16800</v>
      </c>
      <c r="R1795" s="18">
        <v>0</v>
      </c>
      <c r="S1795" s="16">
        <f t="shared" si="393"/>
        <v>0</v>
      </c>
      <c r="T1795" s="16">
        <f t="shared" si="394"/>
        <v>16800</v>
      </c>
      <c r="U1795" s="16" t="s">
        <v>2171</v>
      </c>
      <c r="V1795" s="19" t="s">
        <v>2167</v>
      </c>
      <c r="W1795" s="142" t="s">
        <v>2231</v>
      </c>
    </row>
    <row r="1796" spans="1:25" x14ac:dyDescent="0.3">
      <c r="A1796" s="1"/>
      <c r="B1796" s="1"/>
      <c r="C1796" s="1"/>
      <c r="D1796" s="1"/>
      <c r="E1796" s="1"/>
      <c r="F1796" s="124" t="s">
        <v>39</v>
      </c>
      <c r="G1796" s="1"/>
      <c r="H1796" s="1"/>
      <c r="I1796" s="1"/>
      <c r="J1796" s="124">
        <f>SUM(J1789:J1795)</f>
        <v>114800</v>
      </c>
      <c r="K1796" s="1" t="s">
        <v>2150</v>
      </c>
      <c r="L1796" s="1" t="s">
        <v>308</v>
      </c>
      <c r="M1796" s="1" t="s">
        <v>91</v>
      </c>
      <c r="N1796" s="1" t="s">
        <v>2151</v>
      </c>
      <c r="O1796" s="1"/>
      <c r="P1796" s="1"/>
      <c r="Q1796" s="1"/>
      <c r="R1796" s="1"/>
      <c r="S1796" s="1"/>
      <c r="T1796" s="1"/>
      <c r="U1796" s="1"/>
      <c r="V1796" s="1"/>
      <c r="W1796" s="142"/>
    </row>
    <row r="1797" spans="1:25" x14ac:dyDescent="0.3">
      <c r="A1797" s="1"/>
      <c r="B1797" s="1"/>
      <c r="C1797" s="1"/>
      <c r="D1797" s="1"/>
      <c r="E1797" s="1"/>
      <c r="F1797" s="124" t="s">
        <v>599</v>
      </c>
      <c r="G1797" s="1"/>
      <c r="H1797" s="1"/>
      <c r="I1797" s="1"/>
      <c r="J1797" s="124">
        <f>J1796*0/100</f>
        <v>0</v>
      </c>
      <c r="K1797" s="1"/>
      <c r="L1797" s="1"/>
      <c r="M1797" s="1"/>
      <c r="N1797" s="1"/>
      <c r="O1797" s="1"/>
      <c r="P1797" s="1"/>
      <c r="Q1797" s="1"/>
      <c r="R1797" s="1"/>
      <c r="S1797" s="1"/>
      <c r="T1797" s="1"/>
      <c r="U1797" s="1"/>
      <c r="V1797" s="1"/>
      <c r="W1797" s="142"/>
    </row>
    <row r="1798" spans="1:25" x14ac:dyDescent="0.3">
      <c r="A1798" s="1"/>
      <c r="B1798" s="1"/>
      <c r="C1798" s="1"/>
      <c r="D1798" s="1"/>
      <c r="E1798" s="1"/>
      <c r="F1798" s="124" t="s">
        <v>41</v>
      </c>
      <c r="G1798" s="1"/>
      <c r="H1798" s="1"/>
      <c r="I1798" s="1"/>
      <c r="J1798" s="124">
        <f>SUM(J1796:J1797)</f>
        <v>114800</v>
      </c>
      <c r="K1798" s="1"/>
      <c r="L1798" s="1"/>
      <c r="M1798" s="1"/>
      <c r="N1798" s="1"/>
      <c r="O1798" s="1"/>
      <c r="P1798" s="1"/>
      <c r="Q1798" s="1"/>
      <c r="R1798" s="1"/>
      <c r="S1798" s="1"/>
      <c r="T1798" s="1">
        <f>SUM(T1789:T1797)</f>
        <v>94443</v>
      </c>
      <c r="U1798" s="1"/>
      <c r="V1798" s="1"/>
      <c r="W1798" s="142"/>
    </row>
    <row r="1799" spans="1:25" x14ac:dyDescent="0.3">
      <c r="A1799" s="1"/>
      <c r="B1799" s="1"/>
      <c r="C1799" s="1"/>
      <c r="D1799" s="1"/>
      <c r="E1799" s="1"/>
      <c r="F1799" s="124"/>
      <c r="G1799" s="1"/>
      <c r="H1799" s="1"/>
      <c r="I1799" s="1"/>
      <c r="J1799" s="124"/>
      <c r="K1799" s="1"/>
      <c r="L1799" s="1"/>
      <c r="M1799" s="1"/>
      <c r="N1799" s="1"/>
      <c r="O1799" s="1"/>
      <c r="P1799" s="1"/>
      <c r="Q1799" s="1"/>
      <c r="R1799" s="1"/>
      <c r="S1799" s="1"/>
      <c r="T1799" s="1"/>
      <c r="U1799" s="1"/>
      <c r="V1799" s="1"/>
      <c r="W1799" s="142"/>
    </row>
    <row r="1800" spans="1:25" ht="25.2" x14ac:dyDescent="0.3">
      <c r="A1800" s="16">
        <v>161</v>
      </c>
      <c r="B1800" s="16">
        <v>9200155744</v>
      </c>
      <c r="C1800" s="19">
        <v>46357</v>
      </c>
      <c r="D1800" s="16" t="s">
        <v>300</v>
      </c>
      <c r="E1800" s="16" t="s">
        <v>123</v>
      </c>
      <c r="F1800" s="39" t="s">
        <v>1883</v>
      </c>
      <c r="G1800" s="16">
        <v>500</v>
      </c>
      <c r="H1800" s="16" t="s">
        <v>111</v>
      </c>
      <c r="I1800" s="16">
        <v>83</v>
      </c>
      <c r="J1800" s="16">
        <f t="shared" si="361"/>
        <v>41500</v>
      </c>
      <c r="K1800" s="16" t="s">
        <v>1968</v>
      </c>
      <c r="L1800" s="16"/>
      <c r="M1800" s="16" t="s">
        <v>91</v>
      </c>
      <c r="N1800" s="16" t="s">
        <v>1969</v>
      </c>
      <c r="O1800" s="16">
        <v>492</v>
      </c>
      <c r="P1800" s="16">
        <v>83</v>
      </c>
      <c r="Q1800" s="16">
        <f>O1800*P1800</f>
        <v>40836</v>
      </c>
      <c r="R1800" s="18">
        <v>0.18</v>
      </c>
      <c r="S1800" s="16">
        <f>Q1800*R1800</f>
        <v>7350.48</v>
      </c>
      <c r="T1800" s="16">
        <f>Q1800+S1800</f>
        <v>48186.479999999996</v>
      </c>
      <c r="U1800" s="16" t="s">
        <v>2137</v>
      </c>
      <c r="V1800" s="19">
        <v>46329</v>
      </c>
      <c r="W1800" s="142" t="s">
        <v>2176</v>
      </c>
    </row>
    <row r="1801" spans="1:25" ht="75.599999999999994" x14ac:dyDescent="0.3">
      <c r="A1801" s="1"/>
      <c r="B1801" s="1"/>
      <c r="C1801" s="1"/>
      <c r="D1801" s="1"/>
      <c r="E1801" s="16" t="s">
        <v>123</v>
      </c>
      <c r="F1801" s="39" t="s">
        <v>1884</v>
      </c>
      <c r="G1801" s="16">
        <v>500</v>
      </c>
      <c r="H1801" s="16" t="s">
        <v>111</v>
      </c>
      <c r="I1801" s="16">
        <v>175</v>
      </c>
      <c r="J1801" s="16">
        <f t="shared" si="361"/>
        <v>87500</v>
      </c>
      <c r="K1801" s="16">
        <v>500</v>
      </c>
      <c r="L1801" s="16" t="s">
        <v>111</v>
      </c>
      <c r="M1801" s="16" t="s">
        <v>91</v>
      </c>
      <c r="N1801" s="16" t="s">
        <v>1970</v>
      </c>
      <c r="O1801" s="16">
        <v>492</v>
      </c>
      <c r="P1801" s="16">
        <v>175</v>
      </c>
      <c r="Q1801" s="16">
        <f t="shared" ref="Q1801:Q1802" si="395">O1801*P1801</f>
        <v>86100</v>
      </c>
      <c r="R1801" s="18">
        <v>0.18</v>
      </c>
      <c r="S1801" s="16">
        <f t="shared" ref="S1801:S1802" si="396">Q1801*R1801</f>
        <v>15498</v>
      </c>
      <c r="T1801" s="16">
        <f t="shared" ref="T1801:T1802" si="397">Q1801+S1801</f>
        <v>101598</v>
      </c>
      <c r="U1801" s="16" t="s">
        <v>2137</v>
      </c>
      <c r="V1801" s="19">
        <v>46329</v>
      </c>
      <c r="W1801" s="142" t="s">
        <v>2176</v>
      </c>
    </row>
    <row r="1802" spans="1:25" x14ac:dyDescent="0.3">
      <c r="A1802" s="1"/>
      <c r="B1802" s="1"/>
      <c r="C1802" s="1"/>
      <c r="D1802" s="101" t="s">
        <v>1581</v>
      </c>
      <c r="E1802" s="85" t="s">
        <v>123</v>
      </c>
      <c r="F1802" s="85" t="s">
        <v>1885</v>
      </c>
      <c r="G1802" s="85">
        <v>5</v>
      </c>
      <c r="H1802" s="85" t="s">
        <v>815</v>
      </c>
      <c r="I1802" s="85">
        <v>3200</v>
      </c>
      <c r="J1802" s="85">
        <f t="shared" si="361"/>
        <v>16000</v>
      </c>
      <c r="K1802" s="85"/>
      <c r="L1802" s="85"/>
      <c r="M1802" s="85"/>
      <c r="N1802" s="85"/>
      <c r="O1802" s="85"/>
      <c r="P1802" s="85"/>
      <c r="Q1802" s="85">
        <f t="shared" si="395"/>
        <v>0</v>
      </c>
      <c r="R1802" s="104">
        <v>0.18</v>
      </c>
      <c r="S1802" s="85">
        <f t="shared" si="396"/>
        <v>0</v>
      </c>
      <c r="T1802" s="85">
        <f t="shared" si="397"/>
        <v>0</v>
      </c>
      <c r="U1802" s="85"/>
      <c r="V1802" s="94"/>
      <c r="W1802" s="142"/>
    </row>
    <row r="1803" spans="1:25" x14ac:dyDescent="0.3">
      <c r="A1803" s="1"/>
      <c r="B1803" s="1"/>
      <c r="C1803" s="1"/>
      <c r="D1803" s="1"/>
      <c r="E1803" s="1"/>
      <c r="F1803" s="124" t="s">
        <v>39</v>
      </c>
      <c r="G1803" s="1"/>
      <c r="H1803" s="1"/>
      <c r="I1803" s="1"/>
      <c r="J1803" s="124">
        <f>SUM(J1800:J1802)</f>
        <v>145000</v>
      </c>
      <c r="K1803" s="1"/>
      <c r="L1803" s="1"/>
      <c r="M1803" s="1"/>
      <c r="N1803" s="1"/>
      <c r="O1803" s="1"/>
      <c r="P1803" s="1"/>
      <c r="Q1803" s="1"/>
      <c r="R1803" s="1"/>
      <c r="S1803" s="1"/>
      <c r="T1803" s="1"/>
      <c r="U1803" s="1"/>
      <c r="V1803" s="1"/>
      <c r="W1803" s="142"/>
    </row>
    <row r="1804" spans="1:25" x14ac:dyDescent="0.3">
      <c r="A1804" s="1"/>
      <c r="B1804" s="1"/>
      <c r="C1804" s="1"/>
      <c r="D1804" s="1"/>
      <c r="E1804" s="1"/>
      <c r="F1804" s="124" t="s">
        <v>187</v>
      </c>
      <c r="G1804" s="1"/>
      <c r="H1804" s="1"/>
      <c r="I1804" s="1"/>
      <c r="J1804" s="124">
        <f>J1803*18/100</f>
        <v>26100</v>
      </c>
      <c r="K1804" s="1"/>
      <c r="L1804" s="1"/>
      <c r="M1804" s="1"/>
      <c r="N1804" s="1"/>
      <c r="O1804" s="1"/>
      <c r="P1804" s="1"/>
      <c r="Q1804" s="1"/>
      <c r="R1804" s="1"/>
      <c r="S1804" s="1"/>
      <c r="T1804" s="1"/>
      <c r="U1804" s="1"/>
      <c r="V1804" s="1"/>
      <c r="W1804" s="142"/>
    </row>
    <row r="1805" spans="1:25" x14ac:dyDescent="0.3">
      <c r="A1805" s="1"/>
      <c r="C1805" s="1"/>
      <c r="D1805" s="1"/>
      <c r="E1805" s="1"/>
      <c r="F1805" s="124" t="s">
        <v>41</v>
      </c>
      <c r="G1805" s="1"/>
      <c r="H1805" s="1"/>
      <c r="I1805" s="1"/>
      <c r="J1805" s="124">
        <f>SUM(J1803:J1804)</f>
        <v>171100</v>
      </c>
      <c r="K1805" s="1"/>
      <c r="L1805" s="1"/>
      <c r="M1805" s="1"/>
      <c r="N1805" s="1"/>
      <c r="O1805" s="1"/>
      <c r="P1805" s="1"/>
      <c r="Q1805" s="1"/>
      <c r="R1805" s="1"/>
      <c r="S1805" s="1"/>
      <c r="T1805" s="1">
        <f>SUM(T1800:T1804)</f>
        <v>149784.47999999998</v>
      </c>
      <c r="U1805" s="1"/>
      <c r="V1805" s="1"/>
      <c r="W1805" s="142"/>
    </row>
    <row r="1806" spans="1:25" x14ac:dyDescent="0.3">
      <c r="A1806" s="1"/>
      <c r="B1806" s="1"/>
      <c r="C1806" s="1"/>
      <c r="D1806" s="1"/>
      <c r="E1806" s="1"/>
      <c r="F1806" s="1"/>
      <c r="G1806" s="1"/>
      <c r="H1806" s="1"/>
      <c r="I1806" s="1"/>
      <c r="J1806" s="1">
        <f t="shared" si="361"/>
        <v>0</v>
      </c>
      <c r="K1806" s="1"/>
      <c r="L1806" s="1"/>
      <c r="M1806" s="1"/>
      <c r="N1806" s="1"/>
      <c r="O1806" s="1"/>
      <c r="P1806" s="1"/>
      <c r="Q1806" s="1"/>
      <c r="R1806" s="1"/>
      <c r="S1806" s="1"/>
      <c r="T1806" s="1"/>
      <c r="U1806" s="1"/>
      <c r="V1806" s="1"/>
      <c r="W1806" s="142"/>
    </row>
    <row r="1807" spans="1:25" ht="37.799999999999997" x14ac:dyDescent="0.3">
      <c r="A1807" s="16">
        <v>162</v>
      </c>
      <c r="B1807" s="16">
        <v>9200155755</v>
      </c>
      <c r="C1807" s="19" t="s">
        <v>2012</v>
      </c>
      <c r="D1807" s="16" t="s">
        <v>300</v>
      </c>
      <c r="E1807" s="16" t="s">
        <v>123</v>
      </c>
      <c r="F1807" s="39" t="s">
        <v>1890</v>
      </c>
      <c r="G1807" s="16">
        <v>7</v>
      </c>
      <c r="H1807" s="16" t="s">
        <v>28</v>
      </c>
      <c r="I1807" s="16">
        <v>4200</v>
      </c>
      <c r="J1807" s="16">
        <f t="shared" si="361"/>
        <v>29400</v>
      </c>
      <c r="K1807" s="16">
        <v>7</v>
      </c>
      <c r="L1807" s="16" t="s">
        <v>28</v>
      </c>
      <c r="M1807" s="16" t="s">
        <v>91</v>
      </c>
      <c r="N1807" s="16" t="s">
        <v>2082</v>
      </c>
      <c r="O1807" s="16">
        <v>7</v>
      </c>
      <c r="P1807" s="16">
        <v>4200</v>
      </c>
      <c r="Q1807" s="16">
        <f>O1807*P1807</f>
        <v>29400</v>
      </c>
      <c r="R1807" s="18">
        <v>0.18</v>
      </c>
      <c r="S1807" s="16">
        <f>Q1807*R1807</f>
        <v>5292</v>
      </c>
      <c r="T1807" s="16">
        <f>Q1807+S1807</f>
        <v>34692</v>
      </c>
      <c r="U1807" s="16" t="s">
        <v>2138</v>
      </c>
      <c r="V1807" s="19">
        <v>46329</v>
      </c>
      <c r="W1807" s="142" t="s">
        <v>2176</v>
      </c>
    </row>
    <row r="1808" spans="1:25" ht="37.799999999999997" x14ac:dyDescent="0.3">
      <c r="A1808" s="1"/>
      <c r="B1808" s="1"/>
      <c r="C1808" s="1" t="s">
        <v>326</v>
      </c>
      <c r="D1808" s="1"/>
      <c r="E1808" s="16" t="s">
        <v>123</v>
      </c>
      <c r="F1808" s="39" t="s">
        <v>1891</v>
      </c>
      <c r="G1808" s="16">
        <v>1</v>
      </c>
      <c r="H1808" s="16" t="s">
        <v>28</v>
      </c>
      <c r="I1808" s="16">
        <v>6000</v>
      </c>
      <c r="J1808" s="16">
        <f t="shared" si="361"/>
        <v>6000</v>
      </c>
      <c r="K1808" s="16">
        <v>1</v>
      </c>
      <c r="L1808" s="16" t="s">
        <v>28</v>
      </c>
      <c r="M1808" s="16" t="s">
        <v>91</v>
      </c>
      <c r="N1808" s="16" t="s">
        <v>2082</v>
      </c>
      <c r="O1808" s="16">
        <v>1</v>
      </c>
      <c r="P1808" s="16">
        <v>6000</v>
      </c>
      <c r="Q1808" s="16">
        <f t="shared" ref="Q1808:Q1809" si="398">O1808*P1808</f>
        <v>6000</v>
      </c>
      <c r="R1808" s="18">
        <v>0.18</v>
      </c>
      <c r="S1808" s="16">
        <f t="shared" ref="S1808:S1809" si="399">Q1808*R1808</f>
        <v>1080</v>
      </c>
      <c r="T1808" s="16">
        <f t="shared" ref="T1808:T1809" si="400">Q1808+S1808</f>
        <v>7080</v>
      </c>
      <c r="U1808" s="16" t="s">
        <v>2138</v>
      </c>
      <c r="V1808" s="19">
        <v>46329</v>
      </c>
      <c r="W1808" s="142" t="s">
        <v>2176</v>
      </c>
    </row>
    <row r="1809" spans="1:23" x14ac:dyDescent="0.3">
      <c r="A1809" s="1"/>
      <c r="B1809" s="1"/>
      <c r="C1809" s="1"/>
      <c r="D1809" s="1"/>
      <c r="E1809" s="16" t="s">
        <v>123</v>
      </c>
      <c r="F1809" s="16" t="s">
        <v>1892</v>
      </c>
      <c r="G1809" s="16">
        <v>16</v>
      </c>
      <c r="H1809" s="16" t="s">
        <v>28</v>
      </c>
      <c r="I1809" s="16">
        <v>1750</v>
      </c>
      <c r="J1809" s="16">
        <f t="shared" si="361"/>
        <v>28000</v>
      </c>
      <c r="K1809" s="16"/>
      <c r="L1809" s="16"/>
      <c r="M1809" s="16"/>
      <c r="N1809" s="16"/>
      <c r="O1809" s="16">
        <v>16</v>
      </c>
      <c r="P1809" s="16">
        <v>1750</v>
      </c>
      <c r="Q1809" s="16">
        <f t="shared" si="398"/>
        <v>28000</v>
      </c>
      <c r="R1809" s="18">
        <v>0.18</v>
      </c>
      <c r="S1809" s="16">
        <f t="shared" si="399"/>
        <v>5040</v>
      </c>
      <c r="T1809" s="16">
        <f t="shared" si="400"/>
        <v>33040</v>
      </c>
      <c r="U1809" s="16" t="s">
        <v>2138</v>
      </c>
      <c r="V1809" s="19">
        <v>46329</v>
      </c>
      <c r="W1809" s="142" t="s">
        <v>2176</v>
      </c>
    </row>
    <row r="1810" spans="1:23" x14ac:dyDescent="0.3">
      <c r="A1810" s="1"/>
      <c r="B1810" s="1"/>
      <c r="C1810" s="1"/>
      <c r="D1810" s="1"/>
      <c r="E1810" s="1"/>
      <c r="F1810" s="124" t="s">
        <v>39</v>
      </c>
      <c r="G1810" s="1"/>
      <c r="H1810" s="1"/>
      <c r="I1810" s="1"/>
      <c r="J1810" s="124">
        <f>SUM(J1807:J1809)</f>
        <v>63400</v>
      </c>
      <c r="K1810" s="1"/>
      <c r="L1810" s="1"/>
      <c r="M1810" s="1"/>
      <c r="N1810" s="1"/>
      <c r="O1810" s="1"/>
      <c r="P1810" s="1"/>
      <c r="Q1810" s="1"/>
      <c r="R1810" s="1"/>
      <c r="S1810" s="1"/>
      <c r="T1810" s="1"/>
      <c r="U1810" s="1"/>
      <c r="V1810" s="1"/>
      <c r="W1810" s="142"/>
    </row>
    <row r="1811" spans="1:23" x14ac:dyDescent="0.3">
      <c r="A1811" s="1"/>
      <c r="B1811" s="1"/>
      <c r="C1811" s="1"/>
      <c r="D1811" s="1"/>
      <c r="E1811" s="1"/>
      <c r="F1811" s="124" t="s">
        <v>187</v>
      </c>
      <c r="G1811" s="1"/>
      <c r="H1811" s="1"/>
      <c r="I1811" s="1"/>
      <c r="J1811" s="124">
        <f>J1810*18/100</f>
        <v>11412</v>
      </c>
      <c r="K1811" s="1"/>
      <c r="L1811" s="1"/>
      <c r="M1811" s="1"/>
      <c r="N1811" s="1"/>
      <c r="O1811" s="1"/>
      <c r="P1811" s="1"/>
      <c r="Q1811" s="1"/>
      <c r="R1811" s="1"/>
      <c r="S1811" s="1"/>
      <c r="T1811" s="1"/>
      <c r="U1811" s="1"/>
      <c r="V1811" s="1"/>
      <c r="W1811" s="142"/>
    </row>
    <row r="1812" spans="1:23" x14ac:dyDescent="0.3">
      <c r="A1812" s="1"/>
      <c r="B1812" s="1"/>
      <c r="C1812" s="1"/>
      <c r="D1812" s="1"/>
      <c r="E1812" s="1"/>
      <c r="F1812" s="124" t="s">
        <v>41</v>
      </c>
      <c r="G1812" s="1"/>
      <c r="H1812" s="1"/>
      <c r="I1812" s="1"/>
      <c r="J1812" s="124">
        <f>SUM(J1810:J1811)</f>
        <v>74812</v>
      </c>
      <c r="K1812" s="1"/>
      <c r="L1812" s="1"/>
      <c r="M1812" s="1"/>
      <c r="N1812" s="1"/>
      <c r="O1812" s="1"/>
      <c r="P1812" s="1"/>
      <c r="Q1812" s="1"/>
      <c r="R1812" s="1"/>
      <c r="S1812" s="1"/>
      <c r="T1812" s="1">
        <f>SUM(T1807:T1811)</f>
        <v>74812</v>
      </c>
      <c r="U1812" s="1"/>
      <c r="V1812" s="1"/>
      <c r="W1812" s="142"/>
    </row>
    <row r="1813" spans="1:23" x14ac:dyDescent="0.3">
      <c r="A1813" s="1"/>
      <c r="B1813" s="1"/>
      <c r="C1813" s="1"/>
      <c r="D1813" s="1"/>
      <c r="E1813" s="1"/>
      <c r="F1813" s="124"/>
      <c r="G1813" s="1"/>
      <c r="H1813" s="1"/>
      <c r="I1813" s="1"/>
      <c r="J1813" s="124"/>
      <c r="K1813" s="1"/>
      <c r="L1813" s="1"/>
      <c r="M1813" s="1"/>
      <c r="N1813" s="1"/>
      <c r="O1813" s="1"/>
      <c r="P1813" s="1"/>
      <c r="Q1813" s="1"/>
      <c r="R1813" s="1"/>
      <c r="S1813" s="1"/>
      <c r="T1813" s="1"/>
      <c r="U1813" s="1"/>
      <c r="V1813" s="1"/>
      <c r="W1813" s="142"/>
    </row>
    <row r="1814" spans="1:23" ht="25.2" x14ac:dyDescent="0.3">
      <c r="A1814" s="16">
        <v>163</v>
      </c>
      <c r="B1814" s="16">
        <v>9200155896</v>
      </c>
      <c r="C1814" s="16" t="s">
        <v>160</v>
      </c>
      <c r="D1814" s="16" t="s">
        <v>43</v>
      </c>
      <c r="E1814" s="16" t="s">
        <v>123</v>
      </c>
      <c r="F1814" s="39" t="s">
        <v>1893</v>
      </c>
      <c r="G1814" s="16">
        <v>32</v>
      </c>
      <c r="H1814" s="16" t="s">
        <v>111</v>
      </c>
      <c r="I1814" s="16">
        <v>445</v>
      </c>
      <c r="J1814" s="16">
        <f t="shared" si="361"/>
        <v>14240</v>
      </c>
      <c r="K1814" s="16">
        <v>32</v>
      </c>
      <c r="L1814" s="16" t="s">
        <v>111</v>
      </c>
      <c r="M1814" s="16" t="s">
        <v>91</v>
      </c>
      <c r="N1814" s="16" t="s">
        <v>1939</v>
      </c>
      <c r="O1814" s="16">
        <v>32</v>
      </c>
      <c r="P1814" s="16">
        <v>445</v>
      </c>
      <c r="Q1814" s="16">
        <f>O1814*P1814</f>
        <v>14240</v>
      </c>
      <c r="R1814" s="18">
        <v>0</v>
      </c>
      <c r="S1814" s="16">
        <f>Q1814*R1814</f>
        <v>0</v>
      </c>
      <c r="T1814" s="16">
        <f>Q1814+S1814</f>
        <v>14240</v>
      </c>
      <c r="U1814" s="16" t="s">
        <v>1960</v>
      </c>
      <c r="V1814" s="16" t="s">
        <v>1961</v>
      </c>
      <c r="W1814" s="142" t="s">
        <v>2254</v>
      </c>
    </row>
    <row r="1815" spans="1:23" ht="25.2" x14ac:dyDescent="0.3">
      <c r="A1815" s="1"/>
      <c r="B1815" s="1"/>
      <c r="C1815" s="1"/>
      <c r="D1815" s="1"/>
      <c r="E1815" s="16" t="s">
        <v>123</v>
      </c>
      <c r="F1815" s="39" t="s">
        <v>1894</v>
      </c>
      <c r="G1815" s="16">
        <v>32</v>
      </c>
      <c r="H1815" s="16" t="s">
        <v>111</v>
      </c>
      <c r="I1815" s="16">
        <v>50</v>
      </c>
      <c r="J1815" s="16">
        <f t="shared" si="361"/>
        <v>1600</v>
      </c>
      <c r="K1815" s="16"/>
      <c r="L1815" s="16"/>
      <c r="M1815" s="16"/>
      <c r="N1815" s="16"/>
      <c r="O1815" s="16">
        <v>32</v>
      </c>
      <c r="P1815" s="16">
        <v>50</v>
      </c>
      <c r="Q1815" s="16">
        <f t="shared" ref="Q1815:Q1816" si="401">O1815*P1815</f>
        <v>1600</v>
      </c>
      <c r="R1815" s="18">
        <v>0</v>
      </c>
      <c r="S1815" s="16">
        <f t="shared" ref="S1815:S1816" si="402">Q1815*R1815</f>
        <v>0</v>
      </c>
      <c r="T1815" s="16">
        <f t="shared" ref="T1815:T1816" si="403">Q1815+S1815</f>
        <v>1600</v>
      </c>
      <c r="U1815" s="16" t="s">
        <v>1960</v>
      </c>
      <c r="V1815" s="16" t="s">
        <v>1961</v>
      </c>
      <c r="W1815" s="142" t="s">
        <v>2254</v>
      </c>
    </row>
    <row r="1816" spans="1:23" x14ac:dyDescent="0.3">
      <c r="A1816" s="1"/>
      <c r="B1816" s="1"/>
      <c r="C1816" s="1"/>
      <c r="D1816" s="1"/>
      <c r="E1816" s="16"/>
      <c r="F1816" s="16" t="s">
        <v>1895</v>
      </c>
      <c r="G1816" s="16">
        <v>2</v>
      </c>
      <c r="H1816" s="16" t="s">
        <v>28</v>
      </c>
      <c r="I1816" s="16">
        <v>3450</v>
      </c>
      <c r="J1816" s="16">
        <f t="shared" si="361"/>
        <v>6900</v>
      </c>
      <c r="K1816" s="16"/>
      <c r="L1816" s="16"/>
      <c r="M1816" s="16"/>
      <c r="N1816" s="16"/>
      <c r="O1816" s="16">
        <v>2</v>
      </c>
      <c r="P1816" s="16">
        <v>3450</v>
      </c>
      <c r="Q1816" s="16">
        <f t="shared" si="401"/>
        <v>6900</v>
      </c>
      <c r="R1816" s="18">
        <v>0</v>
      </c>
      <c r="S1816" s="16">
        <f t="shared" si="402"/>
        <v>0</v>
      </c>
      <c r="T1816" s="16">
        <f t="shared" si="403"/>
        <v>6900</v>
      </c>
      <c r="U1816" s="16" t="s">
        <v>1960</v>
      </c>
      <c r="V1816" s="16" t="s">
        <v>1961</v>
      </c>
      <c r="W1816" s="142" t="s">
        <v>2254</v>
      </c>
    </row>
    <row r="1817" spans="1:23" x14ac:dyDescent="0.3">
      <c r="A1817" s="1"/>
      <c r="B1817" s="1"/>
      <c r="C1817" s="1"/>
      <c r="D1817" s="1"/>
      <c r="E1817" s="1"/>
      <c r="F1817" s="124" t="s">
        <v>39</v>
      </c>
      <c r="G1817" s="1"/>
      <c r="H1817" s="1"/>
      <c r="I1817" s="1"/>
      <c r="J1817" s="124">
        <f>SUM(J1814:J1816)</f>
        <v>22740</v>
      </c>
      <c r="K1817" s="1"/>
      <c r="L1817" s="1"/>
      <c r="M1817" s="1"/>
      <c r="N1817" s="1"/>
      <c r="O1817" s="1"/>
      <c r="P1817" s="1"/>
      <c r="Q1817" s="1"/>
      <c r="R1817" s="1"/>
      <c r="S1817" s="1"/>
      <c r="T1817" s="1"/>
      <c r="U1817" s="1"/>
      <c r="V1817" s="1"/>
      <c r="W1817" s="142"/>
    </row>
    <row r="1818" spans="1:23" x14ac:dyDescent="0.3">
      <c r="A1818" s="1"/>
      <c r="B1818" s="1"/>
      <c r="C1818" s="1"/>
      <c r="D1818" s="1"/>
      <c r="E1818" s="1"/>
      <c r="F1818" s="124" t="s">
        <v>1903</v>
      </c>
      <c r="G1818" s="1"/>
      <c r="H1818" s="1"/>
      <c r="I1818" s="1"/>
      <c r="J1818" s="124">
        <f>J1817*0/100</f>
        <v>0</v>
      </c>
      <c r="K1818" s="1"/>
      <c r="L1818" s="1"/>
      <c r="M1818" s="1"/>
      <c r="N1818" s="1"/>
      <c r="O1818" s="1"/>
      <c r="P1818" s="1"/>
      <c r="Q1818" s="1"/>
      <c r="R1818" s="1"/>
      <c r="S1818" s="1"/>
      <c r="T1818" s="1"/>
      <c r="U1818" s="1"/>
      <c r="V1818" s="1"/>
      <c r="W1818" s="142"/>
    </row>
    <row r="1819" spans="1:23" x14ac:dyDescent="0.3">
      <c r="A1819" s="1"/>
      <c r="B1819" s="1"/>
      <c r="C1819" s="1"/>
      <c r="D1819" s="1"/>
      <c r="E1819" s="1"/>
      <c r="F1819" s="124" t="s">
        <v>41</v>
      </c>
      <c r="G1819" s="1"/>
      <c r="H1819" s="1"/>
      <c r="I1819" s="1"/>
      <c r="J1819" s="124">
        <f>SUM(J1817:J1818)</f>
        <v>22740</v>
      </c>
      <c r="K1819" s="1"/>
      <c r="L1819" s="1"/>
      <c r="M1819" s="1"/>
      <c r="N1819" s="1"/>
      <c r="O1819" s="1"/>
      <c r="P1819" s="1"/>
      <c r="Q1819" s="1"/>
      <c r="R1819" s="1"/>
      <c r="S1819" s="1"/>
      <c r="T1819" s="1">
        <f>SUM(T1814:T1818)</f>
        <v>22740</v>
      </c>
      <c r="U1819" s="1"/>
      <c r="V1819" s="1"/>
      <c r="W1819" s="142"/>
    </row>
    <row r="1820" spans="1:23" x14ac:dyDescent="0.3">
      <c r="A1820" s="1"/>
      <c r="B1820" s="1"/>
      <c r="C1820" s="1"/>
      <c r="D1820" s="1"/>
      <c r="E1820" s="1"/>
      <c r="F1820" s="124"/>
      <c r="G1820" s="1"/>
      <c r="H1820" s="1"/>
      <c r="I1820" s="1"/>
      <c r="J1820" s="124"/>
      <c r="K1820" s="1"/>
      <c r="L1820" s="1"/>
      <c r="M1820" s="1"/>
      <c r="N1820" s="1"/>
      <c r="O1820" s="1"/>
      <c r="P1820" s="1"/>
      <c r="Q1820" s="1"/>
      <c r="R1820" s="1"/>
      <c r="S1820" s="1"/>
      <c r="T1820" s="1"/>
      <c r="U1820" s="1"/>
      <c r="V1820" s="1"/>
      <c r="W1820" s="142"/>
    </row>
    <row r="1821" spans="1:23" x14ac:dyDescent="0.3">
      <c r="A1821" s="101">
        <v>163</v>
      </c>
      <c r="B1821" s="101">
        <v>9200156113</v>
      </c>
      <c r="C1821" s="101" t="s">
        <v>1900</v>
      </c>
      <c r="D1821" s="101" t="s">
        <v>300</v>
      </c>
      <c r="E1821" s="101" t="s">
        <v>123</v>
      </c>
      <c r="F1821" s="102" t="s">
        <v>1901</v>
      </c>
      <c r="G1821" s="101">
        <v>12</v>
      </c>
      <c r="H1821" s="101" t="s">
        <v>111</v>
      </c>
      <c r="I1821" s="101">
        <v>430</v>
      </c>
      <c r="J1821" s="101">
        <f t="shared" si="361"/>
        <v>5160</v>
      </c>
      <c r="K1821" s="1"/>
      <c r="L1821" s="1"/>
      <c r="M1821" s="1"/>
      <c r="N1821" s="1"/>
      <c r="O1821" s="1"/>
      <c r="P1821" s="1"/>
      <c r="Q1821" s="1"/>
      <c r="R1821" s="1"/>
      <c r="S1821" s="1"/>
      <c r="T1821" s="1"/>
      <c r="U1821" s="1"/>
      <c r="V1821" s="1"/>
      <c r="W1821" s="142"/>
    </row>
    <row r="1822" spans="1:23" ht="25.2" x14ac:dyDescent="0.3">
      <c r="A1822" s="101"/>
      <c r="B1822" s="101" t="s">
        <v>2126</v>
      </c>
      <c r="C1822" s="101"/>
      <c r="D1822" s="101"/>
      <c r="E1822" s="101" t="s">
        <v>123</v>
      </c>
      <c r="F1822" s="102" t="s">
        <v>1902</v>
      </c>
      <c r="G1822" s="101">
        <v>16</v>
      </c>
      <c r="H1822" s="101" t="s">
        <v>111</v>
      </c>
      <c r="I1822" s="101">
        <v>968</v>
      </c>
      <c r="J1822" s="101">
        <f t="shared" si="361"/>
        <v>15488</v>
      </c>
      <c r="K1822" s="1"/>
      <c r="L1822" s="1"/>
      <c r="M1822" s="1"/>
      <c r="N1822" s="1"/>
      <c r="O1822" s="1"/>
      <c r="P1822" s="1"/>
      <c r="Q1822" s="1"/>
      <c r="R1822" s="1"/>
      <c r="S1822" s="1"/>
      <c r="T1822" s="1"/>
      <c r="U1822" s="1"/>
      <c r="V1822" s="1"/>
      <c r="W1822" s="142"/>
    </row>
    <row r="1823" spans="1:23" x14ac:dyDescent="0.3">
      <c r="A1823" s="101"/>
      <c r="B1823" s="101"/>
      <c r="C1823" s="101"/>
      <c r="D1823" s="101"/>
      <c r="E1823" s="101"/>
      <c r="F1823" s="180" t="s">
        <v>39</v>
      </c>
      <c r="G1823" s="101"/>
      <c r="H1823" s="101"/>
      <c r="I1823" s="101"/>
      <c r="J1823" s="180">
        <f>SUM(J1821:J1822)</f>
        <v>20648</v>
      </c>
      <c r="K1823" s="1"/>
      <c r="L1823" s="1"/>
      <c r="M1823" s="1"/>
      <c r="N1823" s="1"/>
      <c r="O1823" s="1"/>
      <c r="P1823" s="1"/>
      <c r="Q1823" s="1"/>
      <c r="R1823" s="1"/>
      <c r="S1823" s="1"/>
      <c r="T1823" s="1"/>
      <c r="U1823" s="1"/>
      <c r="V1823" s="1"/>
      <c r="W1823" s="142"/>
    </row>
    <row r="1824" spans="1:23" x14ac:dyDescent="0.3">
      <c r="A1824" s="101"/>
      <c r="B1824" s="101"/>
      <c r="C1824" s="101"/>
      <c r="D1824" s="101"/>
      <c r="E1824" s="101"/>
      <c r="F1824" s="180" t="s">
        <v>187</v>
      </c>
      <c r="G1824" s="101"/>
      <c r="H1824" s="101"/>
      <c r="I1824" s="101"/>
      <c r="J1824" s="180">
        <f>J1823*18/100</f>
        <v>3716.64</v>
      </c>
      <c r="K1824" s="1"/>
      <c r="L1824" s="1"/>
      <c r="M1824" s="1"/>
      <c r="N1824" s="1"/>
      <c r="O1824" s="1"/>
      <c r="P1824" s="1"/>
      <c r="Q1824" s="1"/>
      <c r="R1824" s="1"/>
      <c r="S1824" s="1"/>
      <c r="T1824" s="1"/>
      <c r="U1824" s="1"/>
      <c r="V1824" s="1"/>
      <c r="W1824" s="142"/>
    </row>
    <row r="1825" spans="1:23" x14ac:dyDescent="0.3">
      <c r="A1825" s="101"/>
      <c r="B1825" s="101"/>
      <c r="C1825" s="101"/>
      <c r="D1825" s="101"/>
      <c r="E1825" s="101"/>
      <c r="F1825" s="180" t="s">
        <v>41</v>
      </c>
      <c r="G1825" s="101"/>
      <c r="H1825" s="101"/>
      <c r="I1825" s="101"/>
      <c r="J1825" s="180">
        <f>SUM(J1823:J1824)</f>
        <v>24364.639999999999</v>
      </c>
      <c r="K1825" s="1"/>
      <c r="L1825" s="1"/>
      <c r="M1825" s="1"/>
      <c r="N1825" s="1"/>
      <c r="O1825" s="1"/>
      <c r="P1825" s="1"/>
      <c r="Q1825" s="1"/>
      <c r="R1825" s="1"/>
      <c r="S1825" s="1"/>
      <c r="T1825" s="1"/>
      <c r="U1825" s="1"/>
      <c r="V1825" s="1"/>
      <c r="W1825" s="142"/>
    </row>
    <row r="1826" spans="1:23" x14ac:dyDescent="0.3">
      <c r="A1826" s="1"/>
      <c r="B1826" s="1"/>
      <c r="C1826" s="1"/>
      <c r="D1826" s="1"/>
      <c r="E1826" s="1"/>
      <c r="F1826" s="1"/>
      <c r="G1826" s="1"/>
      <c r="H1826" s="1"/>
      <c r="I1826" s="1"/>
      <c r="J1826" s="1"/>
      <c r="K1826" s="1"/>
      <c r="L1826" s="1"/>
      <c r="M1826" s="1"/>
      <c r="N1826" s="1"/>
      <c r="O1826" s="1"/>
      <c r="P1826" s="1"/>
      <c r="Q1826" s="1"/>
      <c r="R1826" s="1"/>
      <c r="S1826" s="1"/>
      <c r="T1826" s="1"/>
      <c r="U1826" s="1"/>
      <c r="V1826" s="1"/>
      <c r="W1826" s="142"/>
    </row>
    <row r="1827" spans="1:23" x14ac:dyDescent="0.3">
      <c r="A1827" s="1">
        <v>164</v>
      </c>
      <c r="B1827" s="1">
        <v>9200156299</v>
      </c>
      <c r="C1827" s="1" t="s">
        <v>1929</v>
      </c>
      <c r="D1827" s="1" t="s">
        <v>43</v>
      </c>
      <c r="E1827" s="16" t="s">
        <v>123</v>
      </c>
      <c r="F1827" s="39" t="s">
        <v>1932</v>
      </c>
      <c r="G1827" s="16">
        <v>10</v>
      </c>
      <c r="H1827" s="16" t="s">
        <v>28</v>
      </c>
      <c r="I1827" s="16">
        <v>760</v>
      </c>
      <c r="J1827" s="16">
        <f>G1827*I1827</f>
        <v>7600</v>
      </c>
      <c r="K1827" s="16"/>
      <c r="L1827" s="16"/>
      <c r="M1827" s="16"/>
      <c r="N1827" s="16"/>
      <c r="O1827" s="16">
        <v>10</v>
      </c>
      <c r="P1827" s="16">
        <v>760</v>
      </c>
      <c r="Q1827" s="16">
        <f>O1827*P1827</f>
        <v>7600</v>
      </c>
      <c r="R1827" s="18">
        <v>0</v>
      </c>
      <c r="S1827" s="16">
        <f>Q1827*R1827</f>
        <v>0</v>
      </c>
      <c r="T1827" s="16">
        <f>Q1827+S1827</f>
        <v>7600</v>
      </c>
      <c r="U1827" s="16" t="s">
        <v>2196</v>
      </c>
      <c r="V1827" s="16" t="s">
        <v>2197</v>
      </c>
      <c r="W1827" s="142" t="s">
        <v>2277</v>
      </c>
    </row>
    <row r="1828" spans="1:23" x14ac:dyDescent="0.3">
      <c r="A1828" s="1"/>
      <c r="B1828" s="1"/>
      <c r="C1828" s="1"/>
      <c r="D1828" s="1"/>
      <c r="E1828" s="16" t="s">
        <v>123</v>
      </c>
      <c r="F1828" s="16" t="s">
        <v>1933</v>
      </c>
      <c r="G1828" s="16">
        <v>10</v>
      </c>
      <c r="H1828" s="16" t="s">
        <v>28</v>
      </c>
      <c r="I1828" s="16">
        <v>2450</v>
      </c>
      <c r="J1828" s="16">
        <f t="shared" ref="J1828:J1833" si="404">G1828*I1828</f>
        <v>24500</v>
      </c>
      <c r="K1828" s="16"/>
      <c r="L1828" s="16"/>
      <c r="M1828" s="16"/>
      <c r="N1828" s="16"/>
      <c r="O1828" s="16">
        <v>10</v>
      </c>
      <c r="P1828" s="16">
        <v>2450</v>
      </c>
      <c r="Q1828" s="16">
        <f t="shared" ref="Q1828:Q1833" si="405">O1828*P1828</f>
        <v>24500</v>
      </c>
      <c r="R1828" s="18">
        <v>0</v>
      </c>
      <c r="S1828" s="16">
        <f t="shared" ref="S1828:S1833" si="406">Q1828*R1828</f>
        <v>0</v>
      </c>
      <c r="T1828" s="16">
        <f t="shared" ref="T1828:T1833" si="407">Q1828+S1828</f>
        <v>24500</v>
      </c>
      <c r="U1828" s="16" t="s">
        <v>2196</v>
      </c>
      <c r="V1828" s="16" t="s">
        <v>2197</v>
      </c>
      <c r="W1828" s="142" t="s">
        <v>2277</v>
      </c>
    </row>
    <row r="1829" spans="1:23" x14ac:dyDescent="0.3">
      <c r="A1829" s="1"/>
      <c r="B1829" s="1"/>
      <c r="C1829" s="1"/>
      <c r="D1829" s="1"/>
      <c r="E1829" s="16" t="s">
        <v>123</v>
      </c>
      <c r="F1829" s="16" t="s">
        <v>1934</v>
      </c>
      <c r="G1829" s="16">
        <v>10</v>
      </c>
      <c r="H1829" s="16" t="s">
        <v>28</v>
      </c>
      <c r="I1829" s="16">
        <v>295</v>
      </c>
      <c r="J1829" s="16">
        <f t="shared" si="404"/>
        <v>2950</v>
      </c>
      <c r="K1829" s="16">
        <v>10</v>
      </c>
      <c r="L1829" s="16" t="s">
        <v>28</v>
      </c>
      <c r="M1829" s="16" t="s">
        <v>91</v>
      </c>
      <c r="N1829" s="16" t="s">
        <v>1956</v>
      </c>
      <c r="O1829" s="16">
        <v>10</v>
      </c>
      <c r="P1829" s="16">
        <v>295</v>
      </c>
      <c r="Q1829" s="16">
        <f t="shared" si="405"/>
        <v>2950</v>
      </c>
      <c r="R1829" s="18">
        <v>0</v>
      </c>
      <c r="S1829" s="16">
        <f t="shared" si="406"/>
        <v>0</v>
      </c>
      <c r="T1829" s="16">
        <f t="shared" si="407"/>
        <v>2950</v>
      </c>
      <c r="U1829" s="16" t="s">
        <v>2196</v>
      </c>
      <c r="V1829" s="16" t="s">
        <v>2197</v>
      </c>
      <c r="W1829" s="142" t="s">
        <v>2277</v>
      </c>
    </row>
    <row r="1830" spans="1:23" x14ac:dyDescent="0.3">
      <c r="A1830" s="1"/>
      <c r="B1830" s="1"/>
      <c r="C1830" s="1"/>
      <c r="D1830" s="1"/>
      <c r="E1830" s="16" t="s">
        <v>123</v>
      </c>
      <c r="F1830" s="16" t="s">
        <v>1935</v>
      </c>
      <c r="G1830" s="16">
        <v>10</v>
      </c>
      <c r="H1830" s="16" t="s">
        <v>28</v>
      </c>
      <c r="I1830" s="16">
        <v>1930</v>
      </c>
      <c r="J1830" s="16">
        <f t="shared" si="404"/>
        <v>19300</v>
      </c>
      <c r="K1830" s="16">
        <v>10</v>
      </c>
      <c r="L1830" s="16" t="s">
        <v>28</v>
      </c>
      <c r="M1830" s="16" t="s">
        <v>91</v>
      </c>
      <c r="N1830" s="16" t="s">
        <v>1956</v>
      </c>
      <c r="O1830" s="16">
        <v>10</v>
      </c>
      <c r="P1830" s="16">
        <v>1930</v>
      </c>
      <c r="Q1830" s="16">
        <f t="shared" si="405"/>
        <v>19300</v>
      </c>
      <c r="R1830" s="18">
        <v>0</v>
      </c>
      <c r="S1830" s="16">
        <f t="shared" si="406"/>
        <v>0</v>
      </c>
      <c r="T1830" s="16">
        <f t="shared" si="407"/>
        <v>19300</v>
      </c>
      <c r="U1830" s="16" t="s">
        <v>2196</v>
      </c>
      <c r="V1830" s="16" t="s">
        <v>2197</v>
      </c>
      <c r="W1830" s="142" t="s">
        <v>2277</v>
      </c>
    </row>
    <row r="1831" spans="1:23" x14ac:dyDescent="0.3">
      <c r="A1831" s="1"/>
      <c r="B1831" s="1"/>
      <c r="C1831" s="1"/>
      <c r="D1831" s="1"/>
      <c r="E1831" s="101" t="s">
        <v>123</v>
      </c>
      <c r="F1831" s="101" t="s">
        <v>1936</v>
      </c>
      <c r="G1831" s="1">
        <v>350</v>
      </c>
      <c r="H1831" s="1" t="s">
        <v>252</v>
      </c>
      <c r="I1831" s="1">
        <v>58</v>
      </c>
      <c r="J1831" s="1">
        <f t="shared" si="404"/>
        <v>20300</v>
      </c>
      <c r="K1831" s="1"/>
      <c r="L1831" s="1"/>
      <c r="M1831" s="1"/>
      <c r="N1831" s="1"/>
      <c r="O1831" s="1"/>
      <c r="P1831" s="1"/>
      <c r="Q1831" s="1">
        <f t="shared" si="405"/>
        <v>0</v>
      </c>
      <c r="R1831" s="86">
        <v>0</v>
      </c>
      <c r="S1831" s="1">
        <f t="shared" si="406"/>
        <v>0</v>
      </c>
      <c r="T1831" s="1">
        <f t="shared" si="407"/>
        <v>0</v>
      </c>
      <c r="U1831" s="1"/>
      <c r="V1831" s="1"/>
      <c r="W1831" s="142"/>
    </row>
    <row r="1832" spans="1:23" x14ac:dyDescent="0.3">
      <c r="A1832" s="1"/>
      <c r="B1832" s="1"/>
      <c r="C1832" s="1"/>
      <c r="D1832" s="1"/>
      <c r="E1832" s="101" t="s">
        <v>123</v>
      </c>
      <c r="F1832" s="101" t="s">
        <v>1937</v>
      </c>
      <c r="G1832" s="1">
        <v>60</v>
      </c>
      <c r="H1832" s="1" t="s">
        <v>28</v>
      </c>
      <c r="I1832" s="1">
        <v>645</v>
      </c>
      <c r="J1832" s="1">
        <f t="shared" si="404"/>
        <v>38700</v>
      </c>
      <c r="K1832" s="1"/>
      <c r="L1832" s="1"/>
      <c r="M1832" s="1"/>
      <c r="N1832" s="1"/>
      <c r="O1832" s="1"/>
      <c r="P1832" s="1"/>
      <c r="Q1832" s="1">
        <f t="shared" si="405"/>
        <v>0</v>
      </c>
      <c r="R1832" s="86">
        <v>0</v>
      </c>
      <c r="S1832" s="1">
        <f t="shared" si="406"/>
        <v>0</v>
      </c>
      <c r="T1832" s="1">
        <f t="shared" si="407"/>
        <v>0</v>
      </c>
      <c r="U1832" s="1"/>
      <c r="V1832" s="1"/>
      <c r="W1832" s="142"/>
    </row>
    <row r="1833" spans="1:23" x14ac:dyDescent="0.3">
      <c r="A1833" s="1"/>
      <c r="B1833" s="1"/>
      <c r="C1833" s="1"/>
      <c r="D1833" s="1"/>
      <c r="E1833" s="16" t="s">
        <v>123</v>
      </c>
      <c r="F1833" s="16" t="s">
        <v>1938</v>
      </c>
      <c r="G1833" s="16">
        <v>500</v>
      </c>
      <c r="H1833" s="16" t="s">
        <v>111</v>
      </c>
      <c r="I1833" s="16">
        <v>78</v>
      </c>
      <c r="J1833" s="16">
        <f t="shared" si="404"/>
        <v>39000</v>
      </c>
      <c r="K1833" s="16">
        <v>4</v>
      </c>
      <c r="L1833" s="16" t="s">
        <v>53</v>
      </c>
      <c r="M1833" s="16" t="s">
        <v>91</v>
      </c>
      <c r="N1833" s="16" t="s">
        <v>1957</v>
      </c>
      <c r="O1833" s="16">
        <v>485</v>
      </c>
      <c r="P1833" s="16">
        <v>78</v>
      </c>
      <c r="Q1833" s="16">
        <f t="shared" si="405"/>
        <v>37830</v>
      </c>
      <c r="R1833" s="18">
        <v>0</v>
      </c>
      <c r="S1833" s="16">
        <f t="shared" si="406"/>
        <v>0</v>
      </c>
      <c r="T1833" s="16">
        <f t="shared" si="407"/>
        <v>37830</v>
      </c>
      <c r="U1833" s="16" t="s">
        <v>2196</v>
      </c>
      <c r="V1833" s="16" t="s">
        <v>2197</v>
      </c>
      <c r="W1833" s="142" t="s">
        <v>2277</v>
      </c>
    </row>
    <row r="1834" spans="1:23" x14ac:dyDescent="0.3">
      <c r="A1834" s="1"/>
      <c r="B1834" s="1"/>
      <c r="C1834" s="1"/>
      <c r="D1834" s="1"/>
      <c r="E1834" s="1"/>
      <c r="F1834" s="124" t="s">
        <v>39</v>
      </c>
      <c r="G1834" s="1"/>
      <c r="H1834" s="1"/>
      <c r="I1834" s="1"/>
      <c r="J1834" s="124">
        <f>SUM(J1827:J1833)</f>
        <v>152350</v>
      </c>
      <c r="K1834" s="1"/>
      <c r="L1834" s="1"/>
      <c r="M1834" s="1"/>
      <c r="N1834" s="1"/>
      <c r="O1834" s="1"/>
      <c r="P1834" s="1"/>
      <c r="Q1834" s="1"/>
      <c r="R1834" s="1"/>
      <c r="S1834" s="1"/>
      <c r="T1834" s="1"/>
      <c r="U1834" s="1"/>
      <c r="V1834" s="1"/>
      <c r="W1834" s="142"/>
    </row>
    <row r="1835" spans="1:23" x14ac:dyDescent="0.3">
      <c r="A1835" s="1"/>
      <c r="B1835" s="1"/>
      <c r="C1835" s="1"/>
      <c r="D1835" s="1"/>
      <c r="E1835" s="1"/>
      <c r="F1835" s="124" t="s">
        <v>599</v>
      </c>
      <c r="G1835" s="1"/>
      <c r="H1835" s="1"/>
      <c r="I1835" s="1"/>
      <c r="J1835" s="124">
        <f>J1834*0/100</f>
        <v>0</v>
      </c>
      <c r="K1835" s="1"/>
      <c r="L1835" s="1"/>
      <c r="M1835" s="1"/>
      <c r="N1835" s="1"/>
      <c r="O1835" s="1"/>
      <c r="P1835" s="1"/>
      <c r="Q1835" s="1"/>
      <c r="R1835" s="1"/>
      <c r="S1835" s="1"/>
      <c r="T1835" s="1"/>
      <c r="U1835" s="1"/>
      <c r="V1835" s="1"/>
      <c r="W1835" s="142"/>
    </row>
    <row r="1836" spans="1:23" x14ac:dyDescent="0.3">
      <c r="A1836" s="1"/>
      <c r="B1836" s="1"/>
      <c r="C1836" s="1"/>
      <c r="D1836" s="1"/>
      <c r="E1836" s="1"/>
      <c r="F1836" s="124" t="s">
        <v>41</v>
      </c>
      <c r="G1836" s="1"/>
      <c r="H1836" s="1"/>
      <c r="I1836" s="1"/>
      <c r="J1836" s="124">
        <f>SUM(J1834:J1835)</f>
        <v>152350</v>
      </c>
      <c r="K1836" s="1"/>
      <c r="L1836" s="1"/>
      <c r="M1836" s="1"/>
      <c r="N1836" s="1"/>
      <c r="O1836" s="1"/>
      <c r="P1836" s="1"/>
      <c r="Q1836" s="1"/>
      <c r="R1836" s="1"/>
      <c r="S1836" s="1"/>
      <c r="T1836" s="1">
        <f>SUM(T1827:T1835)</f>
        <v>92180</v>
      </c>
      <c r="U1836" s="1"/>
      <c r="V1836" s="1"/>
      <c r="W1836" s="142"/>
    </row>
    <row r="1837" spans="1:23" x14ac:dyDescent="0.3">
      <c r="A1837" s="1"/>
      <c r="B1837" s="1"/>
      <c r="C1837" s="1"/>
      <c r="D1837" s="1"/>
      <c r="E1837" s="1"/>
      <c r="F1837" s="1"/>
      <c r="G1837" s="1"/>
      <c r="H1837" s="1"/>
      <c r="I1837" s="1"/>
      <c r="J1837" s="1"/>
      <c r="K1837" s="1"/>
      <c r="L1837" s="1"/>
      <c r="M1837" s="1"/>
      <c r="N1837" s="1"/>
      <c r="O1837" s="1"/>
      <c r="P1837" s="1"/>
      <c r="Q1837" s="1"/>
      <c r="R1837" s="1"/>
      <c r="S1837" s="1"/>
      <c r="T1837" s="1"/>
      <c r="U1837" s="1"/>
      <c r="V1837" s="1"/>
      <c r="W1837" s="142"/>
    </row>
    <row r="1838" spans="1:23" ht="25.2" x14ac:dyDescent="0.3">
      <c r="A1838" s="101">
        <v>165</v>
      </c>
      <c r="B1838" s="101">
        <v>8600063412</v>
      </c>
      <c r="C1838" s="101" t="s">
        <v>1929</v>
      </c>
      <c r="D1838" s="101" t="s">
        <v>799</v>
      </c>
      <c r="E1838" s="101" t="s">
        <v>127</v>
      </c>
      <c r="F1838" s="102" t="s">
        <v>1930</v>
      </c>
      <c r="G1838" s="101">
        <v>150</v>
      </c>
      <c r="H1838" s="101" t="s">
        <v>111</v>
      </c>
      <c r="I1838" s="101">
        <v>572</v>
      </c>
      <c r="J1838" s="101">
        <f t="shared" si="361"/>
        <v>85800</v>
      </c>
      <c r="K1838" s="1"/>
      <c r="L1838" s="1"/>
      <c r="M1838" s="1"/>
      <c r="N1838" s="1"/>
      <c r="O1838" s="1"/>
      <c r="P1838" s="1"/>
      <c r="Q1838" s="1"/>
      <c r="R1838" s="1"/>
      <c r="S1838" s="1"/>
      <c r="T1838" s="1"/>
      <c r="U1838" s="1"/>
      <c r="V1838" s="1"/>
      <c r="W1838" s="142"/>
    </row>
    <row r="1839" spans="1:23" ht="25.2" x14ac:dyDescent="0.3">
      <c r="A1839" s="101"/>
      <c r="B1839" s="101" t="s">
        <v>1959</v>
      </c>
      <c r="C1839" s="101"/>
      <c r="D1839" s="101"/>
      <c r="E1839" s="101" t="s">
        <v>127</v>
      </c>
      <c r="F1839" s="102" t="s">
        <v>1931</v>
      </c>
      <c r="G1839" s="101">
        <v>1</v>
      </c>
      <c r="H1839" s="101" t="s">
        <v>28</v>
      </c>
      <c r="I1839" s="101">
        <v>43200</v>
      </c>
      <c r="J1839" s="101">
        <f t="shared" si="361"/>
        <v>43200</v>
      </c>
      <c r="K1839" s="1"/>
      <c r="L1839" s="1"/>
      <c r="M1839" s="1"/>
      <c r="N1839" s="1"/>
      <c r="O1839" s="1"/>
      <c r="P1839" s="1"/>
      <c r="Q1839" s="1"/>
      <c r="R1839" s="1"/>
      <c r="S1839" s="1"/>
      <c r="T1839" s="1"/>
      <c r="U1839" s="1"/>
      <c r="V1839" s="1"/>
      <c r="W1839" s="142"/>
    </row>
    <row r="1840" spans="1:23" x14ac:dyDescent="0.3">
      <c r="A1840" s="101"/>
      <c r="B1840" s="101"/>
      <c r="C1840" s="101"/>
      <c r="D1840" s="101"/>
      <c r="E1840" s="101"/>
      <c r="F1840" s="180" t="s">
        <v>39</v>
      </c>
      <c r="G1840" s="101"/>
      <c r="H1840" s="101"/>
      <c r="I1840" s="101"/>
      <c r="J1840" s="180">
        <f>SUM(J1838:J1839)</f>
        <v>129000</v>
      </c>
      <c r="K1840" s="1"/>
      <c r="L1840" s="1"/>
      <c r="M1840" s="1"/>
      <c r="N1840" s="1"/>
      <c r="O1840" s="1"/>
      <c r="P1840" s="1"/>
      <c r="Q1840" s="1"/>
      <c r="R1840" s="1"/>
      <c r="S1840" s="1"/>
      <c r="T1840" s="1"/>
      <c r="U1840" s="1"/>
      <c r="V1840" s="1"/>
      <c r="W1840" s="142"/>
    </row>
    <row r="1841" spans="1:23" x14ac:dyDescent="0.3">
      <c r="A1841" s="101"/>
      <c r="B1841" s="101"/>
      <c r="C1841" s="101"/>
      <c r="D1841" s="101"/>
      <c r="E1841" s="101"/>
      <c r="F1841" s="180" t="s">
        <v>599</v>
      </c>
      <c r="G1841" s="101"/>
      <c r="H1841" s="101"/>
      <c r="I1841" s="101"/>
      <c r="J1841" s="180">
        <f>J1840*0/100</f>
        <v>0</v>
      </c>
      <c r="K1841" s="1"/>
      <c r="L1841" s="1"/>
      <c r="M1841" s="1"/>
      <c r="N1841" s="1"/>
      <c r="O1841" s="1"/>
      <c r="P1841" s="1"/>
      <c r="Q1841" s="1"/>
      <c r="R1841" s="1"/>
      <c r="S1841" s="1"/>
      <c r="T1841" s="1"/>
      <c r="U1841" s="1"/>
      <c r="V1841" s="1"/>
      <c r="W1841" s="142"/>
    </row>
    <row r="1842" spans="1:23" x14ac:dyDescent="0.3">
      <c r="A1842" s="101"/>
      <c r="B1842" s="101"/>
      <c r="C1842" s="101"/>
      <c r="D1842" s="101"/>
      <c r="E1842" s="101"/>
      <c r="F1842" s="180" t="s">
        <v>41</v>
      </c>
      <c r="G1842" s="101"/>
      <c r="H1842" s="101"/>
      <c r="I1842" s="101"/>
      <c r="J1842" s="180">
        <f>SUM(J1840:J1841)</f>
        <v>129000</v>
      </c>
      <c r="K1842" s="1"/>
      <c r="L1842" s="1"/>
      <c r="M1842" s="1"/>
      <c r="N1842" s="1"/>
      <c r="O1842" s="1"/>
      <c r="P1842" s="1"/>
      <c r="Q1842" s="1"/>
      <c r="R1842" s="1"/>
      <c r="S1842" s="1"/>
      <c r="T1842" s="1"/>
      <c r="U1842" s="1"/>
      <c r="V1842" s="1"/>
      <c r="W1842" s="142"/>
    </row>
    <row r="1843" spans="1:23" x14ac:dyDescent="0.3">
      <c r="A1843" s="1"/>
      <c r="B1843" s="1"/>
      <c r="C1843" s="1"/>
      <c r="D1843" s="1"/>
      <c r="E1843" s="1"/>
      <c r="F1843" s="1"/>
      <c r="G1843" s="1"/>
      <c r="H1843" s="1"/>
      <c r="I1843" s="1"/>
      <c r="J1843" s="1"/>
      <c r="K1843" s="1"/>
      <c r="L1843" s="1"/>
      <c r="M1843" s="1"/>
      <c r="N1843" s="1"/>
      <c r="O1843" s="1"/>
      <c r="P1843" s="1"/>
      <c r="Q1843" s="1"/>
      <c r="R1843" s="1"/>
      <c r="S1843" s="1"/>
      <c r="T1843" s="1"/>
      <c r="U1843" s="1"/>
      <c r="V1843" s="1"/>
      <c r="W1843" s="142"/>
    </row>
    <row r="1844" spans="1:23" ht="25.2" x14ac:dyDescent="0.3">
      <c r="A1844" s="16">
        <v>166</v>
      </c>
      <c r="B1844" s="16">
        <v>9200157017</v>
      </c>
      <c r="C1844" s="16" t="s">
        <v>1943</v>
      </c>
      <c r="D1844" s="16" t="s">
        <v>43</v>
      </c>
      <c r="E1844" s="16" t="s">
        <v>123</v>
      </c>
      <c r="F1844" s="39" t="s">
        <v>1944</v>
      </c>
      <c r="G1844" s="16">
        <v>36</v>
      </c>
      <c r="H1844" s="16" t="s">
        <v>28</v>
      </c>
      <c r="I1844" s="16">
        <v>3620</v>
      </c>
      <c r="J1844" s="16">
        <f t="shared" si="361"/>
        <v>130320</v>
      </c>
      <c r="K1844" s="16">
        <v>1</v>
      </c>
      <c r="L1844" s="16" t="s">
        <v>28</v>
      </c>
      <c r="M1844" s="16" t="s">
        <v>91</v>
      </c>
      <c r="N1844" s="16" t="s">
        <v>2069</v>
      </c>
      <c r="O1844" s="16">
        <v>36</v>
      </c>
      <c r="P1844" s="16">
        <v>3620</v>
      </c>
      <c r="Q1844" s="16">
        <f>O1844*P1844</f>
        <v>130320</v>
      </c>
      <c r="R1844" s="18">
        <v>0</v>
      </c>
      <c r="S1844" s="16">
        <f>Q1844*R1844</f>
        <v>0</v>
      </c>
      <c r="T1844" s="16">
        <f>Q1844+S1844</f>
        <v>130320</v>
      </c>
      <c r="U1844" s="16" t="s">
        <v>2084</v>
      </c>
      <c r="V1844" s="19">
        <v>46056</v>
      </c>
      <c r="W1844" s="142" t="s">
        <v>2152</v>
      </c>
    </row>
    <row r="1845" spans="1:23" x14ac:dyDescent="0.3">
      <c r="A1845" s="1"/>
      <c r="B1845" s="1"/>
      <c r="C1845" s="1"/>
      <c r="D1845" s="1"/>
      <c r="E1845" s="1"/>
      <c r="F1845" s="124" t="s">
        <v>39</v>
      </c>
      <c r="G1845" s="1"/>
      <c r="H1845" s="1"/>
      <c r="I1845" s="1"/>
      <c r="J1845" s="124">
        <f>SUM(J1844)</f>
        <v>130320</v>
      </c>
      <c r="K1845" s="1">
        <v>36</v>
      </c>
      <c r="L1845" s="1" t="s">
        <v>28</v>
      </c>
      <c r="M1845" s="1" t="s">
        <v>1570</v>
      </c>
      <c r="N1845" s="1" t="s">
        <v>2068</v>
      </c>
      <c r="O1845" s="1"/>
      <c r="P1845" s="1"/>
      <c r="Q1845" s="1"/>
      <c r="R1845" s="1"/>
      <c r="S1845" s="1"/>
      <c r="T1845" s="1"/>
      <c r="U1845" s="1"/>
      <c r="V1845" s="1"/>
      <c r="W1845" s="142"/>
    </row>
    <row r="1846" spans="1:23" x14ac:dyDescent="0.3">
      <c r="A1846" s="1"/>
      <c r="B1846" s="1"/>
      <c r="C1846" s="1"/>
      <c r="D1846" s="1"/>
      <c r="E1846" s="1"/>
      <c r="F1846" s="124" t="s">
        <v>599</v>
      </c>
      <c r="G1846" s="1"/>
      <c r="H1846" s="1"/>
      <c r="I1846" s="1"/>
      <c r="J1846" s="124">
        <f>J1845*0/100</f>
        <v>0</v>
      </c>
      <c r="K1846" s="1"/>
      <c r="L1846" s="1"/>
      <c r="M1846" s="1"/>
      <c r="N1846" s="1"/>
      <c r="O1846" s="1"/>
      <c r="P1846" s="1"/>
      <c r="Q1846" s="1"/>
      <c r="R1846" s="1"/>
      <c r="S1846" s="1"/>
      <c r="T1846" s="1"/>
      <c r="U1846" s="1"/>
      <c r="V1846" s="1"/>
      <c r="W1846" s="142"/>
    </row>
    <row r="1847" spans="1:23" x14ac:dyDescent="0.3">
      <c r="A1847" s="1"/>
      <c r="B1847" s="1"/>
      <c r="C1847" s="1"/>
      <c r="D1847" s="1"/>
      <c r="E1847" s="1"/>
      <c r="F1847" s="124" t="s">
        <v>41</v>
      </c>
      <c r="G1847" s="1"/>
      <c r="H1847" s="1"/>
      <c r="I1847" s="1"/>
      <c r="J1847" s="124">
        <f>SUM(J1845:J1846)</f>
        <v>130320</v>
      </c>
      <c r="K1847" s="1"/>
      <c r="L1847" s="1"/>
      <c r="M1847" s="1"/>
      <c r="N1847" s="1"/>
      <c r="O1847" s="1"/>
      <c r="P1847" s="1"/>
      <c r="Q1847" s="1"/>
      <c r="R1847" s="1"/>
      <c r="S1847" s="1"/>
      <c r="T1847" s="1">
        <f>SUM(T1844:T1846)</f>
        <v>130320</v>
      </c>
      <c r="U1847" s="1"/>
      <c r="V1847" s="1"/>
      <c r="W1847" s="142"/>
    </row>
    <row r="1848" spans="1:23" x14ac:dyDescent="0.3">
      <c r="A1848" s="1"/>
      <c r="B1848" s="1"/>
      <c r="C1848" s="1"/>
      <c r="D1848" s="1"/>
      <c r="E1848" s="1"/>
      <c r="F1848" s="1"/>
      <c r="G1848" s="1"/>
      <c r="H1848" s="1"/>
      <c r="I1848" s="1"/>
      <c r="J1848" s="1">
        <f t="shared" si="361"/>
        <v>0</v>
      </c>
      <c r="K1848" s="1"/>
      <c r="L1848" s="1"/>
      <c r="M1848" s="1"/>
      <c r="N1848" s="1"/>
      <c r="O1848" s="1"/>
      <c r="P1848" s="1"/>
      <c r="Q1848" s="1"/>
      <c r="R1848" s="1"/>
      <c r="S1848" s="1"/>
      <c r="T1848" s="1"/>
      <c r="U1848" s="1"/>
      <c r="V1848" s="1"/>
      <c r="W1848" s="142"/>
    </row>
    <row r="1849" spans="1:23" x14ac:dyDescent="0.3">
      <c r="A1849" s="16">
        <v>168</v>
      </c>
      <c r="B1849" s="16">
        <v>9200157160</v>
      </c>
      <c r="C1849" s="19">
        <v>46055</v>
      </c>
      <c r="D1849" s="16" t="s">
        <v>43</v>
      </c>
      <c r="E1849" s="16" t="s">
        <v>123</v>
      </c>
      <c r="F1849" s="16" t="s">
        <v>1947</v>
      </c>
      <c r="G1849" s="16">
        <v>250</v>
      </c>
      <c r="H1849" s="16" t="s">
        <v>111</v>
      </c>
      <c r="I1849" s="16">
        <v>45</v>
      </c>
      <c r="J1849" s="16">
        <f t="shared" si="361"/>
        <v>11250</v>
      </c>
      <c r="K1849" s="16"/>
      <c r="L1849" s="16"/>
      <c r="M1849" s="16"/>
      <c r="N1849" s="16"/>
      <c r="O1849" s="16">
        <v>250</v>
      </c>
      <c r="P1849" s="16">
        <v>45</v>
      </c>
      <c r="Q1849" s="16">
        <f>O1849*P1849</f>
        <v>11250</v>
      </c>
      <c r="R1849" s="18">
        <v>0</v>
      </c>
      <c r="S1849" s="16">
        <f>Q1849*R1849</f>
        <v>0</v>
      </c>
      <c r="T1849" s="16">
        <f>Q1849+S1849</f>
        <v>11250</v>
      </c>
      <c r="U1849" s="16" t="s">
        <v>2271</v>
      </c>
      <c r="V1849" s="16" t="s">
        <v>2270</v>
      </c>
      <c r="W1849" s="142" t="s">
        <v>2398</v>
      </c>
    </row>
    <row r="1850" spans="1:23" x14ac:dyDescent="0.3">
      <c r="A1850" s="1"/>
      <c r="B1850" s="1"/>
      <c r="C1850" s="1"/>
      <c r="D1850" s="1"/>
      <c r="E1850" s="16" t="s">
        <v>123</v>
      </c>
      <c r="F1850" s="39" t="s">
        <v>1948</v>
      </c>
      <c r="G1850" s="16">
        <v>20</v>
      </c>
      <c r="H1850" s="16" t="s">
        <v>252</v>
      </c>
      <c r="I1850" s="16">
        <v>1450</v>
      </c>
      <c r="J1850" s="16">
        <f t="shared" si="361"/>
        <v>29000</v>
      </c>
      <c r="K1850" s="16">
        <v>20</v>
      </c>
      <c r="L1850" s="16" t="s">
        <v>252</v>
      </c>
      <c r="M1850" s="16" t="s">
        <v>1570</v>
      </c>
      <c r="N1850" s="16" t="s">
        <v>2248</v>
      </c>
      <c r="O1850" s="16">
        <v>20</v>
      </c>
      <c r="P1850" s="16">
        <v>1450</v>
      </c>
      <c r="Q1850" s="16">
        <f t="shared" ref="Q1850:Q1857" si="408">O1850*P1850</f>
        <v>29000</v>
      </c>
      <c r="R1850" s="18">
        <v>0</v>
      </c>
      <c r="S1850" s="16">
        <f t="shared" ref="S1850:S1857" si="409">Q1850*R1850</f>
        <v>0</v>
      </c>
      <c r="T1850" s="16">
        <f t="shared" ref="T1850:T1857" si="410">Q1850+S1850</f>
        <v>29000</v>
      </c>
      <c r="U1850" s="16" t="s">
        <v>2271</v>
      </c>
      <c r="V1850" s="16" t="s">
        <v>2270</v>
      </c>
      <c r="W1850" s="142" t="s">
        <v>2398</v>
      </c>
    </row>
    <row r="1851" spans="1:23" x14ac:dyDescent="0.3">
      <c r="A1851" s="1"/>
      <c r="B1851" s="1"/>
      <c r="C1851" s="1"/>
      <c r="D1851" s="1"/>
      <c r="E1851" s="16" t="s">
        <v>123</v>
      </c>
      <c r="F1851" s="16" t="s">
        <v>1949</v>
      </c>
      <c r="G1851" s="16">
        <v>20</v>
      </c>
      <c r="H1851" s="16" t="s">
        <v>252</v>
      </c>
      <c r="I1851" s="16">
        <v>140</v>
      </c>
      <c r="J1851" s="16">
        <f t="shared" si="361"/>
        <v>2800</v>
      </c>
      <c r="K1851" s="16">
        <v>2</v>
      </c>
      <c r="L1851" s="16" t="s">
        <v>252</v>
      </c>
      <c r="M1851" s="16" t="s">
        <v>1570</v>
      </c>
      <c r="N1851" s="16" t="s">
        <v>2248</v>
      </c>
      <c r="O1851" s="16">
        <v>20</v>
      </c>
      <c r="P1851" s="16">
        <v>140</v>
      </c>
      <c r="Q1851" s="16">
        <f t="shared" si="408"/>
        <v>2800</v>
      </c>
      <c r="R1851" s="18">
        <v>0</v>
      </c>
      <c r="S1851" s="16">
        <f t="shared" si="409"/>
        <v>0</v>
      </c>
      <c r="T1851" s="16">
        <f t="shared" si="410"/>
        <v>2800</v>
      </c>
      <c r="U1851" s="16" t="s">
        <v>2271</v>
      </c>
      <c r="V1851" s="16" t="s">
        <v>2270</v>
      </c>
      <c r="W1851" s="142" t="s">
        <v>2398</v>
      </c>
    </row>
    <row r="1852" spans="1:23" x14ac:dyDescent="0.3">
      <c r="A1852" s="1"/>
      <c r="B1852" s="1"/>
      <c r="C1852" s="1"/>
      <c r="D1852" s="1"/>
      <c r="E1852" s="16" t="s">
        <v>123</v>
      </c>
      <c r="F1852" s="16" t="s">
        <v>1950</v>
      </c>
      <c r="G1852" s="16">
        <v>5</v>
      </c>
      <c r="H1852" s="16" t="s">
        <v>28</v>
      </c>
      <c r="I1852" s="16">
        <v>1450</v>
      </c>
      <c r="J1852" s="16">
        <f t="shared" si="361"/>
        <v>7250</v>
      </c>
      <c r="K1852" s="16">
        <v>5</v>
      </c>
      <c r="L1852" s="16" t="s">
        <v>28</v>
      </c>
      <c r="M1852" s="16" t="s">
        <v>1570</v>
      </c>
      <c r="N1852" s="16" t="s">
        <v>2248</v>
      </c>
      <c r="O1852" s="16">
        <v>5</v>
      </c>
      <c r="P1852" s="16">
        <v>1450</v>
      </c>
      <c r="Q1852" s="16">
        <f t="shared" si="408"/>
        <v>7250</v>
      </c>
      <c r="R1852" s="18">
        <v>0</v>
      </c>
      <c r="S1852" s="16">
        <f t="shared" si="409"/>
        <v>0</v>
      </c>
      <c r="T1852" s="16">
        <f t="shared" si="410"/>
        <v>7250</v>
      </c>
      <c r="U1852" s="16" t="s">
        <v>2271</v>
      </c>
      <c r="V1852" s="16" t="s">
        <v>2270</v>
      </c>
      <c r="W1852" s="142" t="s">
        <v>2398</v>
      </c>
    </row>
    <row r="1853" spans="1:23" x14ac:dyDescent="0.3">
      <c r="A1853" s="1"/>
      <c r="B1853" s="1"/>
      <c r="C1853" s="1"/>
      <c r="D1853" s="1"/>
      <c r="E1853" s="16" t="s">
        <v>123</v>
      </c>
      <c r="F1853" s="16" t="s">
        <v>1951</v>
      </c>
      <c r="G1853" s="16">
        <v>50</v>
      </c>
      <c r="H1853" s="16" t="s">
        <v>252</v>
      </c>
      <c r="I1853" s="16">
        <v>175</v>
      </c>
      <c r="J1853" s="16">
        <f t="shared" si="361"/>
        <v>8750</v>
      </c>
      <c r="K1853" s="16">
        <v>50</v>
      </c>
      <c r="L1853" s="16" t="s">
        <v>111</v>
      </c>
      <c r="M1853" s="16" t="s">
        <v>1570</v>
      </c>
      <c r="N1853" s="16" t="s">
        <v>2178</v>
      </c>
      <c r="O1853" s="16">
        <v>50</v>
      </c>
      <c r="P1853" s="16">
        <v>175</v>
      </c>
      <c r="Q1853" s="16">
        <f t="shared" si="408"/>
        <v>8750</v>
      </c>
      <c r="R1853" s="18">
        <v>0</v>
      </c>
      <c r="S1853" s="16">
        <f t="shared" si="409"/>
        <v>0</v>
      </c>
      <c r="T1853" s="16">
        <f t="shared" si="410"/>
        <v>8750</v>
      </c>
      <c r="U1853" s="16" t="s">
        <v>2271</v>
      </c>
      <c r="V1853" s="16" t="s">
        <v>2270</v>
      </c>
      <c r="W1853" s="142" t="s">
        <v>2398</v>
      </c>
    </row>
    <row r="1854" spans="1:23" x14ac:dyDescent="0.3">
      <c r="A1854" s="1"/>
      <c r="B1854" s="1"/>
      <c r="C1854" s="1"/>
      <c r="D1854" s="1"/>
      <c r="E1854" s="16" t="s">
        <v>123</v>
      </c>
      <c r="F1854" s="16" t="s">
        <v>1952</v>
      </c>
      <c r="G1854" s="16">
        <v>200</v>
      </c>
      <c r="H1854" s="16" t="s">
        <v>111</v>
      </c>
      <c r="I1854" s="16">
        <v>175</v>
      </c>
      <c r="J1854" s="16">
        <f t="shared" si="361"/>
        <v>35000</v>
      </c>
      <c r="K1854" s="16">
        <v>200</v>
      </c>
      <c r="L1854" s="16" t="s">
        <v>111</v>
      </c>
      <c r="M1854" s="16" t="s">
        <v>1570</v>
      </c>
      <c r="N1854" s="16" t="s">
        <v>2178</v>
      </c>
      <c r="O1854" s="16">
        <v>200</v>
      </c>
      <c r="P1854" s="16">
        <v>175</v>
      </c>
      <c r="Q1854" s="16">
        <f t="shared" si="408"/>
        <v>35000</v>
      </c>
      <c r="R1854" s="18">
        <v>0</v>
      </c>
      <c r="S1854" s="16">
        <f t="shared" si="409"/>
        <v>0</v>
      </c>
      <c r="T1854" s="16">
        <f t="shared" si="410"/>
        <v>35000</v>
      </c>
      <c r="U1854" s="16" t="s">
        <v>2271</v>
      </c>
      <c r="V1854" s="16" t="s">
        <v>2270</v>
      </c>
      <c r="W1854" s="142" t="s">
        <v>2398</v>
      </c>
    </row>
    <row r="1855" spans="1:23" ht="37.799999999999997" x14ac:dyDescent="0.3">
      <c r="A1855" s="1"/>
      <c r="B1855" s="1"/>
      <c r="C1855" s="1"/>
      <c r="D1855" s="1"/>
      <c r="E1855" s="16" t="s">
        <v>123</v>
      </c>
      <c r="F1855" s="39" t="s">
        <v>1953</v>
      </c>
      <c r="G1855" s="16">
        <v>10</v>
      </c>
      <c r="H1855" s="16" t="s">
        <v>28</v>
      </c>
      <c r="I1855" s="16">
        <v>35500</v>
      </c>
      <c r="J1855" s="16">
        <f t="shared" si="361"/>
        <v>355000</v>
      </c>
      <c r="K1855" s="16">
        <v>10</v>
      </c>
      <c r="L1855" s="16" t="s">
        <v>181</v>
      </c>
      <c r="M1855" s="16" t="s">
        <v>1570</v>
      </c>
      <c r="N1855" s="16" t="s">
        <v>2233</v>
      </c>
      <c r="O1855" s="16">
        <v>10</v>
      </c>
      <c r="P1855" s="16">
        <v>35500</v>
      </c>
      <c r="Q1855" s="16">
        <f t="shared" si="408"/>
        <v>355000</v>
      </c>
      <c r="R1855" s="18">
        <v>0</v>
      </c>
      <c r="S1855" s="16">
        <f t="shared" si="409"/>
        <v>0</v>
      </c>
      <c r="T1855" s="16">
        <f t="shared" si="410"/>
        <v>355000</v>
      </c>
      <c r="U1855" s="16" t="s">
        <v>2271</v>
      </c>
      <c r="V1855" s="16" t="s">
        <v>2270</v>
      </c>
      <c r="W1855" s="142" t="s">
        <v>2398</v>
      </c>
    </row>
    <row r="1856" spans="1:23" x14ac:dyDescent="0.3">
      <c r="A1856" s="1"/>
      <c r="B1856" s="1"/>
      <c r="C1856" s="1"/>
      <c r="D1856" s="1"/>
      <c r="E1856" s="16" t="s">
        <v>123</v>
      </c>
      <c r="F1856" s="16" t="s">
        <v>1954</v>
      </c>
      <c r="G1856" s="16">
        <v>3</v>
      </c>
      <c r="H1856" s="16" t="s">
        <v>28</v>
      </c>
      <c r="I1856" s="16">
        <v>3500</v>
      </c>
      <c r="J1856" s="16">
        <f t="shared" si="361"/>
        <v>10500</v>
      </c>
      <c r="K1856" s="16">
        <v>3</v>
      </c>
      <c r="L1856" s="16" t="s">
        <v>28</v>
      </c>
      <c r="M1856" s="16" t="s">
        <v>1570</v>
      </c>
      <c r="N1856" s="16" t="s">
        <v>2247</v>
      </c>
      <c r="O1856" s="16">
        <v>3</v>
      </c>
      <c r="P1856" s="16">
        <v>3500</v>
      </c>
      <c r="Q1856" s="16">
        <f t="shared" si="408"/>
        <v>10500</v>
      </c>
      <c r="R1856" s="18">
        <v>0</v>
      </c>
      <c r="S1856" s="16">
        <f t="shared" si="409"/>
        <v>0</v>
      </c>
      <c r="T1856" s="16">
        <f t="shared" si="410"/>
        <v>10500</v>
      </c>
      <c r="U1856" s="16" t="s">
        <v>2271</v>
      </c>
      <c r="V1856" s="16" t="s">
        <v>2270</v>
      </c>
      <c r="W1856" s="142" t="s">
        <v>2398</v>
      </c>
    </row>
    <row r="1857" spans="1:23" x14ac:dyDescent="0.3">
      <c r="A1857" s="1"/>
      <c r="B1857" s="1"/>
      <c r="C1857" s="1"/>
      <c r="D1857" s="1"/>
      <c r="E1857" s="16" t="s">
        <v>123</v>
      </c>
      <c r="F1857" s="16" t="s">
        <v>1955</v>
      </c>
      <c r="G1857" s="16">
        <v>2</v>
      </c>
      <c r="H1857" s="16" t="s">
        <v>815</v>
      </c>
      <c r="I1857" s="16">
        <v>3800</v>
      </c>
      <c r="J1857" s="16">
        <f t="shared" si="361"/>
        <v>7600</v>
      </c>
      <c r="K1857" s="16" t="s">
        <v>2194</v>
      </c>
      <c r="L1857" s="16"/>
      <c r="M1857" s="16" t="s">
        <v>1570</v>
      </c>
      <c r="N1857" s="16" t="s">
        <v>2195</v>
      </c>
      <c r="O1857" s="16">
        <v>2</v>
      </c>
      <c r="P1857" s="16">
        <v>3800</v>
      </c>
      <c r="Q1857" s="16">
        <f t="shared" si="408"/>
        <v>7600</v>
      </c>
      <c r="R1857" s="18">
        <v>0</v>
      </c>
      <c r="S1857" s="16">
        <f t="shared" si="409"/>
        <v>0</v>
      </c>
      <c r="T1857" s="16">
        <f t="shared" si="410"/>
        <v>7600</v>
      </c>
      <c r="U1857" s="16" t="s">
        <v>2271</v>
      </c>
      <c r="V1857" s="16" t="s">
        <v>2270</v>
      </c>
      <c r="W1857" s="142" t="s">
        <v>2398</v>
      </c>
    </row>
    <row r="1858" spans="1:23" x14ac:dyDescent="0.3">
      <c r="A1858" s="1"/>
      <c r="B1858" s="1"/>
      <c r="C1858" s="1"/>
      <c r="D1858" s="1"/>
      <c r="E1858" s="1"/>
      <c r="F1858" s="124" t="s">
        <v>39</v>
      </c>
      <c r="G1858" s="1"/>
      <c r="H1858" s="1"/>
      <c r="I1858" s="1"/>
      <c r="J1858" s="124">
        <f>SUM(J1849:J1857)</f>
        <v>467150</v>
      </c>
      <c r="K1858" s="1"/>
      <c r="L1858" s="1"/>
      <c r="M1858" s="1"/>
      <c r="N1858" s="1"/>
      <c r="O1858" s="1"/>
      <c r="P1858" s="1"/>
      <c r="Q1858" s="1"/>
      <c r="R1858" s="1"/>
      <c r="S1858" s="1"/>
      <c r="T1858" s="1"/>
      <c r="U1858" s="1"/>
      <c r="V1858" s="1"/>
      <c r="W1858" s="142"/>
    </row>
    <row r="1859" spans="1:23" x14ac:dyDescent="0.3">
      <c r="A1859" s="1"/>
      <c r="B1859" s="1"/>
      <c r="C1859" s="1"/>
      <c r="D1859" s="1"/>
      <c r="E1859" s="1"/>
      <c r="F1859" s="124" t="s">
        <v>599</v>
      </c>
      <c r="G1859" s="1"/>
      <c r="H1859" s="1"/>
      <c r="I1859" s="1"/>
      <c r="J1859" s="124">
        <f>J1858*0/100</f>
        <v>0</v>
      </c>
      <c r="K1859" s="1"/>
      <c r="L1859" s="1"/>
      <c r="M1859" s="1"/>
      <c r="N1859" s="1"/>
      <c r="O1859" s="1"/>
      <c r="P1859" s="1"/>
      <c r="Q1859" s="1"/>
      <c r="R1859" s="1"/>
      <c r="S1859" s="1"/>
      <c r="T1859" s="1"/>
      <c r="U1859" s="1"/>
      <c r="V1859" s="1"/>
      <c r="W1859" s="142"/>
    </row>
    <row r="1860" spans="1:23" x14ac:dyDescent="0.3">
      <c r="A1860" s="1"/>
      <c r="B1860" s="1"/>
      <c r="C1860" s="1"/>
      <c r="D1860" s="1"/>
      <c r="E1860" s="1"/>
      <c r="F1860" s="124" t="s">
        <v>41</v>
      </c>
      <c r="G1860" s="1"/>
      <c r="H1860" s="1"/>
      <c r="I1860" s="1"/>
      <c r="J1860" s="124">
        <f>SUM(J1858:J1859)</f>
        <v>467150</v>
      </c>
      <c r="K1860" s="1"/>
      <c r="L1860" s="1"/>
      <c r="M1860" s="1"/>
      <c r="N1860" s="1"/>
      <c r="O1860" s="1"/>
      <c r="P1860" s="1"/>
      <c r="Q1860" s="1"/>
      <c r="R1860" s="1"/>
      <c r="S1860" s="1"/>
      <c r="T1860" s="1">
        <f>SUM(T1849:T1859)</f>
        <v>467150</v>
      </c>
      <c r="U1860" s="1"/>
      <c r="V1860" s="1"/>
      <c r="W1860" s="142"/>
    </row>
    <row r="1861" spans="1:23" x14ac:dyDescent="0.3">
      <c r="A1861" s="1"/>
      <c r="B1861" s="1"/>
      <c r="C1861" s="1"/>
      <c r="D1861" s="1"/>
      <c r="E1861" s="1"/>
      <c r="F1861" s="1"/>
      <c r="G1861" s="1"/>
      <c r="H1861" s="1"/>
      <c r="I1861" s="1"/>
      <c r="J1861" s="1">
        <f t="shared" si="361"/>
        <v>0</v>
      </c>
      <c r="K1861" s="1"/>
      <c r="L1861" s="1"/>
      <c r="M1861" s="1"/>
      <c r="N1861" s="1"/>
      <c r="O1861" s="1"/>
      <c r="P1861" s="1"/>
      <c r="Q1861" s="1"/>
      <c r="R1861" s="1"/>
      <c r="S1861" s="1"/>
      <c r="T1861" s="1"/>
      <c r="U1861" s="1"/>
      <c r="V1861" s="1"/>
      <c r="W1861" s="142"/>
    </row>
    <row r="1862" spans="1:23" ht="25.2" x14ac:dyDescent="0.3">
      <c r="A1862" s="16">
        <v>169</v>
      </c>
      <c r="B1862" s="16">
        <v>9200157261</v>
      </c>
      <c r="C1862" s="19">
        <v>46055</v>
      </c>
      <c r="D1862" s="16" t="s">
        <v>799</v>
      </c>
      <c r="E1862" s="16" t="s">
        <v>123</v>
      </c>
      <c r="F1862" s="39" t="s">
        <v>1930</v>
      </c>
      <c r="G1862" s="16">
        <v>150</v>
      </c>
      <c r="H1862" s="16" t="s">
        <v>111</v>
      </c>
      <c r="I1862" s="16">
        <v>572</v>
      </c>
      <c r="J1862" s="16">
        <f t="shared" ref="J1862:J1863" si="411">G1862*I1862</f>
        <v>85800</v>
      </c>
      <c r="K1862" s="16">
        <v>150</v>
      </c>
      <c r="L1862" s="16" t="s">
        <v>111</v>
      </c>
      <c r="M1862" s="16" t="s">
        <v>1570</v>
      </c>
      <c r="N1862" s="16" t="s">
        <v>2139</v>
      </c>
      <c r="O1862" s="16">
        <v>150</v>
      </c>
      <c r="P1862" s="16">
        <v>572</v>
      </c>
      <c r="Q1862" s="16">
        <f>O1862*P1862</f>
        <v>85800</v>
      </c>
      <c r="R1862" s="18">
        <v>0</v>
      </c>
      <c r="S1862" s="16">
        <f>Q1862*R1862</f>
        <v>0</v>
      </c>
      <c r="T1862" s="16">
        <f>Q1862+S1862</f>
        <v>85800</v>
      </c>
      <c r="U1862" s="16" t="s">
        <v>2169</v>
      </c>
      <c r="V1862" s="19" t="s">
        <v>2170</v>
      </c>
      <c r="W1862" s="142" t="s">
        <v>2207</v>
      </c>
    </row>
    <row r="1863" spans="1:23" ht="25.2" x14ac:dyDescent="0.3">
      <c r="A1863" s="1"/>
      <c r="B1863" s="1"/>
      <c r="C1863" s="1"/>
      <c r="D1863" s="1"/>
      <c r="E1863" s="16" t="s">
        <v>123</v>
      </c>
      <c r="F1863" s="39" t="s">
        <v>1931</v>
      </c>
      <c r="G1863" s="16">
        <v>1</v>
      </c>
      <c r="H1863" s="16" t="s">
        <v>28</v>
      </c>
      <c r="I1863" s="16">
        <v>43200</v>
      </c>
      <c r="J1863" s="16">
        <f t="shared" si="411"/>
        <v>43200</v>
      </c>
      <c r="K1863" s="16">
        <v>1</v>
      </c>
      <c r="L1863" s="16" t="s">
        <v>28</v>
      </c>
      <c r="M1863" s="16" t="s">
        <v>1570</v>
      </c>
      <c r="N1863" s="16" t="s">
        <v>2128</v>
      </c>
      <c r="O1863" s="16">
        <v>1</v>
      </c>
      <c r="P1863" s="16">
        <v>43200</v>
      </c>
      <c r="Q1863" s="16">
        <f>O1863*P1863</f>
        <v>43200</v>
      </c>
      <c r="R1863" s="18">
        <v>0</v>
      </c>
      <c r="S1863" s="16">
        <f>Q1863*R1863</f>
        <v>0</v>
      </c>
      <c r="T1863" s="16">
        <f>Q1863+S1863</f>
        <v>43200</v>
      </c>
      <c r="U1863" s="16" t="s">
        <v>2169</v>
      </c>
      <c r="V1863" s="19" t="s">
        <v>2170</v>
      </c>
      <c r="W1863" s="142" t="s">
        <v>2207</v>
      </c>
    </row>
    <row r="1864" spans="1:23" x14ac:dyDescent="0.3">
      <c r="A1864" s="1"/>
      <c r="B1864" s="1"/>
      <c r="C1864" s="1"/>
      <c r="D1864" s="1"/>
      <c r="E1864" s="1"/>
      <c r="F1864" s="124" t="s">
        <v>39</v>
      </c>
      <c r="G1864" s="1"/>
      <c r="H1864" s="1"/>
      <c r="I1864" s="1"/>
      <c r="J1864" s="124">
        <f>SUM(J1862:J1863)</f>
        <v>129000</v>
      </c>
      <c r="K1864" s="1"/>
      <c r="L1864" s="1"/>
      <c r="M1864" s="1"/>
      <c r="N1864" s="1"/>
      <c r="O1864" s="1"/>
      <c r="P1864" s="1"/>
      <c r="Q1864" s="1"/>
      <c r="R1864" s="1"/>
      <c r="S1864" s="1"/>
      <c r="T1864" s="1"/>
      <c r="U1864" s="1"/>
      <c r="V1864" s="1"/>
      <c r="W1864" s="142"/>
    </row>
    <row r="1865" spans="1:23" x14ac:dyDescent="0.3">
      <c r="A1865" s="1"/>
      <c r="B1865" s="1"/>
      <c r="C1865" s="1"/>
      <c r="D1865" s="1"/>
      <c r="E1865" s="1"/>
      <c r="F1865" s="124" t="s">
        <v>599</v>
      </c>
      <c r="G1865" s="1"/>
      <c r="H1865" s="1"/>
      <c r="I1865" s="1"/>
      <c r="J1865" s="124">
        <f>J1864*0/100</f>
        <v>0</v>
      </c>
      <c r="K1865" s="1"/>
      <c r="L1865" s="1"/>
      <c r="M1865" s="1"/>
      <c r="N1865" s="1"/>
      <c r="O1865" s="1"/>
      <c r="P1865" s="1"/>
      <c r="Q1865" s="1"/>
      <c r="R1865" s="1"/>
      <c r="S1865" s="1"/>
      <c r="T1865" s="1">
        <f>SUM(T1862:T1864)</f>
        <v>129000</v>
      </c>
      <c r="U1865" s="1"/>
      <c r="V1865" s="1"/>
      <c r="W1865" s="142"/>
    </row>
    <row r="1866" spans="1:23" x14ac:dyDescent="0.3">
      <c r="A1866" s="1"/>
      <c r="B1866" s="1"/>
      <c r="C1866" s="1"/>
      <c r="D1866" s="1"/>
      <c r="E1866" s="1"/>
      <c r="F1866" s="124" t="s">
        <v>41</v>
      </c>
      <c r="G1866" s="1"/>
      <c r="H1866" s="1"/>
      <c r="I1866" s="1"/>
      <c r="J1866" s="124">
        <f>SUM(J1864:J1865)</f>
        <v>129000</v>
      </c>
      <c r="K1866" s="1"/>
      <c r="L1866" s="1"/>
      <c r="M1866" s="1"/>
      <c r="N1866" s="1"/>
      <c r="O1866" s="1"/>
      <c r="P1866" s="1"/>
      <c r="Q1866" s="1"/>
      <c r="R1866" s="1"/>
      <c r="S1866" s="1"/>
      <c r="T1866" s="1"/>
      <c r="U1866" s="1"/>
      <c r="V1866" s="1"/>
      <c r="W1866" s="142"/>
    </row>
    <row r="1867" spans="1:23" x14ac:dyDescent="0.3">
      <c r="A1867" s="1"/>
      <c r="B1867" s="1"/>
      <c r="C1867" s="1"/>
      <c r="D1867" s="1"/>
      <c r="E1867" s="1"/>
      <c r="F1867" s="1"/>
      <c r="G1867" s="1"/>
      <c r="H1867" s="1"/>
      <c r="I1867" s="1"/>
      <c r="J1867" s="1"/>
      <c r="K1867" s="1"/>
      <c r="L1867" s="1"/>
      <c r="M1867" s="1"/>
      <c r="N1867" s="1"/>
      <c r="O1867" s="1"/>
      <c r="P1867" s="1"/>
      <c r="Q1867" s="1"/>
      <c r="R1867" s="1"/>
      <c r="S1867" s="1"/>
      <c r="T1867" s="1"/>
      <c r="U1867" s="1"/>
      <c r="V1867" s="1"/>
      <c r="W1867" s="142"/>
    </row>
    <row r="1868" spans="1:23" ht="25.2" x14ac:dyDescent="0.3">
      <c r="A1868" s="16">
        <v>170</v>
      </c>
      <c r="B1868" s="16">
        <v>9200157469</v>
      </c>
      <c r="C1868" s="19">
        <v>46114</v>
      </c>
      <c r="D1868" s="16" t="s">
        <v>300</v>
      </c>
      <c r="E1868" s="16" t="s">
        <v>123</v>
      </c>
      <c r="F1868" s="39" t="s">
        <v>1963</v>
      </c>
      <c r="G1868" s="16">
        <v>2</v>
      </c>
      <c r="H1868" s="16" t="s">
        <v>28</v>
      </c>
      <c r="I1868" s="16">
        <v>4250</v>
      </c>
      <c r="J1868" s="16">
        <f t="shared" si="361"/>
        <v>8500</v>
      </c>
      <c r="K1868" s="16" t="s">
        <v>1995</v>
      </c>
      <c r="L1868" s="16"/>
      <c r="M1868" s="16" t="s">
        <v>91</v>
      </c>
      <c r="N1868" s="16" t="s">
        <v>2010</v>
      </c>
      <c r="O1868" s="16">
        <v>2</v>
      </c>
      <c r="P1868" s="16">
        <v>4250</v>
      </c>
      <c r="Q1868" s="16">
        <f>O1868*P1868</f>
        <v>8500</v>
      </c>
      <c r="R1868" s="18">
        <v>0.18</v>
      </c>
      <c r="S1868" s="16">
        <f>Q1868*R1868</f>
        <v>1530</v>
      </c>
      <c r="T1868" s="16">
        <f>Q1868+S1868</f>
        <v>10030</v>
      </c>
      <c r="U1868" s="16" t="s">
        <v>2070</v>
      </c>
      <c r="V1868" s="19" t="s">
        <v>2013</v>
      </c>
      <c r="W1868" s="142" t="s">
        <v>2172</v>
      </c>
    </row>
    <row r="1869" spans="1:23" x14ac:dyDescent="0.3">
      <c r="A1869" s="1"/>
      <c r="B1869" s="1"/>
      <c r="C1869" s="1"/>
      <c r="D1869" s="1"/>
      <c r="E1869" s="16" t="s">
        <v>123</v>
      </c>
      <c r="F1869" s="16" t="s">
        <v>1964</v>
      </c>
      <c r="G1869" s="16">
        <v>11</v>
      </c>
      <c r="H1869" s="16" t="s">
        <v>28</v>
      </c>
      <c r="I1869" s="16">
        <v>280</v>
      </c>
      <c r="J1869" s="16">
        <f t="shared" si="361"/>
        <v>3080</v>
      </c>
      <c r="K1869" s="16"/>
      <c r="L1869" s="16"/>
      <c r="M1869" s="16" t="s">
        <v>91</v>
      </c>
      <c r="N1869" s="16" t="s">
        <v>2009</v>
      </c>
      <c r="O1869" s="16">
        <v>11</v>
      </c>
      <c r="P1869" s="16">
        <v>280</v>
      </c>
      <c r="Q1869" s="16">
        <f>O1869*P1869</f>
        <v>3080</v>
      </c>
      <c r="R1869" s="18">
        <v>0.18</v>
      </c>
      <c r="S1869" s="16">
        <f>Q1869*R1869</f>
        <v>554.4</v>
      </c>
      <c r="T1869" s="16">
        <f>Q1869+S1869</f>
        <v>3634.4</v>
      </c>
      <c r="U1869" s="16" t="s">
        <v>2070</v>
      </c>
      <c r="V1869" s="19" t="s">
        <v>2013</v>
      </c>
      <c r="W1869" s="142" t="s">
        <v>2172</v>
      </c>
    </row>
    <row r="1870" spans="1:23" x14ac:dyDescent="0.3">
      <c r="A1870" s="1"/>
      <c r="B1870" s="1"/>
      <c r="C1870" s="1"/>
      <c r="D1870" s="1"/>
      <c r="E1870" s="1"/>
      <c r="F1870" s="124" t="s">
        <v>39</v>
      </c>
      <c r="G1870" s="1"/>
      <c r="H1870" s="1"/>
      <c r="I1870" s="1"/>
      <c r="J1870" s="124">
        <f>SUM(J1868:J1869)</f>
        <v>11580</v>
      </c>
      <c r="K1870" s="1"/>
      <c r="L1870" s="1"/>
      <c r="M1870" s="1"/>
      <c r="N1870" s="1"/>
      <c r="O1870" s="1"/>
      <c r="P1870" s="1"/>
      <c r="Q1870" s="1"/>
      <c r="R1870" s="1"/>
      <c r="S1870" s="1"/>
      <c r="T1870" s="1"/>
      <c r="U1870" s="1"/>
      <c r="V1870" s="1"/>
      <c r="W1870" s="142"/>
    </row>
    <row r="1871" spans="1:23" x14ac:dyDescent="0.3">
      <c r="A1871" s="1"/>
      <c r="B1871" s="1"/>
      <c r="C1871" s="1"/>
      <c r="D1871" s="1"/>
      <c r="E1871" s="1"/>
      <c r="F1871" s="124" t="s">
        <v>187</v>
      </c>
      <c r="G1871" s="1"/>
      <c r="H1871" s="1"/>
      <c r="I1871" s="1"/>
      <c r="J1871" s="124">
        <f>J1870*18/100</f>
        <v>2084.4</v>
      </c>
      <c r="K1871" s="1"/>
      <c r="L1871" s="1"/>
      <c r="M1871" s="1"/>
      <c r="N1871" s="1"/>
      <c r="O1871" s="1"/>
      <c r="P1871" s="1"/>
      <c r="Q1871" s="1"/>
      <c r="R1871" s="1"/>
      <c r="S1871" s="1"/>
      <c r="T1871" s="1"/>
      <c r="U1871" s="1"/>
      <c r="V1871" s="1"/>
      <c r="W1871" s="142"/>
    </row>
    <row r="1872" spans="1:23" x14ac:dyDescent="0.3">
      <c r="A1872" s="1"/>
      <c r="B1872" s="1"/>
      <c r="C1872" s="1"/>
      <c r="D1872" s="1"/>
      <c r="E1872" s="1"/>
      <c r="F1872" s="124" t="s">
        <v>41</v>
      </c>
      <c r="G1872" s="1"/>
      <c r="H1872" s="1"/>
      <c r="I1872" s="1"/>
      <c r="J1872" s="124">
        <f>SUM(J1870:J1871)</f>
        <v>13664.4</v>
      </c>
      <c r="K1872" s="1"/>
      <c r="L1872" s="1"/>
      <c r="M1872" s="1"/>
      <c r="N1872" s="1"/>
      <c r="O1872" s="1"/>
      <c r="P1872" s="1"/>
      <c r="Q1872" s="1"/>
      <c r="R1872" s="1"/>
      <c r="S1872" s="1"/>
      <c r="T1872" s="1">
        <f>SUM(T1868:T1871)</f>
        <v>13664.4</v>
      </c>
      <c r="U1872" s="1"/>
      <c r="V1872" s="1"/>
      <c r="W1872" s="142"/>
    </row>
    <row r="1873" spans="1:23" x14ac:dyDescent="0.3">
      <c r="A1873" s="1"/>
      <c r="B1873" s="1"/>
      <c r="C1873" s="1"/>
      <c r="D1873" s="1"/>
      <c r="E1873" s="1"/>
      <c r="F1873" s="1"/>
      <c r="G1873" s="1"/>
      <c r="H1873" s="1"/>
      <c r="I1873" s="1"/>
      <c r="J1873" s="1"/>
      <c r="K1873" s="1"/>
      <c r="L1873" s="1"/>
      <c r="M1873" s="1"/>
      <c r="N1873" s="1"/>
      <c r="O1873" s="1"/>
      <c r="P1873" s="1"/>
      <c r="Q1873" s="1"/>
      <c r="R1873" s="1"/>
      <c r="S1873" s="1"/>
      <c r="T1873" s="1"/>
      <c r="U1873" s="1"/>
      <c r="V1873" s="1"/>
      <c r="W1873" s="142"/>
    </row>
    <row r="1874" spans="1:23" ht="25.2" x14ac:dyDescent="0.3">
      <c r="A1874" s="16">
        <v>171</v>
      </c>
      <c r="B1874" s="16">
        <v>8500039584</v>
      </c>
      <c r="C1874" s="19">
        <v>46114</v>
      </c>
      <c r="D1874" s="16" t="s">
        <v>300</v>
      </c>
      <c r="E1874" s="16" t="s">
        <v>127</v>
      </c>
      <c r="F1874" s="39" t="s">
        <v>1967</v>
      </c>
      <c r="G1874" s="16">
        <v>2</v>
      </c>
      <c r="H1874" s="16" t="s">
        <v>28</v>
      </c>
      <c r="I1874" s="16">
        <v>5570</v>
      </c>
      <c r="J1874" s="16">
        <f t="shared" si="361"/>
        <v>11140</v>
      </c>
      <c r="K1874" s="16"/>
      <c r="L1874" s="16"/>
      <c r="M1874" s="16"/>
      <c r="N1874" s="16"/>
      <c r="O1874" s="16">
        <v>2</v>
      </c>
      <c r="P1874" s="16">
        <v>5570</v>
      </c>
      <c r="Q1874" s="16">
        <f>O1874*P1874</f>
        <v>11140</v>
      </c>
      <c r="R1874" s="18">
        <v>0.18</v>
      </c>
      <c r="S1874" s="16">
        <f>Q1874*R1874</f>
        <v>2005.1999999999998</v>
      </c>
      <c r="T1874" s="16">
        <f>Q1874+S1874</f>
        <v>13145.2</v>
      </c>
      <c r="U1874" s="16" t="s">
        <v>2071</v>
      </c>
      <c r="V1874" s="19">
        <v>46080</v>
      </c>
      <c r="W1874" s="142" t="s">
        <v>2154</v>
      </c>
    </row>
    <row r="1875" spans="1:23" x14ac:dyDescent="0.3">
      <c r="A1875" s="1"/>
      <c r="B1875" s="1"/>
      <c r="C1875" s="1"/>
      <c r="D1875" s="1"/>
      <c r="E1875" s="1"/>
      <c r="F1875" s="124" t="s">
        <v>39</v>
      </c>
      <c r="G1875" s="1"/>
      <c r="H1875" s="1"/>
      <c r="I1875" s="1"/>
      <c r="J1875" s="124">
        <f>SUM(J1874)</f>
        <v>11140</v>
      </c>
      <c r="K1875" s="1"/>
      <c r="L1875" s="1"/>
      <c r="M1875" s="1"/>
      <c r="N1875" s="1"/>
      <c r="O1875" s="1"/>
      <c r="P1875" s="1"/>
      <c r="Q1875" s="1"/>
      <c r="R1875" s="1"/>
      <c r="S1875" s="1"/>
      <c r="T1875" s="1"/>
      <c r="U1875" s="1"/>
      <c r="V1875" s="1"/>
      <c r="W1875" s="142"/>
    </row>
    <row r="1876" spans="1:23" x14ac:dyDescent="0.3">
      <c r="A1876" s="1"/>
      <c r="B1876" s="1"/>
      <c r="C1876" s="1"/>
      <c r="D1876" s="1"/>
      <c r="E1876" s="1"/>
      <c r="F1876" s="124" t="s">
        <v>187</v>
      </c>
      <c r="G1876" s="1"/>
      <c r="H1876" s="1"/>
      <c r="I1876" s="1"/>
      <c r="J1876" s="124">
        <f>J1875*18/100</f>
        <v>2005.2</v>
      </c>
      <c r="K1876" s="1"/>
      <c r="L1876" s="1"/>
      <c r="M1876" s="1"/>
      <c r="N1876" s="1"/>
      <c r="O1876" s="1"/>
      <c r="P1876" s="1"/>
      <c r="Q1876" s="1"/>
      <c r="R1876" s="1"/>
      <c r="S1876" s="1"/>
      <c r="T1876" s="1"/>
      <c r="U1876" s="1"/>
      <c r="V1876" s="1"/>
      <c r="W1876" s="142"/>
    </row>
    <row r="1877" spans="1:23" x14ac:dyDescent="0.3">
      <c r="A1877" s="1"/>
      <c r="B1877" s="1"/>
      <c r="C1877" s="1"/>
      <c r="D1877" s="1"/>
      <c r="E1877" s="1"/>
      <c r="F1877" s="124" t="s">
        <v>41</v>
      </c>
      <c r="G1877" s="1"/>
      <c r="H1877" s="1"/>
      <c r="I1877" s="1"/>
      <c r="J1877" s="124">
        <f>SUM(J1875:J1876)</f>
        <v>13145.2</v>
      </c>
      <c r="K1877" s="1"/>
      <c r="L1877" s="1"/>
      <c r="M1877" s="1"/>
      <c r="N1877" s="1"/>
      <c r="O1877" s="1"/>
      <c r="P1877" s="1"/>
      <c r="Q1877" s="1"/>
      <c r="R1877" s="1"/>
      <c r="S1877" s="1"/>
      <c r="T1877" s="1">
        <f>SUM(T1874:T1876)</f>
        <v>13145.2</v>
      </c>
      <c r="U1877" s="1"/>
      <c r="V1877" s="1"/>
      <c r="W1877" s="142"/>
    </row>
    <row r="1878" spans="1:23" x14ac:dyDescent="0.3">
      <c r="A1878" s="1"/>
      <c r="B1878" s="1"/>
      <c r="C1878" s="1"/>
      <c r="D1878" s="1"/>
      <c r="E1878" s="1"/>
      <c r="F1878" s="1"/>
      <c r="G1878" s="1"/>
      <c r="H1878" s="1"/>
      <c r="I1878" s="1"/>
      <c r="J1878" s="1"/>
      <c r="K1878" s="1"/>
      <c r="L1878" s="1"/>
      <c r="M1878" s="1"/>
      <c r="N1878" s="1"/>
      <c r="O1878" s="1"/>
      <c r="P1878" s="1"/>
      <c r="Q1878" s="1"/>
      <c r="R1878" s="1"/>
      <c r="S1878" s="1"/>
      <c r="T1878" s="1"/>
      <c r="U1878" s="1"/>
      <c r="V1878" s="1"/>
      <c r="W1878" s="142"/>
    </row>
    <row r="1879" spans="1:23" ht="25.2" x14ac:dyDescent="0.3">
      <c r="A1879" s="101">
        <v>172</v>
      </c>
      <c r="B1879" s="101">
        <v>8600063901</v>
      </c>
      <c r="C1879" s="164">
        <v>45810</v>
      </c>
      <c r="D1879" s="101" t="s">
        <v>1502</v>
      </c>
      <c r="E1879" s="101" t="s">
        <v>127</v>
      </c>
      <c r="F1879" s="102" t="s">
        <v>1971</v>
      </c>
      <c r="G1879" s="101">
        <v>225</v>
      </c>
      <c r="H1879" s="101" t="s">
        <v>60</v>
      </c>
      <c r="I1879" s="101">
        <v>180</v>
      </c>
      <c r="J1879" s="101">
        <f t="shared" si="361"/>
        <v>40500</v>
      </c>
      <c r="K1879" s="182">
        <v>225</v>
      </c>
      <c r="L1879" s="182" t="s">
        <v>60</v>
      </c>
      <c r="M1879" s="182" t="s">
        <v>91</v>
      </c>
      <c r="N1879" s="182" t="s">
        <v>2134</v>
      </c>
      <c r="O1879" s="1"/>
      <c r="P1879" s="1"/>
      <c r="Q1879" s="1"/>
      <c r="R1879" s="1"/>
      <c r="S1879" s="1"/>
      <c r="T1879" s="1"/>
      <c r="U1879" s="1"/>
      <c r="V1879" s="1"/>
      <c r="W1879" s="142"/>
    </row>
    <row r="1880" spans="1:23" ht="25.2" x14ac:dyDescent="0.3">
      <c r="A1880" s="183"/>
      <c r="B1880" s="183" t="s">
        <v>2156</v>
      </c>
      <c r="C1880" s="101"/>
      <c r="D1880" s="101"/>
      <c r="E1880" s="101" t="s">
        <v>127</v>
      </c>
      <c r="F1880" s="102" t="s">
        <v>1972</v>
      </c>
      <c r="G1880" s="101">
        <v>5</v>
      </c>
      <c r="H1880" s="101" t="s">
        <v>28</v>
      </c>
      <c r="I1880" s="101">
        <v>980</v>
      </c>
      <c r="J1880" s="101">
        <f t="shared" si="361"/>
        <v>4900</v>
      </c>
      <c r="K1880" s="182">
        <v>5</v>
      </c>
      <c r="L1880" s="182" t="s">
        <v>181</v>
      </c>
      <c r="M1880" s="182" t="s">
        <v>91</v>
      </c>
      <c r="N1880" s="182" t="s">
        <v>2134</v>
      </c>
      <c r="O1880" s="1"/>
      <c r="P1880" s="1"/>
      <c r="Q1880" s="1"/>
      <c r="R1880" s="1"/>
      <c r="S1880" s="1"/>
      <c r="T1880" s="1"/>
      <c r="U1880" s="1"/>
      <c r="V1880" s="1"/>
      <c r="W1880" s="142"/>
    </row>
    <row r="1881" spans="1:23" ht="25.2" x14ac:dyDescent="0.3">
      <c r="A1881" s="101"/>
      <c r="B1881" s="101"/>
      <c r="C1881" s="101"/>
      <c r="D1881" s="101"/>
      <c r="E1881" s="101" t="s">
        <v>127</v>
      </c>
      <c r="F1881" s="102" t="s">
        <v>1973</v>
      </c>
      <c r="G1881" s="101">
        <v>5</v>
      </c>
      <c r="H1881" s="101" t="s">
        <v>28</v>
      </c>
      <c r="I1881" s="101">
        <v>180</v>
      </c>
      <c r="J1881" s="101">
        <f t="shared" si="361"/>
        <v>900</v>
      </c>
      <c r="K1881" s="182">
        <v>5</v>
      </c>
      <c r="L1881" s="182" t="s">
        <v>28</v>
      </c>
      <c r="M1881" s="182" t="s">
        <v>91</v>
      </c>
      <c r="N1881" s="182" t="s">
        <v>2134</v>
      </c>
      <c r="O1881" s="1"/>
      <c r="P1881" s="1"/>
      <c r="Q1881" s="1"/>
      <c r="R1881" s="1"/>
      <c r="S1881" s="1"/>
      <c r="T1881" s="1"/>
      <c r="U1881" s="1"/>
      <c r="V1881" s="1"/>
      <c r="W1881" s="142"/>
    </row>
    <row r="1882" spans="1:23" x14ac:dyDescent="0.3">
      <c r="A1882" s="1"/>
      <c r="B1882" s="1"/>
      <c r="C1882" s="1"/>
      <c r="D1882" s="1"/>
      <c r="E1882" s="1"/>
      <c r="F1882" s="124" t="s">
        <v>39</v>
      </c>
      <c r="G1882" s="1"/>
      <c r="H1882" s="1"/>
      <c r="I1882" s="1"/>
      <c r="J1882" s="124">
        <f>SUM(J1879:J1881)</f>
        <v>46300</v>
      </c>
      <c r="K1882" s="1"/>
      <c r="L1882" s="1"/>
      <c r="M1882" s="1"/>
      <c r="N1882" s="1"/>
      <c r="O1882" s="1"/>
      <c r="P1882" s="1"/>
      <c r="Q1882" s="1"/>
      <c r="R1882" s="1"/>
      <c r="S1882" s="1"/>
      <c r="T1882" s="1"/>
      <c r="U1882" s="1"/>
      <c r="V1882" s="1"/>
      <c r="W1882" s="142"/>
    </row>
    <row r="1883" spans="1:23" x14ac:dyDescent="0.3">
      <c r="A1883" s="1"/>
      <c r="B1883" s="1"/>
      <c r="C1883" s="1"/>
      <c r="D1883" s="1"/>
      <c r="E1883" s="1"/>
      <c r="F1883" s="124" t="s">
        <v>187</v>
      </c>
      <c r="G1883" s="1"/>
      <c r="H1883" s="1"/>
      <c r="I1883" s="1"/>
      <c r="J1883" s="124">
        <f>J1882*0/100</f>
        <v>0</v>
      </c>
      <c r="K1883" s="1"/>
      <c r="L1883" s="1"/>
      <c r="M1883" s="1"/>
      <c r="N1883" s="1"/>
      <c r="O1883" s="1"/>
      <c r="P1883" s="1"/>
      <c r="Q1883" s="1"/>
      <c r="R1883" s="1"/>
      <c r="S1883" s="1"/>
      <c r="T1883" s="1"/>
      <c r="U1883" s="1"/>
      <c r="V1883" s="1"/>
      <c r="W1883" s="142"/>
    </row>
    <row r="1884" spans="1:23" x14ac:dyDescent="0.3">
      <c r="A1884" s="1"/>
      <c r="B1884" s="1"/>
      <c r="C1884" s="1"/>
      <c r="D1884" s="1"/>
      <c r="E1884" s="1"/>
      <c r="F1884" s="124" t="s">
        <v>41</v>
      </c>
      <c r="G1884" s="1"/>
      <c r="H1884" s="1"/>
      <c r="I1884" s="1"/>
      <c r="J1884" s="124">
        <f>SUM(J1882:J1883)</f>
        <v>46300</v>
      </c>
      <c r="K1884" s="1"/>
      <c r="L1884" s="1"/>
      <c r="M1884" s="1"/>
      <c r="N1884" s="1"/>
      <c r="O1884" s="1"/>
      <c r="P1884" s="1"/>
      <c r="Q1884" s="1"/>
      <c r="R1884" s="1"/>
      <c r="S1884" s="1"/>
      <c r="T1884" s="1"/>
      <c r="U1884" s="1"/>
      <c r="V1884" s="1"/>
      <c r="W1884" s="142"/>
    </row>
    <row r="1885" spans="1:23" x14ac:dyDescent="0.3">
      <c r="A1885" s="1"/>
      <c r="B1885" s="1"/>
      <c r="C1885" s="1"/>
      <c r="D1885" s="1"/>
      <c r="E1885" s="1"/>
      <c r="F1885" s="1"/>
      <c r="G1885" s="1"/>
      <c r="H1885" s="1"/>
      <c r="I1885" s="1"/>
      <c r="J1885" s="1"/>
      <c r="K1885" s="1"/>
      <c r="L1885" s="1"/>
      <c r="M1885" s="1"/>
      <c r="N1885" s="1"/>
      <c r="O1885" s="1"/>
      <c r="P1885" s="1"/>
      <c r="Q1885" s="1"/>
      <c r="R1885" s="1"/>
      <c r="S1885" s="1"/>
      <c r="T1885" s="1"/>
      <c r="U1885" s="1"/>
      <c r="V1885" s="1"/>
      <c r="W1885" s="142"/>
    </row>
    <row r="1886" spans="1:23" ht="25.2" x14ac:dyDescent="0.3">
      <c r="A1886" s="16">
        <v>173</v>
      </c>
      <c r="B1886" s="16">
        <v>9200159411</v>
      </c>
      <c r="C1886" s="19">
        <v>46056</v>
      </c>
      <c r="D1886" s="16" t="s">
        <v>43</v>
      </c>
      <c r="E1886" s="16" t="s">
        <v>123</v>
      </c>
      <c r="F1886" s="39" t="s">
        <v>1974</v>
      </c>
      <c r="G1886" s="16">
        <v>9</v>
      </c>
      <c r="H1886" s="16" t="s">
        <v>28</v>
      </c>
      <c r="I1886" s="16">
        <v>6000</v>
      </c>
      <c r="J1886" s="16">
        <f t="shared" si="361"/>
        <v>54000</v>
      </c>
      <c r="K1886" s="16">
        <v>250</v>
      </c>
      <c r="L1886" s="16" t="s">
        <v>111</v>
      </c>
      <c r="M1886" s="16" t="s">
        <v>91</v>
      </c>
      <c r="N1886" s="16" t="s">
        <v>2043</v>
      </c>
      <c r="O1886" s="16">
        <v>9</v>
      </c>
      <c r="P1886" s="16">
        <v>6000</v>
      </c>
      <c r="Q1886" s="16">
        <f>O1886*P1886</f>
        <v>54000</v>
      </c>
      <c r="R1886" s="18">
        <v>0</v>
      </c>
      <c r="S1886" s="16">
        <f>Q1886*R1886</f>
        <v>0</v>
      </c>
      <c r="T1886" s="16">
        <f>Q1886+S1886</f>
        <v>54000</v>
      </c>
      <c r="U1886" s="16" t="s">
        <v>2090</v>
      </c>
      <c r="V1886" s="19">
        <v>46084</v>
      </c>
      <c r="W1886" s="142" t="s">
        <v>2166</v>
      </c>
    </row>
    <row r="1887" spans="1:23" ht="25.2" x14ac:dyDescent="0.3">
      <c r="A1887" s="1"/>
      <c r="B1887" s="101">
        <v>8600063926</v>
      </c>
      <c r="C1887" s="183" t="s">
        <v>2198</v>
      </c>
      <c r="D1887" s="1"/>
      <c r="E1887" s="16" t="s">
        <v>123</v>
      </c>
      <c r="F1887" s="39" t="s">
        <v>1975</v>
      </c>
      <c r="G1887" s="16">
        <v>9</v>
      </c>
      <c r="H1887" s="16" t="s">
        <v>28</v>
      </c>
      <c r="I1887" s="16">
        <v>4000</v>
      </c>
      <c r="J1887" s="16">
        <f t="shared" si="361"/>
        <v>36000</v>
      </c>
      <c r="K1887" s="16">
        <v>125</v>
      </c>
      <c r="L1887" s="16" t="s">
        <v>111</v>
      </c>
      <c r="M1887" s="16" t="s">
        <v>91</v>
      </c>
      <c r="N1887" s="16" t="s">
        <v>2043</v>
      </c>
      <c r="O1887" s="16">
        <v>9</v>
      </c>
      <c r="P1887" s="16">
        <v>4000</v>
      </c>
      <c r="Q1887" s="16">
        <f t="shared" ref="Q1887:Q1888" si="412">O1887*P1887</f>
        <v>36000</v>
      </c>
      <c r="R1887" s="18">
        <v>0</v>
      </c>
      <c r="S1887" s="16">
        <f t="shared" ref="S1887:S1888" si="413">Q1887*R1887</f>
        <v>0</v>
      </c>
      <c r="T1887" s="16">
        <f t="shared" ref="T1887:T1888" si="414">Q1887+S1887</f>
        <v>36000</v>
      </c>
      <c r="U1887" s="16" t="s">
        <v>2090</v>
      </c>
      <c r="V1887" s="19">
        <v>46084</v>
      </c>
      <c r="W1887" s="142" t="s">
        <v>2166</v>
      </c>
    </row>
    <row r="1888" spans="1:23" x14ac:dyDescent="0.3">
      <c r="A1888" s="1"/>
      <c r="B1888" s="1"/>
      <c r="C1888" s="1"/>
      <c r="D1888" s="1"/>
      <c r="E1888" s="16" t="s">
        <v>123</v>
      </c>
      <c r="F1888" s="16" t="s">
        <v>1976</v>
      </c>
      <c r="G1888" s="16">
        <v>450</v>
      </c>
      <c r="H1888" s="16" t="s">
        <v>252</v>
      </c>
      <c r="I1888" s="16">
        <v>28</v>
      </c>
      <c r="J1888" s="16">
        <f t="shared" si="361"/>
        <v>12600</v>
      </c>
      <c r="K1888" s="16">
        <v>4</v>
      </c>
      <c r="L1888" s="16" t="s">
        <v>53</v>
      </c>
      <c r="M1888" s="16" t="s">
        <v>91</v>
      </c>
      <c r="N1888" s="16" t="s">
        <v>2083</v>
      </c>
      <c r="O1888" s="16">
        <v>450</v>
      </c>
      <c r="P1888" s="16">
        <v>28</v>
      </c>
      <c r="Q1888" s="16">
        <f t="shared" si="412"/>
        <v>12600</v>
      </c>
      <c r="R1888" s="18">
        <v>0</v>
      </c>
      <c r="S1888" s="16">
        <f t="shared" si="413"/>
        <v>0</v>
      </c>
      <c r="T1888" s="16">
        <f t="shared" si="414"/>
        <v>12600</v>
      </c>
      <c r="U1888" s="16" t="s">
        <v>2090</v>
      </c>
      <c r="V1888" s="19">
        <v>46084</v>
      </c>
      <c r="W1888" s="142" t="s">
        <v>2166</v>
      </c>
    </row>
    <row r="1889" spans="1:23" x14ac:dyDescent="0.3">
      <c r="A1889" s="1"/>
      <c r="B1889" s="1"/>
      <c r="C1889" s="1"/>
      <c r="D1889" s="1"/>
      <c r="E1889" s="1"/>
      <c r="F1889" s="124" t="s">
        <v>39</v>
      </c>
      <c r="G1889" s="1"/>
      <c r="H1889" s="1"/>
      <c r="I1889" s="1"/>
      <c r="J1889" s="124">
        <f>SUM(J1886:J1888)</f>
        <v>102600</v>
      </c>
      <c r="K1889" s="1"/>
      <c r="L1889" s="1"/>
      <c r="M1889" s="1"/>
      <c r="N1889" s="1"/>
      <c r="O1889" s="1"/>
      <c r="P1889" s="1"/>
      <c r="Q1889" s="1"/>
      <c r="R1889" s="1"/>
      <c r="S1889" s="1"/>
      <c r="T1889" s="1"/>
      <c r="U1889" s="1"/>
      <c r="V1889" s="1"/>
      <c r="W1889" s="142"/>
    </row>
    <row r="1890" spans="1:23" x14ac:dyDescent="0.3">
      <c r="A1890" s="1"/>
      <c r="B1890" s="1"/>
      <c r="C1890" s="1"/>
      <c r="D1890" s="1"/>
      <c r="E1890" s="1"/>
      <c r="F1890" s="124" t="s">
        <v>599</v>
      </c>
      <c r="G1890" s="1"/>
      <c r="H1890" s="1"/>
      <c r="I1890" s="1"/>
      <c r="J1890" s="124">
        <f>J1889*0/100</f>
        <v>0</v>
      </c>
      <c r="K1890" s="1"/>
      <c r="L1890" s="1"/>
      <c r="M1890" s="1"/>
      <c r="N1890" s="1"/>
      <c r="O1890" s="1"/>
      <c r="P1890" s="1"/>
      <c r="Q1890" s="1"/>
      <c r="R1890" s="1"/>
      <c r="S1890" s="1"/>
      <c r="T1890" s="1"/>
      <c r="U1890" s="1"/>
      <c r="V1890" s="1"/>
      <c r="W1890" s="142"/>
    </row>
    <row r="1891" spans="1:23" x14ac:dyDescent="0.3">
      <c r="A1891" s="1"/>
      <c r="B1891" s="1"/>
      <c r="C1891" s="1"/>
      <c r="D1891" s="1"/>
      <c r="E1891" s="1"/>
      <c r="F1891" s="124" t="s">
        <v>41</v>
      </c>
      <c r="G1891" s="1"/>
      <c r="H1891" s="1"/>
      <c r="I1891" s="1"/>
      <c r="J1891" s="124">
        <f>SUM(J1889:J1890)</f>
        <v>102600</v>
      </c>
      <c r="K1891" s="1"/>
      <c r="L1891" s="1"/>
      <c r="M1891" s="1"/>
      <c r="N1891" s="1"/>
      <c r="O1891" s="1"/>
      <c r="P1891" s="1"/>
      <c r="Q1891" s="1"/>
      <c r="R1891" s="1"/>
      <c r="S1891" s="1"/>
      <c r="T1891" s="1">
        <f>SUM(T1886:T1890)</f>
        <v>102600</v>
      </c>
      <c r="U1891" s="1"/>
      <c r="V1891" s="1"/>
      <c r="W1891" s="142"/>
    </row>
    <row r="1892" spans="1:23" x14ac:dyDescent="0.3">
      <c r="A1892" s="1"/>
      <c r="B1892" s="1"/>
      <c r="C1892" s="1"/>
      <c r="D1892" s="1"/>
      <c r="E1892" s="1"/>
      <c r="F1892" s="124"/>
      <c r="G1892" s="1"/>
      <c r="H1892" s="1"/>
      <c r="I1892" s="1"/>
      <c r="J1892" s="124"/>
      <c r="K1892" s="1"/>
      <c r="L1892" s="1"/>
      <c r="M1892" s="1"/>
      <c r="N1892" s="1"/>
      <c r="O1892" s="1"/>
      <c r="P1892" s="1"/>
      <c r="Q1892" s="1"/>
      <c r="R1892" s="1"/>
      <c r="S1892" s="1"/>
      <c r="T1892" s="1"/>
      <c r="U1892" s="1"/>
      <c r="V1892" s="1"/>
      <c r="W1892" s="142"/>
    </row>
    <row r="1893" spans="1:23" x14ac:dyDescent="0.3">
      <c r="A1893" s="16">
        <v>174</v>
      </c>
      <c r="B1893" s="16">
        <v>9200157891</v>
      </c>
      <c r="C1893" s="19">
        <v>46297</v>
      </c>
      <c r="D1893" s="16" t="s">
        <v>43</v>
      </c>
      <c r="E1893" s="16" t="s">
        <v>123</v>
      </c>
      <c r="F1893" s="16" t="s">
        <v>1977</v>
      </c>
      <c r="G1893" s="16">
        <v>150</v>
      </c>
      <c r="H1893" s="16" t="s">
        <v>60</v>
      </c>
      <c r="I1893" s="16">
        <v>850</v>
      </c>
      <c r="J1893" s="16">
        <f t="shared" si="361"/>
        <v>127500</v>
      </c>
      <c r="K1893" s="16">
        <v>150</v>
      </c>
      <c r="L1893" s="16" t="s">
        <v>60</v>
      </c>
      <c r="M1893" s="16" t="s">
        <v>91</v>
      </c>
      <c r="N1893" s="16" t="s">
        <v>2081</v>
      </c>
      <c r="O1893" s="16">
        <v>150</v>
      </c>
      <c r="P1893" s="16">
        <v>850</v>
      </c>
      <c r="Q1893" s="16">
        <f>O1893*P1893</f>
        <v>127500</v>
      </c>
      <c r="R1893" s="18">
        <v>0</v>
      </c>
      <c r="S1893" s="16">
        <f>Q1893*R1893</f>
        <v>0</v>
      </c>
      <c r="T1893" s="16">
        <f>Q1893+S1893</f>
        <v>127500</v>
      </c>
      <c r="U1893" s="16" t="s">
        <v>2121</v>
      </c>
      <c r="V1893" s="19">
        <v>46268</v>
      </c>
      <c r="W1893" s="142" t="s">
        <v>2172</v>
      </c>
    </row>
    <row r="1894" spans="1:23" x14ac:dyDescent="0.3">
      <c r="A1894" s="1"/>
      <c r="B1894" s="1"/>
      <c r="C1894" s="1"/>
      <c r="D1894" s="1"/>
      <c r="E1894" s="16" t="s">
        <v>123</v>
      </c>
      <c r="F1894" s="16" t="s">
        <v>1978</v>
      </c>
      <c r="G1894" s="16">
        <v>1</v>
      </c>
      <c r="H1894" s="16" t="s">
        <v>28</v>
      </c>
      <c r="I1894" s="16">
        <v>4000</v>
      </c>
      <c r="J1894" s="16">
        <f t="shared" si="361"/>
        <v>4000</v>
      </c>
      <c r="K1894" s="16">
        <v>1</v>
      </c>
      <c r="L1894" s="16" t="s">
        <v>28</v>
      </c>
      <c r="M1894" s="16" t="s">
        <v>91</v>
      </c>
      <c r="N1894" s="16" t="s">
        <v>2081</v>
      </c>
      <c r="O1894" s="16">
        <v>1</v>
      </c>
      <c r="P1894" s="16">
        <v>4000</v>
      </c>
      <c r="Q1894" s="16">
        <f t="shared" ref="Q1894:Q1897" si="415">O1894*P1894</f>
        <v>4000</v>
      </c>
      <c r="R1894" s="18">
        <v>0</v>
      </c>
      <c r="S1894" s="16">
        <f t="shared" ref="S1894:S1897" si="416">Q1894*R1894</f>
        <v>0</v>
      </c>
      <c r="T1894" s="16">
        <f t="shared" ref="T1894:T1897" si="417">Q1894+S1894</f>
        <v>4000</v>
      </c>
      <c r="U1894" s="16" t="s">
        <v>2121</v>
      </c>
      <c r="V1894" s="19">
        <v>46268</v>
      </c>
      <c r="W1894" s="142" t="s">
        <v>2172</v>
      </c>
    </row>
    <row r="1895" spans="1:23" x14ac:dyDescent="0.3">
      <c r="A1895" s="1"/>
      <c r="B1895" s="1"/>
      <c r="C1895" s="1"/>
      <c r="D1895" s="1"/>
      <c r="E1895" s="16" t="s">
        <v>123</v>
      </c>
      <c r="F1895" s="16" t="s">
        <v>1979</v>
      </c>
      <c r="G1895" s="16">
        <v>1</v>
      </c>
      <c r="H1895" s="16" t="s">
        <v>28</v>
      </c>
      <c r="I1895" s="16">
        <v>1700</v>
      </c>
      <c r="J1895" s="16">
        <f t="shared" si="361"/>
        <v>1700</v>
      </c>
      <c r="K1895" s="16">
        <v>1</v>
      </c>
      <c r="L1895" s="16" t="s">
        <v>28</v>
      </c>
      <c r="M1895" s="16" t="s">
        <v>91</v>
      </c>
      <c r="N1895" s="16" t="s">
        <v>2081</v>
      </c>
      <c r="O1895" s="16">
        <v>1</v>
      </c>
      <c r="P1895" s="16">
        <v>1700</v>
      </c>
      <c r="Q1895" s="16">
        <f t="shared" si="415"/>
        <v>1700</v>
      </c>
      <c r="R1895" s="18">
        <v>0</v>
      </c>
      <c r="S1895" s="16">
        <f t="shared" si="416"/>
        <v>0</v>
      </c>
      <c r="T1895" s="16">
        <f t="shared" si="417"/>
        <v>1700</v>
      </c>
      <c r="U1895" s="16" t="s">
        <v>2121</v>
      </c>
      <c r="V1895" s="19">
        <v>46268</v>
      </c>
      <c r="W1895" s="142" t="s">
        <v>2172</v>
      </c>
    </row>
    <row r="1896" spans="1:23" x14ac:dyDescent="0.3">
      <c r="A1896" s="1"/>
      <c r="B1896" s="1"/>
      <c r="C1896" s="1"/>
      <c r="D1896" s="1"/>
      <c r="E1896" s="16" t="s">
        <v>123</v>
      </c>
      <c r="F1896" s="16" t="s">
        <v>1980</v>
      </c>
      <c r="G1896" s="16">
        <v>30</v>
      </c>
      <c r="H1896" s="16" t="s">
        <v>28</v>
      </c>
      <c r="I1896" s="16">
        <v>180</v>
      </c>
      <c r="J1896" s="16">
        <f t="shared" si="361"/>
        <v>5400</v>
      </c>
      <c r="K1896" s="16">
        <v>30</v>
      </c>
      <c r="L1896" s="16" t="s">
        <v>28</v>
      </c>
      <c r="M1896" s="16" t="s">
        <v>91</v>
      </c>
      <c r="N1896" s="16" t="s">
        <v>2081</v>
      </c>
      <c r="O1896" s="16">
        <v>30</v>
      </c>
      <c r="P1896" s="16">
        <v>180</v>
      </c>
      <c r="Q1896" s="16">
        <f t="shared" si="415"/>
        <v>5400</v>
      </c>
      <c r="R1896" s="18">
        <v>0</v>
      </c>
      <c r="S1896" s="16">
        <f t="shared" si="416"/>
        <v>0</v>
      </c>
      <c r="T1896" s="16">
        <f t="shared" si="417"/>
        <v>5400</v>
      </c>
      <c r="U1896" s="16" t="s">
        <v>2121</v>
      </c>
      <c r="V1896" s="19">
        <v>46268</v>
      </c>
      <c r="W1896" s="142" t="s">
        <v>2172</v>
      </c>
    </row>
    <row r="1897" spans="1:23" ht="37.799999999999997" x14ac:dyDescent="0.3">
      <c r="A1897" s="1"/>
      <c r="B1897" s="1"/>
      <c r="C1897" s="1"/>
      <c r="D1897" s="1"/>
      <c r="E1897" s="16" t="s">
        <v>123</v>
      </c>
      <c r="F1897" s="39" t="s">
        <v>1981</v>
      </c>
      <c r="G1897" s="16">
        <v>1</v>
      </c>
      <c r="H1897" s="16" t="s">
        <v>87</v>
      </c>
      <c r="I1897" s="16">
        <v>2500</v>
      </c>
      <c r="J1897" s="16">
        <f t="shared" si="361"/>
        <v>2500</v>
      </c>
      <c r="K1897" s="16">
        <v>2</v>
      </c>
      <c r="L1897" s="16" t="s">
        <v>28</v>
      </c>
      <c r="M1897" s="16" t="s">
        <v>91</v>
      </c>
      <c r="N1897" s="16" t="s">
        <v>2081</v>
      </c>
      <c r="O1897" s="16">
        <v>1</v>
      </c>
      <c r="P1897" s="16">
        <v>2500</v>
      </c>
      <c r="Q1897" s="16">
        <f t="shared" si="415"/>
        <v>2500</v>
      </c>
      <c r="R1897" s="18">
        <v>0</v>
      </c>
      <c r="S1897" s="16">
        <f t="shared" si="416"/>
        <v>0</v>
      </c>
      <c r="T1897" s="16">
        <f t="shared" si="417"/>
        <v>2500</v>
      </c>
      <c r="U1897" s="16" t="s">
        <v>2121</v>
      </c>
      <c r="V1897" s="19">
        <v>46268</v>
      </c>
      <c r="W1897" s="142" t="s">
        <v>2172</v>
      </c>
    </row>
    <row r="1898" spans="1:23" x14ac:dyDescent="0.3">
      <c r="A1898" s="1"/>
      <c r="B1898" s="1"/>
      <c r="C1898" s="1"/>
      <c r="D1898" s="1"/>
      <c r="E1898" s="1"/>
      <c r="F1898" s="124" t="s">
        <v>39</v>
      </c>
      <c r="G1898" s="1"/>
      <c r="H1898" s="1"/>
      <c r="I1898" s="1"/>
      <c r="J1898" s="124">
        <f>SUM(J1893:J1897)</f>
        <v>141100</v>
      </c>
      <c r="K1898" s="1"/>
      <c r="L1898" s="1"/>
      <c r="M1898" s="1"/>
      <c r="N1898" s="1"/>
      <c r="O1898" s="1"/>
      <c r="P1898" s="1"/>
      <c r="Q1898" s="1"/>
      <c r="R1898" s="1"/>
      <c r="S1898" s="1"/>
      <c r="T1898" s="1"/>
      <c r="U1898" s="1"/>
      <c r="V1898" s="1"/>
      <c r="W1898" s="142"/>
    </row>
    <row r="1899" spans="1:23" x14ac:dyDescent="0.3">
      <c r="A1899" s="1"/>
      <c r="B1899" s="1"/>
      <c r="C1899" s="1"/>
      <c r="D1899" s="1"/>
      <c r="E1899" s="1"/>
      <c r="F1899" s="124" t="s">
        <v>599</v>
      </c>
      <c r="G1899" s="1"/>
      <c r="H1899" s="1"/>
      <c r="I1899" s="1"/>
      <c r="J1899" s="124">
        <f>J1898*0/100</f>
        <v>0</v>
      </c>
      <c r="K1899" s="1"/>
      <c r="L1899" s="1"/>
      <c r="M1899" s="1"/>
      <c r="N1899" s="1"/>
      <c r="O1899" s="1"/>
      <c r="P1899" s="1"/>
      <c r="Q1899" s="1"/>
      <c r="R1899" s="1"/>
      <c r="S1899" s="1"/>
      <c r="T1899" s="1"/>
      <c r="U1899" s="1"/>
      <c r="V1899" s="1"/>
      <c r="W1899" s="142"/>
    </row>
    <row r="1900" spans="1:23" x14ac:dyDescent="0.3">
      <c r="A1900" s="1"/>
      <c r="B1900" s="1"/>
      <c r="C1900" s="1"/>
      <c r="D1900" s="1"/>
      <c r="E1900" s="1"/>
      <c r="F1900" s="124" t="s">
        <v>41</v>
      </c>
      <c r="G1900" s="1"/>
      <c r="H1900" s="1"/>
      <c r="I1900" s="1"/>
      <c r="J1900" s="124">
        <f>SUM(J1898:J1899)</f>
        <v>141100</v>
      </c>
      <c r="K1900" s="1"/>
      <c r="L1900" s="1"/>
      <c r="M1900" s="1"/>
      <c r="N1900" s="1"/>
      <c r="O1900" s="1"/>
      <c r="P1900" s="1"/>
      <c r="Q1900" s="1"/>
      <c r="R1900" s="1"/>
      <c r="S1900" s="1"/>
      <c r="T1900" s="1">
        <f>SUM(T1893:T1899)</f>
        <v>141100</v>
      </c>
      <c r="U1900" s="1"/>
      <c r="V1900" s="1"/>
      <c r="W1900" s="142"/>
    </row>
    <row r="1901" spans="1:23" x14ac:dyDescent="0.3">
      <c r="A1901" s="1"/>
      <c r="B1901" s="1"/>
      <c r="C1901" s="1"/>
      <c r="D1901" s="1"/>
      <c r="E1901" s="1"/>
      <c r="F1901" s="1"/>
      <c r="G1901" s="1"/>
      <c r="H1901" s="1"/>
      <c r="I1901" s="1"/>
      <c r="J1901" s="1"/>
      <c r="K1901" s="1"/>
      <c r="L1901" s="1"/>
      <c r="M1901" s="1"/>
      <c r="N1901" s="1"/>
      <c r="O1901" s="1"/>
      <c r="P1901" s="1"/>
      <c r="Q1901" s="1"/>
      <c r="R1901" s="1"/>
      <c r="S1901" s="1"/>
      <c r="T1901" s="1"/>
      <c r="U1901" s="1"/>
      <c r="V1901" s="1"/>
      <c r="W1901" s="142"/>
    </row>
    <row r="1902" spans="1:23" ht="25.2" x14ac:dyDescent="0.3">
      <c r="A1902" s="1">
        <v>175</v>
      </c>
      <c r="B1902" s="1">
        <v>8100023062</v>
      </c>
      <c r="C1902" s="37">
        <v>46358</v>
      </c>
      <c r="D1902" s="1" t="s">
        <v>300</v>
      </c>
      <c r="E1902" s="16" t="s">
        <v>127</v>
      </c>
      <c r="F1902" s="39" t="s">
        <v>1982</v>
      </c>
      <c r="G1902" s="16">
        <v>11</v>
      </c>
      <c r="H1902" s="16" t="s">
        <v>28</v>
      </c>
      <c r="I1902" s="16">
        <v>8996</v>
      </c>
      <c r="J1902" s="16">
        <f t="shared" si="361"/>
        <v>98956</v>
      </c>
      <c r="K1902" s="16"/>
      <c r="L1902" s="16"/>
      <c r="M1902" s="16"/>
      <c r="N1902" s="16"/>
      <c r="O1902" s="16">
        <v>11</v>
      </c>
      <c r="P1902" s="16">
        <v>8996</v>
      </c>
      <c r="Q1902" s="16">
        <f>O1902*P1902</f>
        <v>98956</v>
      </c>
      <c r="R1902" s="18">
        <v>0.18</v>
      </c>
      <c r="S1902" s="16">
        <f>Q1902*R1902</f>
        <v>17812.079999999998</v>
      </c>
      <c r="T1902" s="16">
        <f>Q1902+S1902</f>
        <v>116768.08</v>
      </c>
      <c r="U1902" s="97" t="s">
        <v>2122</v>
      </c>
      <c r="V1902" s="110">
        <v>46084</v>
      </c>
      <c r="W1902" s="142" t="s">
        <v>2152</v>
      </c>
    </row>
    <row r="1903" spans="1:23" ht="25.2" x14ac:dyDescent="0.3">
      <c r="A1903" s="1"/>
      <c r="B1903" s="1"/>
      <c r="C1903" s="1"/>
      <c r="D1903" s="1"/>
      <c r="E1903" s="16" t="s">
        <v>127</v>
      </c>
      <c r="F1903" s="39" t="s">
        <v>1983</v>
      </c>
      <c r="G1903" s="16">
        <v>1</v>
      </c>
      <c r="H1903" s="16" t="s">
        <v>28</v>
      </c>
      <c r="I1903" s="16">
        <v>35520</v>
      </c>
      <c r="J1903" s="16">
        <f t="shared" si="361"/>
        <v>35520</v>
      </c>
      <c r="K1903" s="16"/>
      <c r="L1903" s="16"/>
      <c r="M1903" s="16"/>
      <c r="N1903" s="16"/>
      <c r="O1903" s="16">
        <v>1</v>
      </c>
      <c r="P1903" s="16">
        <v>35520</v>
      </c>
      <c r="Q1903" s="16">
        <f t="shared" ref="Q1903:Q1914" si="418">O1903*P1903</f>
        <v>35520</v>
      </c>
      <c r="R1903" s="18">
        <v>0.18</v>
      </c>
      <c r="S1903" s="16">
        <f t="shared" ref="S1903:S1914" si="419">Q1903*R1903</f>
        <v>6393.5999999999995</v>
      </c>
      <c r="T1903" s="16">
        <f t="shared" ref="T1903:T1914" si="420">Q1903+S1903</f>
        <v>41913.599999999999</v>
      </c>
      <c r="U1903" s="16" t="s">
        <v>2080</v>
      </c>
      <c r="V1903" s="19">
        <v>46056</v>
      </c>
      <c r="W1903" s="142" t="s">
        <v>2152</v>
      </c>
    </row>
    <row r="1904" spans="1:23" ht="25.2" x14ac:dyDescent="0.3">
      <c r="A1904" s="1"/>
      <c r="B1904" s="1"/>
      <c r="C1904" s="1"/>
      <c r="D1904" s="1"/>
      <c r="E1904" s="16" t="s">
        <v>127</v>
      </c>
      <c r="F1904" s="39" t="s">
        <v>1984</v>
      </c>
      <c r="G1904" s="16">
        <v>2</v>
      </c>
      <c r="H1904" s="16" t="s">
        <v>28</v>
      </c>
      <c r="I1904" s="16">
        <v>3087</v>
      </c>
      <c r="J1904" s="16">
        <f t="shared" si="361"/>
        <v>6174</v>
      </c>
      <c r="K1904" s="16"/>
      <c r="L1904" s="16"/>
      <c r="M1904" s="16"/>
      <c r="N1904" s="16"/>
      <c r="O1904" s="16">
        <v>2</v>
      </c>
      <c r="P1904" s="16">
        <v>3087</v>
      </c>
      <c r="Q1904" s="16">
        <f t="shared" si="418"/>
        <v>6174</v>
      </c>
      <c r="R1904" s="18">
        <v>0.18</v>
      </c>
      <c r="S1904" s="16">
        <f t="shared" si="419"/>
        <v>1111.32</v>
      </c>
      <c r="T1904" s="16">
        <f t="shared" si="420"/>
        <v>7285.32</v>
      </c>
      <c r="U1904" s="16" t="s">
        <v>2080</v>
      </c>
      <c r="V1904" s="19">
        <v>46056</v>
      </c>
      <c r="W1904" s="142" t="s">
        <v>2152</v>
      </c>
    </row>
    <row r="1905" spans="1:23" x14ac:dyDescent="0.3">
      <c r="A1905" s="1"/>
      <c r="B1905" s="1"/>
      <c r="C1905" s="1"/>
      <c r="D1905" s="1"/>
      <c r="E1905" s="16" t="s">
        <v>127</v>
      </c>
      <c r="F1905" s="16" t="s">
        <v>1985</v>
      </c>
      <c r="G1905" s="16">
        <v>200</v>
      </c>
      <c r="H1905" s="16" t="s">
        <v>60</v>
      </c>
      <c r="I1905" s="16">
        <v>245</v>
      </c>
      <c r="J1905" s="16">
        <f t="shared" si="361"/>
        <v>49000</v>
      </c>
      <c r="K1905" s="16"/>
      <c r="L1905" s="16"/>
      <c r="M1905" s="16"/>
      <c r="N1905" s="16"/>
      <c r="O1905" s="16">
        <v>200</v>
      </c>
      <c r="P1905" s="16">
        <v>245</v>
      </c>
      <c r="Q1905" s="16">
        <f t="shared" si="418"/>
        <v>49000</v>
      </c>
      <c r="R1905" s="18">
        <v>0.18</v>
      </c>
      <c r="S1905" s="16">
        <f t="shared" si="419"/>
        <v>8820</v>
      </c>
      <c r="T1905" s="16">
        <f t="shared" si="420"/>
        <v>57820</v>
      </c>
      <c r="U1905" s="16" t="s">
        <v>2080</v>
      </c>
      <c r="V1905" s="19">
        <v>46056</v>
      </c>
      <c r="W1905" s="142" t="s">
        <v>2152</v>
      </c>
    </row>
    <row r="1906" spans="1:23" x14ac:dyDescent="0.3">
      <c r="A1906" s="1"/>
      <c r="B1906" s="1"/>
      <c r="C1906" s="1"/>
      <c r="D1906" s="1"/>
      <c r="E1906" s="16" t="s">
        <v>127</v>
      </c>
      <c r="F1906" s="39" t="s">
        <v>1986</v>
      </c>
      <c r="G1906" s="16">
        <v>100</v>
      </c>
      <c r="H1906" s="16" t="s">
        <v>60</v>
      </c>
      <c r="I1906" s="16">
        <v>118</v>
      </c>
      <c r="J1906" s="16">
        <f t="shared" si="361"/>
        <v>11800</v>
      </c>
      <c r="K1906" s="16"/>
      <c r="L1906" s="16"/>
      <c r="M1906" s="16"/>
      <c r="N1906" s="16"/>
      <c r="O1906" s="16">
        <v>100</v>
      </c>
      <c r="P1906" s="16">
        <v>118</v>
      </c>
      <c r="Q1906" s="16">
        <f t="shared" si="418"/>
        <v>11800</v>
      </c>
      <c r="R1906" s="18">
        <v>0.18</v>
      </c>
      <c r="S1906" s="16">
        <f t="shared" si="419"/>
        <v>2124</v>
      </c>
      <c r="T1906" s="16">
        <f t="shared" si="420"/>
        <v>13924</v>
      </c>
      <c r="U1906" s="16" t="s">
        <v>2080</v>
      </c>
      <c r="V1906" s="19">
        <v>46056</v>
      </c>
      <c r="W1906" s="142" t="s">
        <v>2152</v>
      </c>
    </row>
    <row r="1907" spans="1:23" x14ac:dyDescent="0.3">
      <c r="A1907" s="1"/>
      <c r="B1907" s="1"/>
      <c r="C1907" s="1"/>
      <c r="D1907" s="1"/>
      <c r="E1907" s="1" t="s">
        <v>127</v>
      </c>
      <c r="F1907" s="1" t="s">
        <v>1987</v>
      </c>
      <c r="G1907" s="1">
        <v>24</v>
      </c>
      <c r="H1907" s="1" t="s">
        <v>28</v>
      </c>
      <c r="I1907" s="1">
        <v>120</v>
      </c>
      <c r="J1907" s="1">
        <f t="shared" si="361"/>
        <v>2880</v>
      </c>
      <c r="K1907" s="1"/>
      <c r="L1907" s="1"/>
      <c r="M1907" s="1"/>
      <c r="N1907" s="1"/>
      <c r="O1907" s="1"/>
      <c r="P1907" s="1">
        <v>120</v>
      </c>
      <c r="Q1907" s="1">
        <f t="shared" si="418"/>
        <v>0</v>
      </c>
      <c r="R1907" s="86">
        <v>0.18</v>
      </c>
      <c r="S1907" s="1">
        <f t="shared" si="419"/>
        <v>0</v>
      </c>
      <c r="T1907" s="1">
        <f t="shared" si="420"/>
        <v>0</v>
      </c>
      <c r="U1907" s="1"/>
      <c r="V1907" s="1"/>
      <c r="W1907" s="142"/>
    </row>
    <row r="1908" spans="1:23" x14ac:dyDescent="0.3">
      <c r="A1908" s="1"/>
      <c r="B1908" s="1"/>
      <c r="C1908" s="1"/>
      <c r="D1908" s="1"/>
      <c r="E1908" s="1" t="s">
        <v>127</v>
      </c>
      <c r="F1908" s="1" t="s">
        <v>1988</v>
      </c>
      <c r="G1908" s="1">
        <v>24</v>
      </c>
      <c r="H1908" s="1" t="s">
        <v>28</v>
      </c>
      <c r="I1908" s="1">
        <v>200</v>
      </c>
      <c r="J1908" s="1">
        <f t="shared" si="361"/>
        <v>4800</v>
      </c>
      <c r="K1908" s="1"/>
      <c r="L1908" s="1"/>
      <c r="M1908" s="1"/>
      <c r="N1908" s="1"/>
      <c r="O1908" s="1"/>
      <c r="P1908" s="1">
        <v>200</v>
      </c>
      <c r="Q1908" s="1">
        <f t="shared" si="418"/>
        <v>0</v>
      </c>
      <c r="R1908" s="86">
        <v>0.18</v>
      </c>
      <c r="S1908" s="1">
        <f t="shared" si="419"/>
        <v>0</v>
      </c>
      <c r="T1908" s="1">
        <f t="shared" si="420"/>
        <v>0</v>
      </c>
      <c r="U1908" s="1"/>
      <c r="V1908" s="1"/>
      <c r="W1908" s="142"/>
    </row>
    <row r="1909" spans="1:23" x14ac:dyDescent="0.3">
      <c r="A1909" s="1"/>
      <c r="B1909" s="1"/>
      <c r="C1909" s="1"/>
      <c r="D1909" s="1"/>
      <c r="E1909" s="1" t="s">
        <v>123</v>
      </c>
      <c r="F1909" s="1" t="s">
        <v>1989</v>
      </c>
      <c r="G1909" s="1">
        <v>200</v>
      </c>
      <c r="H1909" s="1" t="s">
        <v>60</v>
      </c>
      <c r="I1909" s="1">
        <v>84</v>
      </c>
      <c r="J1909" s="1">
        <f t="shared" si="361"/>
        <v>16800</v>
      </c>
      <c r="K1909" s="1"/>
      <c r="L1909" s="1"/>
      <c r="M1909" s="1"/>
      <c r="N1909" s="1"/>
      <c r="O1909" s="1"/>
      <c r="P1909" s="1">
        <v>84</v>
      </c>
      <c r="Q1909" s="1">
        <f t="shared" si="418"/>
        <v>0</v>
      </c>
      <c r="R1909" s="86">
        <v>0.18</v>
      </c>
      <c r="S1909" s="1">
        <f t="shared" si="419"/>
        <v>0</v>
      </c>
      <c r="T1909" s="1">
        <f t="shared" si="420"/>
        <v>0</v>
      </c>
      <c r="U1909" s="1"/>
      <c r="V1909" s="1"/>
      <c r="W1909" s="142"/>
    </row>
    <row r="1910" spans="1:23" x14ac:dyDescent="0.3">
      <c r="A1910" s="1"/>
      <c r="B1910" s="1"/>
      <c r="C1910" s="1"/>
      <c r="D1910" s="1"/>
      <c r="E1910" s="1" t="s">
        <v>123</v>
      </c>
      <c r="F1910" s="1" t="s">
        <v>1990</v>
      </c>
      <c r="G1910" s="1">
        <v>100</v>
      </c>
      <c r="H1910" s="1" t="s">
        <v>60</v>
      </c>
      <c r="I1910" s="1">
        <v>20</v>
      </c>
      <c r="J1910" s="1">
        <f t="shared" si="361"/>
        <v>2000</v>
      </c>
      <c r="K1910" s="1"/>
      <c r="L1910" s="1"/>
      <c r="M1910" s="1"/>
      <c r="N1910" s="1"/>
      <c r="O1910" s="1"/>
      <c r="P1910" s="1">
        <v>20</v>
      </c>
      <c r="Q1910" s="1">
        <f t="shared" si="418"/>
        <v>0</v>
      </c>
      <c r="R1910" s="86">
        <v>0.18</v>
      </c>
      <c r="S1910" s="1">
        <f t="shared" si="419"/>
        <v>0</v>
      </c>
      <c r="T1910" s="1">
        <f t="shared" si="420"/>
        <v>0</v>
      </c>
      <c r="U1910" s="1"/>
      <c r="V1910" s="1"/>
      <c r="W1910" s="142"/>
    </row>
    <row r="1911" spans="1:23" x14ac:dyDescent="0.3">
      <c r="A1911" s="1"/>
      <c r="B1911" s="1"/>
      <c r="C1911" s="1"/>
      <c r="D1911" s="1"/>
      <c r="E1911" s="1" t="s">
        <v>123</v>
      </c>
      <c r="F1911" s="1" t="s">
        <v>1991</v>
      </c>
      <c r="G1911" s="1">
        <v>11</v>
      </c>
      <c r="H1911" s="1" t="s">
        <v>28</v>
      </c>
      <c r="I1911" s="1">
        <v>800</v>
      </c>
      <c r="J1911" s="1">
        <f t="shared" si="361"/>
        <v>8800</v>
      </c>
      <c r="K1911" s="1"/>
      <c r="L1911" s="1"/>
      <c r="M1911" s="1"/>
      <c r="N1911" s="1"/>
      <c r="O1911" s="1"/>
      <c r="P1911" s="1">
        <v>800</v>
      </c>
      <c r="Q1911" s="1">
        <f t="shared" si="418"/>
        <v>0</v>
      </c>
      <c r="R1911" s="86">
        <v>0.18</v>
      </c>
      <c r="S1911" s="1">
        <f t="shared" si="419"/>
        <v>0</v>
      </c>
      <c r="T1911" s="1">
        <f t="shared" si="420"/>
        <v>0</v>
      </c>
      <c r="U1911" s="1"/>
      <c r="V1911" s="1"/>
      <c r="W1911" s="142"/>
    </row>
    <row r="1912" spans="1:23" x14ac:dyDescent="0.3">
      <c r="A1912" s="1"/>
      <c r="B1912" s="1"/>
      <c r="C1912" s="1"/>
      <c r="D1912" s="1"/>
      <c r="E1912" s="1" t="s">
        <v>123</v>
      </c>
      <c r="F1912" s="1" t="s">
        <v>1992</v>
      </c>
      <c r="G1912" s="1">
        <v>6</v>
      </c>
      <c r="H1912" s="1" t="s">
        <v>87</v>
      </c>
      <c r="I1912" s="1">
        <v>600</v>
      </c>
      <c r="J1912" s="1">
        <f t="shared" si="361"/>
        <v>3600</v>
      </c>
      <c r="K1912" s="1"/>
      <c r="L1912" s="1"/>
      <c r="M1912" s="1"/>
      <c r="N1912" s="1"/>
      <c r="O1912" s="1"/>
      <c r="P1912" s="1">
        <v>600</v>
      </c>
      <c r="Q1912" s="1">
        <f t="shared" si="418"/>
        <v>0</v>
      </c>
      <c r="R1912" s="86">
        <v>0.18</v>
      </c>
      <c r="S1912" s="1">
        <f t="shared" si="419"/>
        <v>0</v>
      </c>
      <c r="T1912" s="1">
        <f t="shared" si="420"/>
        <v>0</v>
      </c>
      <c r="U1912" s="1"/>
      <c r="V1912" s="1"/>
      <c r="W1912" s="142"/>
    </row>
    <row r="1913" spans="1:23" x14ac:dyDescent="0.3">
      <c r="A1913" s="1"/>
      <c r="B1913" s="1"/>
      <c r="C1913" s="1"/>
      <c r="D1913" s="1"/>
      <c r="E1913" s="1" t="s">
        <v>123</v>
      </c>
      <c r="F1913" s="22" t="s">
        <v>1993</v>
      </c>
      <c r="G1913" s="1">
        <v>11</v>
      </c>
      <c r="H1913" s="1" t="s">
        <v>28</v>
      </c>
      <c r="I1913" s="1">
        <v>570</v>
      </c>
      <c r="J1913" s="1">
        <f t="shared" si="361"/>
        <v>6270</v>
      </c>
      <c r="K1913" s="1"/>
      <c r="L1913" s="1"/>
      <c r="M1913" s="1"/>
      <c r="N1913" s="1"/>
      <c r="O1913" s="1"/>
      <c r="P1913" s="1">
        <v>570</v>
      </c>
      <c r="Q1913" s="1">
        <f t="shared" si="418"/>
        <v>0</v>
      </c>
      <c r="R1913" s="86">
        <v>0.18</v>
      </c>
      <c r="S1913" s="1">
        <f t="shared" si="419"/>
        <v>0</v>
      </c>
      <c r="T1913" s="1">
        <f t="shared" si="420"/>
        <v>0</v>
      </c>
      <c r="U1913" s="1"/>
      <c r="V1913" s="1"/>
      <c r="W1913" s="142"/>
    </row>
    <row r="1914" spans="1:23" x14ac:dyDescent="0.3">
      <c r="A1914" s="1"/>
      <c r="B1914" s="1"/>
      <c r="C1914" s="1"/>
      <c r="D1914" s="1"/>
      <c r="E1914" s="1" t="s">
        <v>123</v>
      </c>
      <c r="F1914" s="1" t="s">
        <v>1994</v>
      </c>
      <c r="G1914" s="1">
        <v>17</v>
      </c>
      <c r="H1914" s="1" t="s">
        <v>28</v>
      </c>
      <c r="I1914" s="1">
        <v>200</v>
      </c>
      <c r="J1914" s="1">
        <f t="shared" si="361"/>
        <v>3400</v>
      </c>
      <c r="K1914" s="1"/>
      <c r="L1914" s="1"/>
      <c r="M1914" s="1"/>
      <c r="N1914" s="1"/>
      <c r="O1914" s="1"/>
      <c r="P1914" s="1">
        <v>200</v>
      </c>
      <c r="Q1914" s="1">
        <f t="shared" si="418"/>
        <v>0</v>
      </c>
      <c r="R1914" s="86">
        <v>0.18</v>
      </c>
      <c r="S1914" s="1">
        <f t="shared" si="419"/>
        <v>0</v>
      </c>
      <c r="T1914" s="1">
        <f t="shared" si="420"/>
        <v>0</v>
      </c>
      <c r="U1914" s="1"/>
      <c r="V1914" s="1"/>
      <c r="W1914" s="142"/>
    </row>
    <row r="1915" spans="1:23" x14ac:dyDescent="0.3">
      <c r="A1915" s="1"/>
      <c r="B1915" s="1"/>
      <c r="C1915" s="1"/>
      <c r="D1915" s="1"/>
      <c r="E1915" s="1"/>
      <c r="F1915" s="124" t="s">
        <v>39</v>
      </c>
      <c r="G1915" s="1"/>
      <c r="H1915" s="1"/>
      <c r="I1915" s="1"/>
      <c r="J1915" s="124">
        <f>SUM(J1902:J1914)</f>
        <v>250000</v>
      </c>
      <c r="K1915" s="1"/>
      <c r="L1915" s="1"/>
      <c r="M1915" s="1"/>
      <c r="N1915" s="1"/>
      <c r="O1915" s="1"/>
      <c r="P1915" s="1"/>
      <c r="Q1915" s="1"/>
      <c r="R1915" s="1"/>
      <c r="S1915" s="1"/>
      <c r="T1915" s="1"/>
      <c r="U1915" s="1"/>
      <c r="V1915" s="1"/>
      <c r="W1915" s="142"/>
    </row>
    <row r="1916" spans="1:23" x14ac:dyDescent="0.3">
      <c r="A1916" s="1"/>
      <c r="B1916" s="1"/>
      <c r="C1916" s="1"/>
      <c r="D1916" s="1"/>
      <c r="E1916" s="1"/>
      <c r="F1916" s="124" t="s">
        <v>187</v>
      </c>
      <c r="G1916" s="1"/>
      <c r="H1916" s="1"/>
      <c r="I1916" s="1"/>
      <c r="J1916" s="124">
        <f>J1915*18/100</f>
        <v>45000</v>
      </c>
      <c r="K1916" s="1"/>
      <c r="L1916" s="1"/>
      <c r="M1916" s="1"/>
      <c r="N1916" s="1"/>
      <c r="O1916" s="1"/>
      <c r="P1916" s="1"/>
      <c r="Q1916" s="1"/>
      <c r="R1916" s="1"/>
      <c r="S1916" s="1"/>
      <c r="T1916" s="1"/>
      <c r="U1916" s="1"/>
      <c r="V1916" s="1"/>
      <c r="W1916" s="142"/>
    </row>
    <row r="1917" spans="1:23" x14ac:dyDescent="0.3">
      <c r="A1917" s="1"/>
      <c r="B1917" s="1"/>
      <c r="C1917" s="1"/>
      <c r="D1917" s="1"/>
      <c r="E1917" s="1"/>
      <c r="F1917" s="124" t="s">
        <v>41</v>
      </c>
      <c r="G1917" s="1"/>
      <c r="H1917" s="1"/>
      <c r="I1917" s="1"/>
      <c r="J1917" s="124">
        <f>SUM(J1915:J1916)</f>
        <v>295000</v>
      </c>
      <c r="K1917" s="1"/>
      <c r="L1917" s="1"/>
      <c r="M1917" s="1"/>
      <c r="N1917" s="1"/>
      <c r="O1917" s="1"/>
      <c r="P1917" s="1"/>
      <c r="Q1917" s="1"/>
      <c r="R1917" s="1"/>
      <c r="S1917" s="1"/>
      <c r="T1917" s="1">
        <f>SUM(T1902:T1916)</f>
        <v>237711</v>
      </c>
      <c r="U1917" s="1"/>
      <c r="V1917" s="1"/>
      <c r="W1917" s="142"/>
    </row>
    <row r="1918" spans="1:23" x14ac:dyDescent="0.3">
      <c r="A1918" s="1"/>
      <c r="B1918" s="1"/>
      <c r="C1918" s="1"/>
      <c r="D1918" s="1"/>
      <c r="E1918" s="1"/>
      <c r="F1918" s="1"/>
      <c r="G1918" s="1"/>
      <c r="H1918" s="1"/>
      <c r="I1918" s="1"/>
      <c r="J1918" s="1"/>
      <c r="K1918" s="1"/>
      <c r="L1918" s="1"/>
      <c r="M1918" s="1"/>
      <c r="N1918" s="1"/>
      <c r="O1918" s="1"/>
      <c r="P1918" s="1"/>
      <c r="Q1918" s="1"/>
      <c r="R1918" s="1"/>
      <c r="S1918" s="1"/>
      <c r="T1918" s="1"/>
      <c r="U1918" s="1"/>
      <c r="V1918" s="1"/>
      <c r="W1918" s="142"/>
    </row>
    <row r="1919" spans="1:23" x14ac:dyDescent="0.3">
      <c r="A1919" s="16">
        <v>176</v>
      </c>
      <c r="B1919" s="16">
        <v>8600064087</v>
      </c>
      <c r="C1919" s="16" t="s">
        <v>1996</v>
      </c>
      <c r="D1919" s="16" t="s">
        <v>1502</v>
      </c>
      <c r="E1919" s="16" t="s">
        <v>127</v>
      </c>
      <c r="F1919" s="16" t="s">
        <v>1997</v>
      </c>
      <c r="G1919" s="16">
        <v>6</v>
      </c>
      <c r="H1919" s="16" t="s">
        <v>28</v>
      </c>
      <c r="I1919" s="16">
        <v>4250</v>
      </c>
      <c r="J1919" s="16">
        <f t="shared" si="361"/>
        <v>25500</v>
      </c>
      <c r="K1919" s="16"/>
      <c r="L1919" s="16"/>
      <c r="M1919" s="16"/>
      <c r="N1919" s="16"/>
      <c r="O1919" s="16">
        <v>6</v>
      </c>
      <c r="P1919" s="16">
        <v>4250</v>
      </c>
      <c r="Q1919" s="16">
        <f>O1919*P1919</f>
        <v>25500</v>
      </c>
      <c r="R1919" s="18">
        <v>0.18</v>
      </c>
      <c r="S1919" s="16">
        <f>Q1919*R1919</f>
        <v>4590</v>
      </c>
      <c r="T1919" s="16">
        <f>Q1919+S1919</f>
        <v>30090</v>
      </c>
      <c r="U1919" s="16" t="s">
        <v>2143</v>
      </c>
      <c r="V1919" s="19" t="s">
        <v>2144</v>
      </c>
      <c r="W1919" s="142" t="s">
        <v>2152</v>
      </c>
    </row>
    <row r="1920" spans="1:23" x14ac:dyDescent="0.3">
      <c r="A1920" s="85"/>
      <c r="B1920" s="85"/>
      <c r="C1920" s="85"/>
      <c r="D1920" s="85"/>
      <c r="E1920" s="16" t="s">
        <v>127</v>
      </c>
      <c r="F1920" s="39" t="s">
        <v>1998</v>
      </c>
      <c r="G1920" s="16">
        <v>1</v>
      </c>
      <c r="H1920" s="16" t="s">
        <v>28</v>
      </c>
      <c r="I1920" s="16">
        <v>780</v>
      </c>
      <c r="J1920" s="16">
        <f t="shared" si="361"/>
        <v>780</v>
      </c>
      <c r="K1920" s="16"/>
      <c r="L1920" s="16"/>
      <c r="M1920" s="16"/>
      <c r="N1920" s="16"/>
      <c r="O1920" s="16">
        <v>1</v>
      </c>
      <c r="P1920" s="16">
        <v>780</v>
      </c>
      <c r="Q1920" s="16">
        <f t="shared" ref="Q1920:Q1928" si="421">O1920*P1920</f>
        <v>780</v>
      </c>
      <c r="R1920" s="18">
        <v>0.18</v>
      </c>
      <c r="S1920" s="16">
        <f t="shared" ref="S1920:S1928" si="422">Q1920*R1920</f>
        <v>140.4</v>
      </c>
      <c r="T1920" s="16">
        <f t="shared" ref="T1920:T1928" si="423">Q1920+S1920</f>
        <v>920.4</v>
      </c>
      <c r="U1920" s="16" t="s">
        <v>2143</v>
      </c>
      <c r="V1920" s="19" t="s">
        <v>2144</v>
      </c>
      <c r="W1920" s="142" t="s">
        <v>2152</v>
      </c>
    </row>
    <row r="1921" spans="1:23" x14ac:dyDescent="0.3">
      <c r="A1921" s="85"/>
      <c r="B1921" s="85"/>
      <c r="C1921" s="85"/>
      <c r="D1921" s="85"/>
      <c r="E1921" s="16" t="s">
        <v>127</v>
      </c>
      <c r="F1921" s="16" t="s">
        <v>1999</v>
      </c>
      <c r="G1921" s="16">
        <v>100</v>
      </c>
      <c r="H1921" s="16" t="s">
        <v>28</v>
      </c>
      <c r="I1921" s="16">
        <v>455</v>
      </c>
      <c r="J1921" s="16">
        <f t="shared" si="361"/>
        <v>45500</v>
      </c>
      <c r="K1921" s="16"/>
      <c r="L1921" s="16"/>
      <c r="M1921" s="16"/>
      <c r="N1921" s="16"/>
      <c r="O1921" s="16">
        <v>100</v>
      </c>
      <c r="P1921" s="16">
        <v>455</v>
      </c>
      <c r="Q1921" s="16">
        <f t="shared" si="421"/>
        <v>45500</v>
      </c>
      <c r="R1921" s="18">
        <v>0.18</v>
      </c>
      <c r="S1921" s="16">
        <f t="shared" si="422"/>
        <v>8190</v>
      </c>
      <c r="T1921" s="16">
        <f t="shared" si="423"/>
        <v>53690</v>
      </c>
      <c r="U1921" s="16" t="s">
        <v>2143</v>
      </c>
      <c r="V1921" s="19" t="s">
        <v>2144</v>
      </c>
      <c r="W1921" s="142" t="s">
        <v>2152</v>
      </c>
    </row>
    <row r="1922" spans="1:23" x14ac:dyDescent="0.3">
      <c r="A1922" s="85"/>
      <c r="B1922" s="85"/>
      <c r="C1922" s="85"/>
      <c r="D1922" s="85"/>
      <c r="E1922" s="16" t="s">
        <v>127</v>
      </c>
      <c r="F1922" s="16" t="s">
        <v>2000</v>
      </c>
      <c r="G1922" s="16">
        <v>24</v>
      </c>
      <c r="H1922" s="16" t="s">
        <v>28</v>
      </c>
      <c r="I1922" s="16">
        <v>455</v>
      </c>
      <c r="J1922" s="16">
        <f t="shared" si="361"/>
        <v>10920</v>
      </c>
      <c r="K1922" s="16"/>
      <c r="L1922" s="16"/>
      <c r="M1922" s="16"/>
      <c r="N1922" s="16"/>
      <c r="O1922" s="16">
        <v>24</v>
      </c>
      <c r="P1922" s="16">
        <v>455</v>
      </c>
      <c r="Q1922" s="16">
        <f t="shared" si="421"/>
        <v>10920</v>
      </c>
      <c r="R1922" s="18">
        <v>0.18</v>
      </c>
      <c r="S1922" s="16">
        <f t="shared" si="422"/>
        <v>1965.6</v>
      </c>
      <c r="T1922" s="16">
        <f t="shared" si="423"/>
        <v>12885.6</v>
      </c>
      <c r="U1922" s="16" t="s">
        <v>2143</v>
      </c>
      <c r="V1922" s="19" t="s">
        <v>2144</v>
      </c>
      <c r="W1922" s="142" t="s">
        <v>2152</v>
      </c>
    </row>
    <row r="1923" spans="1:23" x14ac:dyDescent="0.3">
      <c r="A1923" s="85"/>
      <c r="B1923" s="85"/>
      <c r="C1923" s="85"/>
      <c r="D1923" s="85"/>
      <c r="E1923" s="16" t="s">
        <v>127</v>
      </c>
      <c r="F1923" s="16" t="s">
        <v>2001</v>
      </c>
      <c r="G1923" s="16">
        <v>25</v>
      </c>
      <c r="H1923" s="16" t="s">
        <v>28</v>
      </c>
      <c r="I1923" s="16">
        <v>170</v>
      </c>
      <c r="J1923" s="16">
        <f t="shared" si="361"/>
        <v>4250</v>
      </c>
      <c r="K1923" s="16"/>
      <c r="L1923" s="16"/>
      <c r="M1923" s="16"/>
      <c r="N1923" s="16"/>
      <c r="O1923" s="16">
        <v>25</v>
      </c>
      <c r="P1923" s="16">
        <v>170</v>
      </c>
      <c r="Q1923" s="16">
        <f t="shared" si="421"/>
        <v>4250</v>
      </c>
      <c r="R1923" s="18">
        <v>0.18</v>
      </c>
      <c r="S1923" s="16">
        <f t="shared" si="422"/>
        <v>765</v>
      </c>
      <c r="T1923" s="16">
        <f t="shared" si="423"/>
        <v>5015</v>
      </c>
      <c r="U1923" s="16" t="s">
        <v>2143</v>
      </c>
      <c r="V1923" s="19" t="s">
        <v>2144</v>
      </c>
      <c r="W1923" s="142" t="s">
        <v>2152</v>
      </c>
    </row>
    <row r="1924" spans="1:23" x14ac:dyDescent="0.3">
      <c r="A1924" s="85"/>
      <c r="B1924" s="85"/>
      <c r="C1924" s="85"/>
      <c r="D1924" s="85"/>
      <c r="E1924" s="16" t="s">
        <v>127</v>
      </c>
      <c r="F1924" s="16" t="s">
        <v>2002</v>
      </c>
      <c r="G1924" s="16">
        <v>1</v>
      </c>
      <c r="H1924" s="16" t="s">
        <v>57</v>
      </c>
      <c r="I1924" s="16">
        <v>435</v>
      </c>
      <c r="J1924" s="16">
        <f t="shared" si="361"/>
        <v>435</v>
      </c>
      <c r="K1924" s="16"/>
      <c r="L1924" s="16"/>
      <c r="M1924" s="16"/>
      <c r="N1924" s="16"/>
      <c r="O1924" s="16">
        <v>1</v>
      </c>
      <c r="P1924" s="16">
        <v>435</v>
      </c>
      <c r="Q1924" s="16">
        <f t="shared" si="421"/>
        <v>435</v>
      </c>
      <c r="R1924" s="18">
        <v>0.18</v>
      </c>
      <c r="S1924" s="16">
        <f t="shared" si="422"/>
        <v>78.3</v>
      </c>
      <c r="T1924" s="16">
        <f t="shared" si="423"/>
        <v>513.29999999999995</v>
      </c>
      <c r="U1924" s="16" t="s">
        <v>2143</v>
      </c>
      <c r="V1924" s="19" t="s">
        <v>2144</v>
      </c>
      <c r="W1924" s="142" t="s">
        <v>2152</v>
      </c>
    </row>
    <row r="1925" spans="1:23" x14ac:dyDescent="0.3">
      <c r="A1925" s="85"/>
      <c r="B1925" s="85"/>
      <c r="C1925" s="85"/>
      <c r="D1925" s="85"/>
      <c r="E1925" s="16" t="s">
        <v>127</v>
      </c>
      <c r="F1925" s="16" t="s">
        <v>2003</v>
      </c>
      <c r="G1925" s="16">
        <v>1</v>
      </c>
      <c r="H1925" s="16" t="s">
        <v>57</v>
      </c>
      <c r="I1925" s="16">
        <v>455</v>
      </c>
      <c r="J1925" s="16">
        <f t="shared" si="361"/>
        <v>455</v>
      </c>
      <c r="K1925" s="16"/>
      <c r="L1925" s="16"/>
      <c r="M1925" s="16"/>
      <c r="N1925" s="16"/>
      <c r="O1925" s="16">
        <v>1</v>
      </c>
      <c r="P1925" s="16">
        <v>455</v>
      </c>
      <c r="Q1925" s="16">
        <f t="shared" si="421"/>
        <v>455</v>
      </c>
      <c r="R1925" s="18">
        <v>0.18</v>
      </c>
      <c r="S1925" s="16">
        <f t="shared" si="422"/>
        <v>81.899999999999991</v>
      </c>
      <c r="T1925" s="16">
        <f t="shared" si="423"/>
        <v>536.9</v>
      </c>
      <c r="U1925" s="16" t="s">
        <v>2143</v>
      </c>
      <c r="V1925" s="19" t="s">
        <v>2144</v>
      </c>
      <c r="W1925" s="142" t="s">
        <v>2152</v>
      </c>
    </row>
    <row r="1926" spans="1:23" x14ac:dyDescent="0.3">
      <c r="A1926" s="85"/>
      <c r="B1926" s="85"/>
      <c r="C1926" s="85"/>
      <c r="D1926" s="85"/>
      <c r="E1926" s="16" t="s">
        <v>127</v>
      </c>
      <c r="F1926" s="16" t="s">
        <v>2004</v>
      </c>
      <c r="G1926" s="16">
        <v>1</v>
      </c>
      <c r="H1926" s="16" t="s">
        <v>57</v>
      </c>
      <c r="I1926" s="16">
        <v>715</v>
      </c>
      <c r="J1926" s="16">
        <f t="shared" si="361"/>
        <v>715</v>
      </c>
      <c r="K1926" s="16"/>
      <c r="L1926" s="16"/>
      <c r="M1926" s="16"/>
      <c r="N1926" s="16"/>
      <c r="O1926" s="16">
        <v>1</v>
      </c>
      <c r="P1926" s="16">
        <v>715</v>
      </c>
      <c r="Q1926" s="16">
        <f t="shared" si="421"/>
        <v>715</v>
      </c>
      <c r="R1926" s="18">
        <v>0.18</v>
      </c>
      <c r="S1926" s="16">
        <f t="shared" si="422"/>
        <v>128.69999999999999</v>
      </c>
      <c r="T1926" s="16">
        <f t="shared" si="423"/>
        <v>843.7</v>
      </c>
      <c r="U1926" s="16" t="s">
        <v>2143</v>
      </c>
      <c r="V1926" s="19" t="s">
        <v>2144</v>
      </c>
      <c r="W1926" s="142" t="s">
        <v>2152</v>
      </c>
    </row>
    <row r="1927" spans="1:23" x14ac:dyDescent="0.3">
      <c r="A1927" s="85"/>
      <c r="B1927" s="85"/>
      <c r="C1927" s="85"/>
      <c r="D1927" s="85"/>
      <c r="E1927" s="16" t="s">
        <v>127</v>
      </c>
      <c r="F1927" s="16" t="s">
        <v>2005</v>
      </c>
      <c r="G1927" s="16">
        <v>1</v>
      </c>
      <c r="H1927" s="16" t="s">
        <v>57</v>
      </c>
      <c r="I1927" s="16">
        <v>845</v>
      </c>
      <c r="J1927" s="16">
        <f t="shared" si="361"/>
        <v>845</v>
      </c>
      <c r="K1927" s="16"/>
      <c r="L1927" s="16"/>
      <c r="M1927" s="16"/>
      <c r="N1927" s="16"/>
      <c r="O1927" s="16">
        <v>1</v>
      </c>
      <c r="P1927" s="16">
        <v>845</v>
      </c>
      <c r="Q1927" s="16">
        <f t="shared" si="421"/>
        <v>845</v>
      </c>
      <c r="R1927" s="18">
        <v>0.18</v>
      </c>
      <c r="S1927" s="16">
        <f t="shared" si="422"/>
        <v>152.1</v>
      </c>
      <c r="T1927" s="16">
        <f t="shared" si="423"/>
        <v>997.1</v>
      </c>
      <c r="U1927" s="16" t="s">
        <v>2143</v>
      </c>
      <c r="V1927" s="19" t="s">
        <v>2144</v>
      </c>
      <c r="W1927" s="142" t="s">
        <v>2152</v>
      </c>
    </row>
    <row r="1928" spans="1:23" x14ac:dyDescent="0.3">
      <c r="A1928" s="85"/>
      <c r="B1928" s="85"/>
      <c r="C1928" s="85"/>
      <c r="D1928" s="85"/>
      <c r="E1928" s="16" t="s">
        <v>127</v>
      </c>
      <c r="F1928" s="16" t="s">
        <v>2006</v>
      </c>
      <c r="G1928" s="16">
        <v>1</v>
      </c>
      <c r="H1928" s="16" t="s">
        <v>28</v>
      </c>
      <c r="I1928" s="16">
        <v>380</v>
      </c>
      <c r="J1928" s="16">
        <f t="shared" si="361"/>
        <v>380</v>
      </c>
      <c r="K1928" s="16"/>
      <c r="L1928" s="16"/>
      <c r="M1928" s="16"/>
      <c r="N1928" s="16"/>
      <c r="O1928" s="16">
        <v>1</v>
      </c>
      <c r="P1928" s="16">
        <v>380</v>
      </c>
      <c r="Q1928" s="16">
        <f t="shared" si="421"/>
        <v>380</v>
      </c>
      <c r="R1928" s="18">
        <v>0.18</v>
      </c>
      <c r="S1928" s="16">
        <f t="shared" si="422"/>
        <v>68.399999999999991</v>
      </c>
      <c r="T1928" s="16">
        <f t="shared" si="423"/>
        <v>448.4</v>
      </c>
      <c r="U1928" s="16" t="s">
        <v>2143</v>
      </c>
      <c r="V1928" s="19" t="s">
        <v>2144</v>
      </c>
      <c r="W1928" s="142" t="s">
        <v>2152</v>
      </c>
    </row>
    <row r="1929" spans="1:23" x14ac:dyDescent="0.3">
      <c r="A1929" s="1"/>
      <c r="B1929" s="1"/>
      <c r="C1929" s="1"/>
      <c r="D1929" s="1"/>
      <c r="E1929" s="1"/>
      <c r="F1929" s="124" t="s">
        <v>39</v>
      </c>
      <c r="G1929" s="1"/>
      <c r="H1929" s="1"/>
      <c r="I1929" s="1"/>
      <c r="J1929" s="124">
        <f>SUM(J1919:J1928)</f>
        <v>89780</v>
      </c>
      <c r="K1929" s="1"/>
      <c r="L1929" s="1"/>
      <c r="M1929" s="1"/>
      <c r="N1929" s="1"/>
      <c r="O1929" s="1"/>
      <c r="P1929" s="1"/>
      <c r="Q1929" s="1"/>
      <c r="R1929" s="1"/>
      <c r="S1929" s="1"/>
      <c r="T1929" s="1"/>
      <c r="U1929" s="1"/>
      <c r="V1929" s="1"/>
      <c r="W1929" s="142"/>
    </row>
    <row r="1930" spans="1:23" x14ac:dyDescent="0.3">
      <c r="A1930" s="1"/>
      <c r="B1930" s="1"/>
      <c r="C1930" s="1"/>
      <c r="D1930" s="1"/>
      <c r="E1930" s="1"/>
      <c r="F1930" s="124" t="s">
        <v>187</v>
      </c>
      <c r="G1930" s="1"/>
      <c r="H1930" s="1"/>
      <c r="I1930" s="1"/>
      <c r="J1930" s="124">
        <f>J1929*18/100</f>
        <v>16160.4</v>
      </c>
      <c r="K1930" s="1"/>
      <c r="L1930" s="1"/>
      <c r="M1930" s="1"/>
      <c r="N1930" s="1"/>
      <c r="O1930" s="1"/>
      <c r="P1930" s="1"/>
      <c r="Q1930" s="1"/>
      <c r="R1930" s="1"/>
      <c r="S1930" s="1"/>
      <c r="T1930" s="1"/>
      <c r="U1930" s="1"/>
      <c r="V1930" s="1"/>
      <c r="W1930" s="142"/>
    </row>
    <row r="1931" spans="1:23" x14ac:dyDescent="0.3">
      <c r="A1931" s="1"/>
      <c r="B1931" s="1"/>
      <c r="C1931" s="1"/>
      <c r="D1931" s="1"/>
      <c r="E1931" s="1"/>
      <c r="F1931" s="124" t="s">
        <v>41</v>
      </c>
      <c r="G1931" s="1"/>
      <c r="H1931" s="1"/>
      <c r="I1931" s="1"/>
      <c r="J1931" s="124">
        <f>SUM(J1929:J1930)</f>
        <v>105940.4</v>
      </c>
      <c r="K1931" s="1"/>
      <c r="L1931" s="1"/>
      <c r="M1931" s="1"/>
      <c r="N1931" s="1"/>
      <c r="O1931" s="1"/>
      <c r="P1931" s="1"/>
      <c r="Q1931" s="1"/>
      <c r="R1931" s="1"/>
      <c r="S1931" s="1"/>
      <c r="T1931" s="1">
        <f>SUM(T1919:T1930)</f>
        <v>105940.4</v>
      </c>
      <c r="U1931" s="1"/>
      <c r="V1931" s="1"/>
      <c r="W1931" s="142"/>
    </row>
    <row r="1932" spans="1:23" x14ac:dyDescent="0.3">
      <c r="A1932" s="1"/>
      <c r="B1932" s="1"/>
      <c r="C1932" s="1"/>
      <c r="D1932" s="1"/>
      <c r="E1932" s="1"/>
      <c r="F1932" s="1"/>
      <c r="G1932" s="1"/>
      <c r="H1932" s="1"/>
      <c r="I1932" s="1"/>
      <c r="J1932" s="1"/>
      <c r="K1932" s="1"/>
      <c r="L1932" s="1"/>
      <c r="M1932" s="1"/>
      <c r="N1932" s="1"/>
      <c r="O1932" s="1"/>
      <c r="P1932" s="1"/>
      <c r="Q1932" s="1"/>
      <c r="R1932" s="1"/>
      <c r="S1932" s="1"/>
      <c r="T1932" s="1"/>
      <c r="U1932" s="1"/>
      <c r="V1932" s="1"/>
      <c r="W1932" s="142"/>
    </row>
    <row r="1933" spans="1:23" ht="25.2" x14ac:dyDescent="0.3">
      <c r="A1933" s="16">
        <v>177</v>
      </c>
      <c r="B1933" s="16">
        <v>9200158730</v>
      </c>
      <c r="C1933" s="16" t="s">
        <v>2013</v>
      </c>
      <c r="D1933" s="16" t="s">
        <v>43</v>
      </c>
      <c r="E1933" s="16" t="s">
        <v>123</v>
      </c>
      <c r="F1933" s="39" t="s">
        <v>2014</v>
      </c>
      <c r="G1933" s="16">
        <v>110</v>
      </c>
      <c r="H1933" s="16" t="s">
        <v>60</v>
      </c>
      <c r="I1933" s="16">
        <v>100</v>
      </c>
      <c r="J1933" s="16">
        <f t="shared" si="361"/>
        <v>11000</v>
      </c>
      <c r="K1933" s="16"/>
      <c r="L1933" s="16"/>
      <c r="M1933" s="16" t="s">
        <v>91</v>
      </c>
      <c r="N1933" s="16" t="s">
        <v>2422</v>
      </c>
      <c r="O1933" s="119">
        <v>107</v>
      </c>
      <c r="P1933" s="16">
        <v>100</v>
      </c>
      <c r="Q1933" s="16">
        <f>O1933*P1933</f>
        <v>10700</v>
      </c>
      <c r="R1933" s="18">
        <v>0</v>
      </c>
      <c r="S1933" s="16">
        <f>Q1933*R1933</f>
        <v>0</v>
      </c>
      <c r="T1933" s="16">
        <f>Q1933+S1933</f>
        <v>10700</v>
      </c>
      <c r="U1933" s="16" t="s">
        <v>2511</v>
      </c>
      <c r="V1933" s="19">
        <v>46241</v>
      </c>
      <c r="W1933" s="142" t="s">
        <v>2687</v>
      </c>
    </row>
    <row r="1934" spans="1:23" ht="25.2" x14ac:dyDescent="0.3">
      <c r="A1934" s="1"/>
      <c r="B1934" s="1"/>
      <c r="C1934" s="1"/>
      <c r="D1934" s="1">
        <v>2</v>
      </c>
      <c r="E1934" s="16" t="s">
        <v>123</v>
      </c>
      <c r="F1934" s="39" t="s">
        <v>2015</v>
      </c>
      <c r="G1934" s="16">
        <v>145</v>
      </c>
      <c r="H1934" s="16" t="s">
        <v>60</v>
      </c>
      <c r="I1934" s="16">
        <v>100</v>
      </c>
      <c r="J1934" s="16">
        <f t="shared" si="361"/>
        <v>14500</v>
      </c>
      <c r="K1934" s="16">
        <v>4</v>
      </c>
      <c r="L1934" s="16" t="s">
        <v>28</v>
      </c>
      <c r="M1934" s="16" t="s">
        <v>91</v>
      </c>
      <c r="N1934" s="16" t="s">
        <v>2416</v>
      </c>
      <c r="O1934" s="119">
        <v>96</v>
      </c>
      <c r="P1934" s="16">
        <v>100</v>
      </c>
      <c r="Q1934" s="16">
        <f t="shared" ref="Q1934:Q1953" si="424">O1934*P1934</f>
        <v>9600</v>
      </c>
      <c r="R1934" s="18">
        <v>0</v>
      </c>
      <c r="S1934" s="16">
        <f t="shared" ref="S1934:S1953" si="425">Q1934*R1934</f>
        <v>0</v>
      </c>
      <c r="T1934" s="16">
        <f t="shared" ref="T1934:T1953" si="426">Q1934+S1934</f>
        <v>9600</v>
      </c>
      <c r="U1934" s="16" t="s">
        <v>2511</v>
      </c>
      <c r="V1934" s="19">
        <v>46241</v>
      </c>
      <c r="W1934" s="142" t="s">
        <v>2687</v>
      </c>
    </row>
    <row r="1935" spans="1:23" ht="25.2" x14ac:dyDescent="0.3">
      <c r="A1935" s="1"/>
      <c r="B1935" s="1"/>
      <c r="C1935" s="1"/>
      <c r="D1935" s="1">
        <v>3</v>
      </c>
      <c r="E1935" s="16" t="s">
        <v>123</v>
      </c>
      <c r="F1935" s="39" t="s">
        <v>2016</v>
      </c>
      <c r="G1935" s="16">
        <v>20</v>
      </c>
      <c r="H1935" s="16" t="s">
        <v>60</v>
      </c>
      <c r="I1935" s="16">
        <v>100</v>
      </c>
      <c r="J1935" s="16">
        <f t="shared" si="361"/>
        <v>2000</v>
      </c>
      <c r="K1935" s="16">
        <v>2</v>
      </c>
      <c r="L1935" s="16" t="s">
        <v>28</v>
      </c>
      <c r="M1935" s="16" t="s">
        <v>91</v>
      </c>
      <c r="N1935" s="16" t="s">
        <v>2416</v>
      </c>
      <c r="O1935" s="119">
        <v>12</v>
      </c>
      <c r="P1935" s="16">
        <v>100</v>
      </c>
      <c r="Q1935" s="16">
        <f t="shared" si="424"/>
        <v>1200</v>
      </c>
      <c r="R1935" s="18">
        <v>0</v>
      </c>
      <c r="S1935" s="16">
        <f t="shared" si="425"/>
        <v>0</v>
      </c>
      <c r="T1935" s="16">
        <f t="shared" si="426"/>
        <v>1200</v>
      </c>
      <c r="U1935" s="16" t="s">
        <v>2511</v>
      </c>
      <c r="V1935" s="19">
        <v>46241</v>
      </c>
      <c r="W1935" s="142" t="s">
        <v>2687</v>
      </c>
    </row>
    <row r="1936" spans="1:23" ht="25.2" x14ac:dyDescent="0.3">
      <c r="A1936" s="1"/>
      <c r="B1936" s="1"/>
      <c r="C1936" s="1"/>
      <c r="D1936" s="1">
        <v>4</v>
      </c>
      <c r="E1936" s="16" t="s">
        <v>123</v>
      </c>
      <c r="F1936" s="39" t="s">
        <v>2017</v>
      </c>
      <c r="G1936" s="16">
        <v>40</v>
      </c>
      <c r="H1936" s="16" t="s">
        <v>60</v>
      </c>
      <c r="I1936" s="16">
        <v>100</v>
      </c>
      <c r="J1936" s="16">
        <f t="shared" si="361"/>
        <v>4000</v>
      </c>
      <c r="K1936" s="16">
        <v>5</v>
      </c>
      <c r="L1936" s="16" t="s">
        <v>28</v>
      </c>
      <c r="M1936" s="16" t="s">
        <v>91</v>
      </c>
      <c r="N1936" s="16" t="s">
        <v>2416</v>
      </c>
      <c r="O1936" s="119">
        <v>10</v>
      </c>
      <c r="P1936" s="16">
        <v>100</v>
      </c>
      <c r="Q1936" s="16">
        <f t="shared" si="424"/>
        <v>1000</v>
      </c>
      <c r="R1936" s="18">
        <v>0</v>
      </c>
      <c r="S1936" s="16">
        <f t="shared" si="425"/>
        <v>0</v>
      </c>
      <c r="T1936" s="16">
        <f t="shared" si="426"/>
        <v>1000</v>
      </c>
      <c r="U1936" s="16" t="s">
        <v>2511</v>
      </c>
      <c r="V1936" s="19">
        <v>46241</v>
      </c>
      <c r="W1936" s="142" t="s">
        <v>2687</v>
      </c>
    </row>
    <row r="1937" spans="1:23" x14ac:dyDescent="0.3">
      <c r="A1937" s="1"/>
      <c r="B1937" s="1"/>
      <c r="C1937" s="1"/>
      <c r="D1937" s="1">
        <v>5</v>
      </c>
      <c r="E1937" s="16" t="s">
        <v>123</v>
      </c>
      <c r="F1937" s="16" t="s">
        <v>2018</v>
      </c>
      <c r="G1937" s="16">
        <v>2</v>
      </c>
      <c r="H1937" s="16" t="s">
        <v>87</v>
      </c>
      <c r="I1937" s="16">
        <v>100</v>
      </c>
      <c r="J1937" s="16">
        <f t="shared" si="361"/>
        <v>200</v>
      </c>
      <c r="K1937" s="16"/>
      <c r="L1937" s="16"/>
      <c r="M1937" s="16" t="s">
        <v>91</v>
      </c>
      <c r="N1937" s="16" t="s">
        <v>2432</v>
      </c>
      <c r="O1937" s="16">
        <v>2</v>
      </c>
      <c r="P1937" s="16">
        <v>100</v>
      </c>
      <c r="Q1937" s="16">
        <f t="shared" si="424"/>
        <v>200</v>
      </c>
      <c r="R1937" s="18">
        <v>0</v>
      </c>
      <c r="S1937" s="16">
        <f t="shared" si="425"/>
        <v>0</v>
      </c>
      <c r="T1937" s="16">
        <f t="shared" si="426"/>
        <v>200</v>
      </c>
      <c r="U1937" s="16" t="s">
        <v>2511</v>
      </c>
      <c r="V1937" s="19">
        <v>46241</v>
      </c>
      <c r="W1937" s="142" t="s">
        <v>2687</v>
      </c>
    </row>
    <row r="1938" spans="1:23" x14ac:dyDescent="0.3">
      <c r="A1938" s="1"/>
      <c r="B1938" s="1"/>
      <c r="C1938" s="1"/>
      <c r="D1938" s="1">
        <v>6</v>
      </c>
      <c r="E1938" s="16" t="s">
        <v>123</v>
      </c>
      <c r="F1938" s="16" t="s">
        <v>2019</v>
      </c>
      <c r="G1938" s="16">
        <v>2</v>
      </c>
      <c r="H1938" s="16" t="s">
        <v>87</v>
      </c>
      <c r="I1938" s="16">
        <v>100</v>
      </c>
      <c r="J1938" s="16">
        <f t="shared" si="361"/>
        <v>200</v>
      </c>
      <c r="K1938" s="16"/>
      <c r="L1938" s="16"/>
      <c r="M1938" s="16"/>
      <c r="N1938" s="16"/>
      <c r="O1938" s="16">
        <v>2</v>
      </c>
      <c r="P1938" s="16">
        <v>100</v>
      </c>
      <c r="Q1938" s="16">
        <f t="shared" si="424"/>
        <v>200</v>
      </c>
      <c r="R1938" s="18">
        <v>0</v>
      </c>
      <c r="S1938" s="16">
        <f t="shared" si="425"/>
        <v>0</v>
      </c>
      <c r="T1938" s="16">
        <f t="shared" si="426"/>
        <v>200</v>
      </c>
      <c r="U1938" s="16" t="s">
        <v>2511</v>
      </c>
      <c r="V1938" s="19">
        <v>46241</v>
      </c>
      <c r="W1938" s="142" t="s">
        <v>2687</v>
      </c>
    </row>
    <row r="1939" spans="1:23" x14ac:dyDescent="0.3">
      <c r="A1939" s="1"/>
      <c r="B1939" s="1"/>
      <c r="C1939" s="1"/>
      <c r="D1939" s="1">
        <v>7</v>
      </c>
      <c r="E1939" s="16" t="s">
        <v>123</v>
      </c>
      <c r="F1939" s="16" t="s">
        <v>2020</v>
      </c>
      <c r="G1939" s="16">
        <v>15</v>
      </c>
      <c r="H1939" s="16" t="s">
        <v>87</v>
      </c>
      <c r="I1939" s="16">
        <v>100</v>
      </c>
      <c r="J1939" s="16">
        <f t="shared" si="361"/>
        <v>1500</v>
      </c>
      <c r="K1939" s="16"/>
      <c r="L1939" s="16"/>
      <c r="M1939" s="16"/>
      <c r="N1939" s="16"/>
      <c r="O1939" s="16">
        <v>15</v>
      </c>
      <c r="P1939" s="16">
        <v>100</v>
      </c>
      <c r="Q1939" s="16">
        <f t="shared" si="424"/>
        <v>1500</v>
      </c>
      <c r="R1939" s="18">
        <v>0</v>
      </c>
      <c r="S1939" s="16">
        <f t="shared" si="425"/>
        <v>0</v>
      </c>
      <c r="T1939" s="16">
        <f t="shared" si="426"/>
        <v>1500</v>
      </c>
      <c r="U1939" s="16" t="s">
        <v>2511</v>
      </c>
      <c r="V1939" s="19">
        <v>46241</v>
      </c>
      <c r="W1939" s="142" t="s">
        <v>2687</v>
      </c>
    </row>
    <row r="1940" spans="1:23" x14ac:dyDescent="0.3">
      <c r="A1940" s="1"/>
      <c r="B1940" s="1"/>
      <c r="C1940" s="1"/>
      <c r="D1940" s="1">
        <v>8</v>
      </c>
      <c r="E1940" s="16" t="s">
        <v>123</v>
      </c>
      <c r="F1940" s="16" t="s">
        <v>2021</v>
      </c>
      <c r="G1940" s="16">
        <v>15</v>
      </c>
      <c r="H1940" s="16" t="s">
        <v>87</v>
      </c>
      <c r="I1940" s="16">
        <v>100</v>
      </c>
      <c r="J1940" s="16">
        <f t="shared" si="361"/>
        <v>1500</v>
      </c>
      <c r="K1940" s="16"/>
      <c r="L1940" s="16"/>
      <c r="M1940" s="16"/>
      <c r="N1940" s="16"/>
      <c r="O1940" s="16">
        <v>15</v>
      </c>
      <c r="P1940" s="16">
        <v>100</v>
      </c>
      <c r="Q1940" s="16">
        <f t="shared" si="424"/>
        <v>1500</v>
      </c>
      <c r="R1940" s="18">
        <v>0</v>
      </c>
      <c r="S1940" s="16">
        <f t="shared" si="425"/>
        <v>0</v>
      </c>
      <c r="T1940" s="16">
        <f t="shared" si="426"/>
        <v>1500</v>
      </c>
      <c r="U1940" s="16" t="s">
        <v>2511</v>
      </c>
      <c r="V1940" s="19">
        <v>46241</v>
      </c>
      <c r="W1940" s="142" t="s">
        <v>2687</v>
      </c>
    </row>
    <row r="1941" spans="1:23" x14ac:dyDescent="0.3">
      <c r="A1941" s="1"/>
      <c r="B1941" s="1"/>
      <c r="C1941" s="1"/>
      <c r="D1941" s="1">
        <v>9</v>
      </c>
      <c r="E1941" s="16" t="s">
        <v>123</v>
      </c>
      <c r="F1941" s="16" t="s">
        <v>2022</v>
      </c>
      <c r="G1941" s="16">
        <v>110</v>
      </c>
      <c r="H1941" s="16" t="s">
        <v>87</v>
      </c>
      <c r="I1941" s="16">
        <v>100</v>
      </c>
      <c r="J1941" s="16">
        <f t="shared" si="361"/>
        <v>11000</v>
      </c>
      <c r="K1941" s="16"/>
      <c r="L1941" s="16"/>
      <c r="M1941" s="16"/>
      <c r="N1941" s="16"/>
      <c r="O1941" s="119">
        <v>91</v>
      </c>
      <c r="P1941" s="16">
        <v>100</v>
      </c>
      <c r="Q1941" s="16">
        <f t="shared" si="424"/>
        <v>9100</v>
      </c>
      <c r="R1941" s="18">
        <v>0</v>
      </c>
      <c r="S1941" s="16">
        <f t="shared" si="425"/>
        <v>0</v>
      </c>
      <c r="T1941" s="16">
        <f t="shared" si="426"/>
        <v>9100</v>
      </c>
      <c r="U1941" s="16" t="s">
        <v>2511</v>
      </c>
      <c r="V1941" s="19">
        <v>46241</v>
      </c>
      <c r="W1941" s="142" t="s">
        <v>2687</v>
      </c>
    </row>
    <row r="1942" spans="1:23" ht="25.2" x14ac:dyDescent="0.3">
      <c r="A1942" s="1"/>
      <c r="B1942" s="1"/>
      <c r="C1942" s="1"/>
      <c r="D1942" s="1">
        <v>10</v>
      </c>
      <c r="E1942" s="16" t="s">
        <v>123</v>
      </c>
      <c r="F1942" s="39" t="s">
        <v>2023</v>
      </c>
      <c r="G1942" s="16">
        <v>7</v>
      </c>
      <c r="H1942" s="16" t="s">
        <v>87</v>
      </c>
      <c r="I1942" s="16">
        <v>100</v>
      </c>
      <c r="J1942" s="16">
        <f t="shared" si="361"/>
        <v>700</v>
      </c>
      <c r="K1942" s="16"/>
      <c r="L1942" s="16"/>
      <c r="M1942" s="16"/>
      <c r="N1942" s="16"/>
      <c r="O1942" s="119">
        <v>6</v>
      </c>
      <c r="P1942" s="16">
        <v>100</v>
      </c>
      <c r="Q1942" s="16">
        <f t="shared" si="424"/>
        <v>600</v>
      </c>
      <c r="R1942" s="18">
        <v>0</v>
      </c>
      <c r="S1942" s="16">
        <f t="shared" si="425"/>
        <v>0</v>
      </c>
      <c r="T1942" s="16">
        <f t="shared" si="426"/>
        <v>600</v>
      </c>
      <c r="U1942" s="16" t="s">
        <v>2511</v>
      </c>
      <c r="V1942" s="19">
        <v>46241</v>
      </c>
      <c r="W1942" s="142" t="s">
        <v>2687</v>
      </c>
    </row>
    <row r="1943" spans="1:23" ht="25.2" x14ac:dyDescent="0.3">
      <c r="A1943" s="1"/>
      <c r="B1943" s="1"/>
      <c r="C1943" s="1"/>
      <c r="D1943" s="1">
        <v>11</v>
      </c>
      <c r="E1943" s="16" t="s">
        <v>123</v>
      </c>
      <c r="F1943" s="39" t="s">
        <v>2024</v>
      </c>
      <c r="G1943" s="16">
        <v>15</v>
      </c>
      <c r="H1943" s="16" t="s">
        <v>87</v>
      </c>
      <c r="I1943" s="16">
        <v>100</v>
      </c>
      <c r="J1943" s="16">
        <f t="shared" si="361"/>
        <v>1500</v>
      </c>
      <c r="K1943" s="16"/>
      <c r="L1943" s="16"/>
      <c r="M1943" s="16"/>
      <c r="N1943" s="16"/>
      <c r="O1943" s="16">
        <v>15</v>
      </c>
      <c r="P1943" s="16">
        <v>100</v>
      </c>
      <c r="Q1943" s="16">
        <f t="shared" si="424"/>
        <v>1500</v>
      </c>
      <c r="R1943" s="18">
        <v>0</v>
      </c>
      <c r="S1943" s="16">
        <f t="shared" si="425"/>
        <v>0</v>
      </c>
      <c r="T1943" s="16">
        <f t="shared" si="426"/>
        <v>1500</v>
      </c>
      <c r="U1943" s="16" t="s">
        <v>2511</v>
      </c>
      <c r="V1943" s="19">
        <v>46241</v>
      </c>
      <c r="W1943" s="142" t="s">
        <v>2687</v>
      </c>
    </row>
    <row r="1944" spans="1:23" ht="25.2" x14ac:dyDescent="0.3">
      <c r="A1944" s="1"/>
      <c r="B1944" s="1"/>
      <c r="C1944" s="1"/>
      <c r="D1944" s="1">
        <v>12</v>
      </c>
      <c r="E1944" s="16" t="s">
        <v>123</v>
      </c>
      <c r="F1944" s="39" t="s">
        <v>2025</v>
      </c>
      <c r="G1944" s="16">
        <v>15</v>
      </c>
      <c r="H1944" s="16" t="s">
        <v>60</v>
      </c>
      <c r="I1944" s="16">
        <v>100</v>
      </c>
      <c r="J1944" s="16">
        <f t="shared" si="361"/>
        <v>1500</v>
      </c>
      <c r="K1944" s="16"/>
      <c r="L1944" s="16"/>
      <c r="M1944" s="16"/>
      <c r="N1944" s="16"/>
      <c r="O1944" s="16">
        <v>15</v>
      </c>
      <c r="P1944" s="16">
        <v>100</v>
      </c>
      <c r="Q1944" s="16">
        <f t="shared" si="424"/>
        <v>1500</v>
      </c>
      <c r="R1944" s="18">
        <v>0</v>
      </c>
      <c r="S1944" s="16">
        <f t="shared" si="425"/>
        <v>0</v>
      </c>
      <c r="T1944" s="16">
        <f t="shared" si="426"/>
        <v>1500</v>
      </c>
      <c r="U1944" s="16" t="s">
        <v>2511</v>
      </c>
      <c r="V1944" s="19">
        <v>46241</v>
      </c>
      <c r="W1944" s="142" t="s">
        <v>2687</v>
      </c>
    </row>
    <row r="1945" spans="1:23" ht="25.2" x14ac:dyDescent="0.3">
      <c r="A1945" s="1"/>
      <c r="B1945" s="1"/>
      <c r="C1945" s="1"/>
      <c r="D1945" s="1">
        <v>13</v>
      </c>
      <c r="E1945" s="16" t="s">
        <v>123</v>
      </c>
      <c r="F1945" s="39" t="s">
        <v>2026</v>
      </c>
      <c r="G1945" s="16">
        <v>255</v>
      </c>
      <c r="H1945" s="16" t="s">
        <v>60</v>
      </c>
      <c r="I1945" s="16">
        <v>21</v>
      </c>
      <c r="J1945" s="16">
        <f t="shared" si="361"/>
        <v>5355</v>
      </c>
      <c r="K1945" s="16"/>
      <c r="L1945" s="16"/>
      <c r="M1945" s="16"/>
      <c r="N1945" s="16"/>
      <c r="O1945" s="119">
        <v>225</v>
      </c>
      <c r="P1945" s="16">
        <v>21</v>
      </c>
      <c r="Q1945" s="16">
        <f t="shared" si="424"/>
        <v>4725</v>
      </c>
      <c r="R1945" s="18">
        <v>0</v>
      </c>
      <c r="S1945" s="16">
        <f t="shared" si="425"/>
        <v>0</v>
      </c>
      <c r="T1945" s="16">
        <f t="shared" si="426"/>
        <v>4725</v>
      </c>
      <c r="U1945" s="16" t="s">
        <v>2511</v>
      </c>
      <c r="V1945" s="19">
        <v>46241</v>
      </c>
      <c r="W1945" s="142" t="s">
        <v>2687</v>
      </c>
    </row>
    <row r="1946" spans="1:23" ht="25.2" x14ac:dyDescent="0.3">
      <c r="A1946" s="1"/>
      <c r="B1946" s="1"/>
      <c r="C1946" s="1"/>
      <c r="D1946" s="1">
        <v>14</v>
      </c>
      <c r="E1946" s="16" t="s">
        <v>123</v>
      </c>
      <c r="F1946" s="39" t="s">
        <v>2027</v>
      </c>
      <c r="G1946" s="16">
        <v>255</v>
      </c>
      <c r="H1946" s="16" t="s">
        <v>60</v>
      </c>
      <c r="I1946" s="16">
        <v>18</v>
      </c>
      <c r="J1946" s="16">
        <f t="shared" si="361"/>
        <v>4590</v>
      </c>
      <c r="K1946" s="16"/>
      <c r="L1946" s="16"/>
      <c r="M1946" s="16"/>
      <c r="N1946" s="16"/>
      <c r="O1946" s="119">
        <v>225</v>
      </c>
      <c r="P1946" s="16">
        <v>18</v>
      </c>
      <c r="Q1946" s="16">
        <f t="shared" si="424"/>
        <v>4050</v>
      </c>
      <c r="R1946" s="18">
        <v>0</v>
      </c>
      <c r="S1946" s="16">
        <f t="shared" si="425"/>
        <v>0</v>
      </c>
      <c r="T1946" s="16">
        <f t="shared" si="426"/>
        <v>4050</v>
      </c>
      <c r="U1946" s="16" t="s">
        <v>2511</v>
      </c>
      <c r="V1946" s="19">
        <v>46241</v>
      </c>
      <c r="W1946" s="142" t="s">
        <v>2687</v>
      </c>
    </row>
    <row r="1947" spans="1:23" ht="25.2" x14ac:dyDescent="0.3">
      <c r="A1947" s="1"/>
      <c r="B1947" s="1"/>
      <c r="C1947" s="1"/>
      <c r="D1947" s="1">
        <v>15</v>
      </c>
      <c r="E1947" s="16" t="s">
        <v>123</v>
      </c>
      <c r="F1947" s="39" t="s">
        <v>2028</v>
      </c>
      <c r="G1947" s="16">
        <v>30</v>
      </c>
      <c r="H1947" s="16" t="s">
        <v>87</v>
      </c>
      <c r="I1947" s="16">
        <v>1000</v>
      </c>
      <c r="J1947" s="16">
        <f t="shared" si="361"/>
        <v>30000</v>
      </c>
      <c r="K1947" s="16" t="s">
        <v>2418</v>
      </c>
      <c r="L1947" s="16" t="s">
        <v>225</v>
      </c>
      <c r="M1947" s="16" t="s">
        <v>91</v>
      </c>
      <c r="N1947" s="16" t="s">
        <v>2415</v>
      </c>
      <c r="O1947" s="16">
        <v>30</v>
      </c>
      <c r="P1947" s="16">
        <v>1000</v>
      </c>
      <c r="Q1947" s="16">
        <f t="shared" si="424"/>
        <v>30000</v>
      </c>
      <c r="R1947" s="18">
        <v>0</v>
      </c>
      <c r="S1947" s="16">
        <f t="shared" si="425"/>
        <v>0</v>
      </c>
      <c r="T1947" s="16">
        <f t="shared" si="426"/>
        <v>30000</v>
      </c>
      <c r="U1947" s="16" t="s">
        <v>2511</v>
      </c>
      <c r="V1947" s="19">
        <v>46241</v>
      </c>
      <c r="W1947" s="142" t="s">
        <v>2687</v>
      </c>
    </row>
    <row r="1948" spans="1:23" ht="25.2" x14ac:dyDescent="0.3">
      <c r="A1948" s="1"/>
      <c r="B1948" s="1"/>
      <c r="C1948" s="1"/>
      <c r="D1948" s="1">
        <v>16</v>
      </c>
      <c r="E1948" s="16" t="s">
        <v>123</v>
      </c>
      <c r="F1948" s="39" t="s">
        <v>2029</v>
      </c>
      <c r="G1948" s="16">
        <v>16</v>
      </c>
      <c r="H1948" s="16" t="s">
        <v>87</v>
      </c>
      <c r="I1948" s="16">
        <v>400</v>
      </c>
      <c r="J1948" s="16">
        <f t="shared" si="361"/>
        <v>6400</v>
      </c>
      <c r="K1948" s="16" t="s">
        <v>2417</v>
      </c>
      <c r="L1948" s="16" t="s">
        <v>225</v>
      </c>
      <c r="M1948" s="16" t="s">
        <v>91</v>
      </c>
      <c r="N1948" s="16" t="s">
        <v>2415</v>
      </c>
      <c r="O1948" s="119">
        <v>15</v>
      </c>
      <c r="P1948" s="16">
        <v>400</v>
      </c>
      <c r="Q1948" s="16">
        <f t="shared" si="424"/>
        <v>6000</v>
      </c>
      <c r="R1948" s="18">
        <v>0</v>
      </c>
      <c r="S1948" s="16">
        <f t="shared" si="425"/>
        <v>0</v>
      </c>
      <c r="T1948" s="16">
        <f t="shared" si="426"/>
        <v>6000</v>
      </c>
      <c r="U1948" s="16" t="s">
        <v>2511</v>
      </c>
      <c r="V1948" s="19">
        <v>46241</v>
      </c>
      <c r="W1948" s="142" t="s">
        <v>2687</v>
      </c>
    </row>
    <row r="1949" spans="1:23" ht="25.2" x14ac:dyDescent="0.3">
      <c r="A1949" s="1"/>
      <c r="B1949" s="1"/>
      <c r="C1949" s="1"/>
      <c r="D1949" s="1">
        <v>17</v>
      </c>
      <c r="E1949" s="16" t="s">
        <v>123</v>
      </c>
      <c r="F1949" s="39" t="s">
        <v>2030</v>
      </c>
      <c r="G1949" s="16">
        <v>16</v>
      </c>
      <c r="H1949" s="16" t="s">
        <v>60</v>
      </c>
      <c r="I1949" s="16">
        <v>298</v>
      </c>
      <c r="J1949" s="16">
        <f t="shared" si="361"/>
        <v>4768</v>
      </c>
      <c r="K1949" s="16"/>
      <c r="L1949" s="16"/>
      <c r="M1949" s="16"/>
      <c r="N1949" s="16"/>
      <c r="O1949" s="119">
        <v>15</v>
      </c>
      <c r="P1949" s="16">
        <v>298</v>
      </c>
      <c r="Q1949" s="16">
        <f t="shared" si="424"/>
        <v>4470</v>
      </c>
      <c r="R1949" s="18">
        <v>0</v>
      </c>
      <c r="S1949" s="16">
        <f t="shared" si="425"/>
        <v>0</v>
      </c>
      <c r="T1949" s="16">
        <f t="shared" si="426"/>
        <v>4470</v>
      </c>
      <c r="U1949" s="16" t="s">
        <v>2511</v>
      </c>
      <c r="V1949" s="19">
        <v>46241</v>
      </c>
      <c r="W1949" s="142" t="s">
        <v>2687</v>
      </c>
    </row>
    <row r="1950" spans="1:23" x14ac:dyDescent="0.3">
      <c r="A1950" s="1"/>
      <c r="B1950" s="1"/>
      <c r="C1950" s="1"/>
      <c r="D1950" s="1">
        <v>18</v>
      </c>
      <c r="E1950" s="16" t="s">
        <v>123</v>
      </c>
      <c r="F1950" s="16" t="s">
        <v>2031</v>
      </c>
      <c r="G1950" s="16">
        <v>315</v>
      </c>
      <c r="H1950" s="16" t="s">
        <v>87</v>
      </c>
      <c r="I1950" s="16">
        <v>150</v>
      </c>
      <c r="J1950" s="16">
        <f t="shared" si="361"/>
        <v>47250</v>
      </c>
      <c r="K1950" s="16" t="s">
        <v>2462</v>
      </c>
      <c r="L1950" s="16"/>
      <c r="M1950" s="16" t="s">
        <v>1570</v>
      </c>
      <c r="N1950" s="16" t="s">
        <v>2461</v>
      </c>
      <c r="O1950" s="119">
        <v>225</v>
      </c>
      <c r="P1950" s="16">
        <v>150</v>
      </c>
      <c r="Q1950" s="16">
        <f t="shared" si="424"/>
        <v>33750</v>
      </c>
      <c r="R1950" s="18">
        <v>0</v>
      </c>
      <c r="S1950" s="16">
        <f t="shared" si="425"/>
        <v>0</v>
      </c>
      <c r="T1950" s="16">
        <f t="shared" si="426"/>
        <v>33750</v>
      </c>
      <c r="U1950" s="16" t="s">
        <v>2511</v>
      </c>
      <c r="V1950" s="19">
        <v>46241</v>
      </c>
      <c r="W1950" s="142" t="s">
        <v>2687</v>
      </c>
    </row>
    <row r="1951" spans="1:23" x14ac:dyDescent="0.3">
      <c r="A1951" s="1"/>
      <c r="B1951" s="1"/>
      <c r="C1951" s="1"/>
      <c r="D1951" s="1">
        <v>19</v>
      </c>
      <c r="E1951" s="16" t="s">
        <v>123</v>
      </c>
      <c r="F1951" s="16" t="s">
        <v>2032</v>
      </c>
      <c r="G1951" s="16">
        <v>15</v>
      </c>
      <c r="H1951" s="16" t="s">
        <v>87</v>
      </c>
      <c r="I1951" s="16">
        <v>145</v>
      </c>
      <c r="J1951" s="16">
        <f t="shared" si="361"/>
        <v>2175</v>
      </c>
      <c r="K1951" s="16"/>
      <c r="L1951" s="16"/>
      <c r="M1951" s="16"/>
      <c r="N1951" s="16"/>
      <c r="O1951" s="16">
        <v>15</v>
      </c>
      <c r="P1951" s="16">
        <v>145</v>
      </c>
      <c r="Q1951" s="16">
        <f t="shared" si="424"/>
        <v>2175</v>
      </c>
      <c r="R1951" s="18">
        <v>0</v>
      </c>
      <c r="S1951" s="16">
        <f t="shared" si="425"/>
        <v>0</v>
      </c>
      <c r="T1951" s="16">
        <f t="shared" si="426"/>
        <v>2175</v>
      </c>
      <c r="U1951" s="16" t="s">
        <v>2511</v>
      </c>
      <c r="V1951" s="19">
        <v>46241</v>
      </c>
      <c r="W1951" s="142" t="s">
        <v>2687</v>
      </c>
    </row>
    <row r="1952" spans="1:23" x14ac:dyDescent="0.3">
      <c r="A1952" s="1"/>
      <c r="B1952" s="1"/>
      <c r="C1952" s="1"/>
      <c r="D1952" s="1">
        <v>20</v>
      </c>
      <c r="E1952" s="16" t="s">
        <v>123</v>
      </c>
      <c r="F1952" s="16" t="s">
        <v>2033</v>
      </c>
      <c r="G1952" s="16">
        <v>2</v>
      </c>
      <c r="H1952" s="16" t="s">
        <v>857</v>
      </c>
      <c r="I1952" s="16">
        <v>2500</v>
      </c>
      <c r="J1952" s="16">
        <f t="shared" si="361"/>
        <v>5000</v>
      </c>
      <c r="K1952" s="16"/>
      <c r="L1952" s="16"/>
      <c r="M1952" s="16"/>
      <c r="N1952" s="16"/>
      <c r="O1952" s="119">
        <v>1</v>
      </c>
      <c r="P1952" s="16">
        <v>2500</v>
      </c>
      <c r="Q1952" s="16">
        <f t="shared" si="424"/>
        <v>2500</v>
      </c>
      <c r="R1952" s="18">
        <v>0</v>
      </c>
      <c r="S1952" s="16">
        <f t="shared" si="425"/>
        <v>0</v>
      </c>
      <c r="T1952" s="16">
        <f t="shared" si="426"/>
        <v>2500</v>
      </c>
      <c r="U1952" s="16" t="s">
        <v>2511</v>
      </c>
      <c r="V1952" s="19">
        <v>46241</v>
      </c>
      <c r="W1952" s="142" t="s">
        <v>2687</v>
      </c>
    </row>
    <row r="1953" spans="1:23" ht="25.2" x14ac:dyDescent="0.3">
      <c r="A1953" s="1"/>
      <c r="B1953" s="1"/>
      <c r="C1953" s="1"/>
      <c r="D1953" s="1">
        <v>21</v>
      </c>
      <c r="E1953" s="16" t="s">
        <v>123</v>
      </c>
      <c r="F1953" s="39" t="s">
        <v>2034</v>
      </c>
      <c r="G1953" s="16">
        <v>4</v>
      </c>
      <c r="H1953" s="16" t="s">
        <v>857</v>
      </c>
      <c r="I1953" s="16">
        <v>2500</v>
      </c>
      <c r="J1953" s="16">
        <f t="shared" si="361"/>
        <v>10000</v>
      </c>
      <c r="K1953" s="16"/>
      <c r="L1953" s="16"/>
      <c r="M1953" s="16"/>
      <c r="N1953" s="16"/>
      <c r="O1953" s="16">
        <v>4</v>
      </c>
      <c r="P1953" s="16">
        <v>2500</v>
      </c>
      <c r="Q1953" s="16">
        <f t="shared" si="424"/>
        <v>10000</v>
      </c>
      <c r="R1953" s="18">
        <v>0</v>
      </c>
      <c r="S1953" s="16">
        <f t="shared" si="425"/>
        <v>0</v>
      </c>
      <c r="T1953" s="16">
        <f t="shared" si="426"/>
        <v>10000</v>
      </c>
      <c r="U1953" s="16" t="s">
        <v>2511</v>
      </c>
      <c r="V1953" s="19">
        <v>46241</v>
      </c>
      <c r="W1953" s="142" t="s">
        <v>2687</v>
      </c>
    </row>
    <row r="1954" spans="1:23" x14ac:dyDescent="0.3">
      <c r="A1954" s="1"/>
      <c r="B1954" s="1"/>
      <c r="C1954" s="1"/>
      <c r="D1954" s="1"/>
      <c r="E1954" s="1"/>
      <c r="F1954" s="124" t="s">
        <v>39</v>
      </c>
      <c r="G1954" s="1"/>
      <c r="H1954" s="1"/>
      <c r="I1954" s="1"/>
      <c r="J1954" s="124">
        <f>SUM(J1933:J1953)</f>
        <v>165138</v>
      </c>
      <c r="K1954" s="1"/>
      <c r="L1954" s="1"/>
      <c r="M1954" s="1"/>
      <c r="N1954" s="1"/>
      <c r="O1954" s="1"/>
      <c r="P1954" s="1"/>
      <c r="Q1954" s="1"/>
      <c r="R1954" s="1"/>
      <c r="S1954" s="1"/>
      <c r="T1954" s="1"/>
      <c r="U1954" s="1"/>
      <c r="V1954" s="1"/>
      <c r="W1954" s="142"/>
    </row>
    <row r="1955" spans="1:23" x14ac:dyDescent="0.3">
      <c r="A1955" s="1"/>
      <c r="B1955" s="1"/>
      <c r="C1955" s="1"/>
      <c r="D1955" s="1"/>
      <c r="E1955" s="1"/>
      <c r="F1955" s="124" t="s">
        <v>599</v>
      </c>
      <c r="G1955" s="1"/>
      <c r="H1955" s="1"/>
      <c r="I1955" s="1"/>
      <c r="J1955" s="124">
        <f>J1954*0/100</f>
        <v>0</v>
      </c>
      <c r="K1955" s="1"/>
      <c r="L1955" s="1"/>
      <c r="M1955" s="1"/>
      <c r="N1955" s="1"/>
      <c r="O1955" s="1"/>
      <c r="P1955" s="1"/>
      <c r="Q1955" s="1"/>
      <c r="R1955" s="1"/>
      <c r="S1955" s="1"/>
      <c r="T1955" s="1"/>
      <c r="U1955" s="1"/>
      <c r="V1955" s="1"/>
      <c r="W1955" s="142"/>
    </row>
    <row r="1956" spans="1:23" x14ac:dyDescent="0.3">
      <c r="A1956" s="1"/>
      <c r="B1956" s="1"/>
      <c r="C1956" s="1"/>
      <c r="D1956" s="1"/>
      <c r="E1956" s="1"/>
      <c r="F1956" s="124" t="s">
        <v>41</v>
      </c>
      <c r="G1956" s="1"/>
      <c r="H1956" s="1"/>
      <c r="I1956" s="1"/>
      <c r="J1956" s="124">
        <f>SUM(J1954:J1955)</f>
        <v>165138</v>
      </c>
      <c r="K1956" s="1"/>
      <c r="L1956" s="1"/>
      <c r="M1956" s="1"/>
      <c r="N1956" s="1"/>
      <c r="O1956" s="1"/>
      <c r="P1956" s="1"/>
      <c r="Q1956" s="1"/>
      <c r="R1956" s="1"/>
      <c r="S1956" s="1"/>
      <c r="T1956" s="1">
        <f>SUM(T1933:T1955)</f>
        <v>136270</v>
      </c>
      <c r="U1956" s="1"/>
      <c r="V1956" s="1"/>
      <c r="W1956" s="142"/>
    </row>
    <row r="1957" spans="1:23" x14ac:dyDescent="0.3">
      <c r="A1957" s="1"/>
      <c r="B1957" s="1"/>
      <c r="C1957" s="1"/>
      <c r="D1957" s="1"/>
      <c r="E1957" s="1"/>
      <c r="F1957" s="1"/>
      <c r="G1957" s="1"/>
      <c r="H1957" s="1"/>
      <c r="I1957" s="1"/>
      <c r="J1957" s="1"/>
      <c r="K1957" s="1"/>
      <c r="L1957" s="1"/>
      <c r="M1957" s="1"/>
      <c r="N1957" s="1"/>
      <c r="O1957" s="1"/>
      <c r="P1957" s="1"/>
      <c r="Q1957" s="1"/>
      <c r="R1957" s="1"/>
      <c r="S1957" s="1"/>
      <c r="T1957" s="1"/>
      <c r="U1957" s="1"/>
      <c r="V1957" s="1"/>
      <c r="W1957" s="142"/>
    </row>
    <row r="1958" spans="1:23" ht="50.4" x14ac:dyDescent="0.3">
      <c r="A1958" s="16">
        <v>178</v>
      </c>
      <c r="B1958" s="16">
        <v>9200158735</v>
      </c>
      <c r="C1958" s="16" t="s">
        <v>2013</v>
      </c>
      <c r="D1958" s="16" t="s">
        <v>43</v>
      </c>
      <c r="E1958" s="16" t="s">
        <v>123</v>
      </c>
      <c r="F1958" s="39" t="s">
        <v>2035</v>
      </c>
      <c r="G1958" s="16">
        <v>464</v>
      </c>
      <c r="H1958" s="16" t="s">
        <v>141</v>
      </c>
      <c r="I1958" s="16">
        <v>171</v>
      </c>
      <c r="J1958" s="16">
        <f t="shared" si="361"/>
        <v>79344</v>
      </c>
      <c r="K1958" s="16">
        <v>464</v>
      </c>
      <c r="L1958" s="16" t="s">
        <v>141</v>
      </c>
      <c r="M1958" s="16" t="s">
        <v>91</v>
      </c>
      <c r="N1958" s="16" t="s">
        <v>2173</v>
      </c>
      <c r="O1958" s="119">
        <v>460</v>
      </c>
      <c r="P1958" s="16">
        <v>171</v>
      </c>
      <c r="Q1958" s="16">
        <f>O1958*P1958</f>
        <v>78660</v>
      </c>
      <c r="R1958" s="18">
        <v>0</v>
      </c>
      <c r="S1958" s="16">
        <f>Q1958*R1958</f>
        <v>0</v>
      </c>
      <c r="T1958" s="16">
        <f>Q1958+S1958</f>
        <v>78660</v>
      </c>
      <c r="U1958" s="16" t="s">
        <v>2228</v>
      </c>
      <c r="V1958" s="19">
        <v>46057</v>
      </c>
      <c r="W1958" s="142" t="s">
        <v>2253</v>
      </c>
    </row>
    <row r="1959" spans="1:23" ht="50.4" x14ac:dyDescent="0.3">
      <c r="A1959" s="1"/>
      <c r="B1959" s="1"/>
      <c r="C1959" s="1"/>
      <c r="D1959" s="1"/>
      <c r="E1959" s="16" t="s">
        <v>123</v>
      </c>
      <c r="F1959" s="39" t="s">
        <v>2036</v>
      </c>
      <c r="G1959" s="16">
        <v>10</v>
      </c>
      <c r="H1959" s="16" t="s">
        <v>28</v>
      </c>
      <c r="I1959" s="16">
        <v>2375</v>
      </c>
      <c r="J1959" s="16">
        <f t="shared" si="361"/>
        <v>23750</v>
      </c>
      <c r="K1959" s="16">
        <v>10</v>
      </c>
      <c r="L1959" s="16" t="s">
        <v>28</v>
      </c>
      <c r="M1959" s="16" t="s">
        <v>91</v>
      </c>
      <c r="N1959" s="16" t="s">
        <v>2145</v>
      </c>
      <c r="O1959" s="16">
        <v>10</v>
      </c>
      <c r="P1959" s="16">
        <v>2375</v>
      </c>
      <c r="Q1959" s="16">
        <f t="shared" ref="Q1959:Q1965" si="427">O1959*P1959</f>
        <v>23750</v>
      </c>
      <c r="R1959" s="18">
        <v>0</v>
      </c>
      <c r="S1959" s="16">
        <f t="shared" ref="S1959:S1965" si="428">Q1959*R1959</f>
        <v>0</v>
      </c>
      <c r="T1959" s="16">
        <f t="shared" ref="T1959:T1965" si="429">Q1959+S1959</f>
        <v>23750</v>
      </c>
      <c r="U1959" s="16" t="s">
        <v>2228</v>
      </c>
      <c r="V1959" s="19">
        <v>46057</v>
      </c>
      <c r="W1959" s="142" t="s">
        <v>2253</v>
      </c>
    </row>
    <row r="1960" spans="1:23" ht="37.799999999999997" x14ac:dyDescent="0.3">
      <c r="A1960" s="1"/>
      <c r="B1960" s="1"/>
      <c r="C1960" s="1"/>
      <c r="D1960" s="1"/>
      <c r="E1960" s="16" t="s">
        <v>123</v>
      </c>
      <c r="F1960" s="39" t="s">
        <v>2037</v>
      </c>
      <c r="G1960" s="16">
        <v>40</v>
      </c>
      <c r="H1960" s="16" t="s">
        <v>28</v>
      </c>
      <c r="I1960" s="16">
        <v>333</v>
      </c>
      <c r="J1960" s="16">
        <f t="shared" si="361"/>
        <v>13320</v>
      </c>
      <c r="K1960" s="16">
        <v>50</v>
      </c>
      <c r="L1960" s="16" t="s">
        <v>28</v>
      </c>
      <c r="M1960" s="16" t="s">
        <v>91</v>
      </c>
      <c r="N1960" s="16" t="s">
        <v>2145</v>
      </c>
      <c r="O1960" s="16">
        <v>40</v>
      </c>
      <c r="P1960" s="16">
        <v>333</v>
      </c>
      <c r="Q1960" s="16">
        <f t="shared" si="427"/>
        <v>13320</v>
      </c>
      <c r="R1960" s="18">
        <v>0</v>
      </c>
      <c r="S1960" s="16">
        <f t="shared" si="428"/>
        <v>0</v>
      </c>
      <c r="T1960" s="16">
        <f t="shared" si="429"/>
        <v>13320</v>
      </c>
      <c r="U1960" s="16" t="s">
        <v>2228</v>
      </c>
      <c r="V1960" s="19">
        <v>46057</v>
      </c>
      <c r="W1960" s="142" t="s">
        <v>2253</v>
      </c>
    </row>
    <row r="1961" spans="1:23" ht="37.799999999999997" x14ac:dyDescent="0.3">
      <c r="A1961" s="1"/>
      <c r="B1961" s="1"/>
      <c r="C1961" s="1"/>
      <c r="D1961" s="1"/>
      <c r="E1961" s="16" t="s">
        <v>123</v>
      </c>
      <c r="F1961" s="39" t="s">
        <v>2038</v>
      </c>
      <c r="G1961" s="16">
        <v>740</v>
      </c>
      <c r="H1961" s="16" t="s">
        <v>111</v>
      </c>
      <c r="I1961" s="16">
        <v>105</v>
      </c>
      <c r="J1961" s="16">
        <f t="shared" si="361"/>
        <v>77700</v>
      </c>
      <c r="K1961" s="16">
        <v>740</v>
      </c>
      <c r="L1961" s="16" t="s">
        <v>111</v>
      </c>
      <c r="M1961" s="16" t="s">
        <v>91</v>
      </c>
      <c r="N1961" s="16" t="s">
        <v>2173</v>
      </c>
      <c r="O1961" s="119">
        <v>690</v>
      </c>
      <c r="P1961" s="16">
        <v>105</v>
      </c>
      <c r="Q1961" s="16">
        <f t="shared" si="427"/>
        <v>72450</v>
      </c>
      <c r="R1961" s="18">
        <v>0</v>
      </c>
      <c r="S1961" s="16">
        <f t="shared" si="428"/>
        <v>0</v>
      </c>
      <c r="T1961" s="16">
        <f t="shared" si="429"/>
        <v>72450</v>
      </c>
      <c r="U1961" s="16" t="s">
        <v>2228</v>
      </c>
      <c r="V1961" s="19">
        <v>46057</v>
      </c>
      <c r="W1961" s="142" t="s">
        <v>2253</v>
      </c>
    </row>
    <row r="1962" spans="1:23" x14ac:dyDescent="0.3">
      <c r="A1962" s="1"/>
      <c r="B1962" s="1"/>
      <c r="C1962" s="1"/>
      <c r="D1962" s="1"/>
      <c r="E1962" s="16" t="s">
        <v>123</v>
      </c>
      <c r="F1962" s="16" t="s">
        <v>2039</v>
      </c>
      <c r="G1962" s="16">
        <v>80</v>
      </c>
      <c r="H1962" s="16" t="s">
        <v>252</v>
      </c>
      <c r="I1962" s="16">
        <v>266</v>
      </c>
      <c r="J1962" s="16">
        <f t="shared" si="361"/>
        <v>21280</v>
      </c>
      <c r="K1962" s="16">
        <v>200</v>
      </c>
      <c r="L1962" s="16" t="s">
        <v>28</v>
      </c>
      <c r="M1962" s="16" t="s">
        <v>91</v>
      </c>
      <c r="N1962" s="16" t="s">
        <v>2200</v>
      </c>
      <c r="O1962" s="119">
        <v>65</v>
      </c>
      <c r="P1962" s="16">
        <v>266</v>
      </c>
      <c r="Q1962" s="16">
        <f t="shared" si="427"/>
        <v>17290</v>
      </c>
      <c r="R1962" s="18">
        <v>0</v>
      </c>
      <c r="S1962" s="16">
        <f t="shared" si="428"/>
        <v>0</v>
      </c>
      <c r="T1962" s="16">
        <f t="shared" si="429"/>
        <v>17290</v>
      </c>
      <c r="U1962" s="16" t="s">
        <v>2228</v>
      </c>
      <c r="V1962" s="19">
        <v>46057</v>
      </c>
      <c r="W1962" s="142" t="s">
        <v>2253</v>
      </c>
    </row>
    <row r="1963" spans="1:23" x14ac:dyDescent="0.3">
      <c r="A1963" s="1"/>
      <c r="B1963" s="1"/>
      <c r="C1963" s="1"/>
      <c r="D1963" s="1"/>
      <c r="E1963" s="16" t="s">
        <v>123</v>
      </c>
      <c r="F1963" s="16" t="s">
        <v>2040</v>
      </c>
      <c r="G1963" s="16">
        <v>400</v>
      </c>
      <c r="H1963" s="16" t="s">
        <v>111</v>
      </c>
      <c r="I1963" s="16">
        <v>76</v>
      </c>
      <c r="J1963" s="16">
        <f t="shared" si="361"/>
        <v>30400</v>
      </c>
      <c r="K1963" s="16">
        <v>4</v>
      </c>
      <c r="L1963" s="16" t="s">
        <v>53</v>
      </c>
      <c r="M1963" s="16" t="s">
        <v>91</v>
      </c>
      <c r="N1963" s="16" t="s">
        <v>2174</v>
      </c>
      <c r="O1963" s="119">
        <v>120</v>
      </c>
      <c r="P1963" s="16">
        <v>76</v>
      </c>
      <c r="Q1963" s="16">
        <f t="shared" si="427"/>
        <v>9120</v>
      </c>
      <c r="R1963" s="18">
        <v>0</v>
      </c>
      <c r="S1963" s="16">
        <f t="shared" si="428"/>
        <v>0</v>
      </c>
      <c r="T1963" s="16">
        <f t="shared" si="429"/>
        <v>9120</v>
      </c>
      <c r="U1963" s="16" t="s">
        <v>2228</v>
      </c>
      <c r="V1963" s="19">
        <v>46057</v>
      </c>
      <c r="W1963" s="142" t="s">
        <v>2253</v>
      </c>
    </row>
    <row r="1964" spans="1:23" x14ac:dyDescent="0.3">
      <c r="A1964" s="1"/>
      <c r="B1964" s="1"/>
      <c r="C1964" s="1"/>
      <c r="D1964" s="1"/>
      <c r="E1964" s="16" t="s">
        <v>123</v>
      </c>
      <c r="F1964" s="16" t="s">
        <v>2041</v>
      </c>
      <c r="G1964" s="16">
        <v>500</v>
      </c>
      <c r="H1964" s="16" t="s">
        <v>111</v>
      </c>
      <c r="I1964" s="16">
        <v>23</v>
      </c>
      <c r="J1964" s="16">
        <f t="shared" si="361"/>
        <v>11500</v>
      </c>
      <c r="K1964" s="16">
        <v>4</v>
      </c>
      <c r="L1964" s="16" t="s">
        <v>53</v>
      </c>
      <c r="M1964" s="16" t="s">
        <v>91</v>
      </c>
      <c r="N1964" s="16" t="s">
        <v>2174</v>
      </c>
      <c r="O1964" s="16">
        <v>500</v>
      </c>
      <c r="P1964" s="16">
        <v>23</v>
      </c>
      <c r="Q1964" s="16">
        <f t="shared" si="427"/>
        <v>11500</v>
      </c>
      <c r="R1964" s="18">
        <v>0</v>
      </c>
      <c r="S1964" s="16">
        <f t="shared" si="428"/>
        <v>0</v>
      </c>
      <c r="T1964" s="16">
        <f t="shared" si="429"/>
        <v>11500</v>
      </c>
      <c r="U1964" s="16" t="s">
        <v>2228</v>
      </c>
      <c r="V1964" s="19">
        <v>46057</v>
      </c>
      <c r="W1964" s="142" t="s">
        <v>2253</v>
      </c>
    </row>
    <row r="1965" spans="1:23" x14ac:dyDescent="0.3">
      <c r="A1965" s="1"/>
      <c r="B1965" s="1"/>
      <c r="C1965" s="1"/>
      <c r="D1965" s="1"/>
      <c r="E1965" s="16" t="s">
        <v>123</v>
      </c>
      <c r="F1965" s="16" t="s">
        <v>2042</v>
      </c>
      <c r="G1965" s="16">
        <v>10</v>
      </c>
      <c r="H1965" s="16" t="s">
        <v>28</v>
      </c>
      <c r="I1965" s="16">
        <v>1710</v>
      </c>
      <c r="J1965" s="16">
        <f t="shared" si="361"/>
        <v>17100</v>
      </c>
      <c r="K1965" s="16" t="s">
        <v>2185</v>
      </c>
      <c r="L1965" s="16"/>
      <c r="M1965" s="16" t="s">
        <v>91</v>
      </c>
      <c r="N1965" s="16" t="s">
        <v>2186</v>
      </c>
      <c r="O1965" s="16">
        <v>10</v>
      </c>
      <c r="P1965" s="16">
        <v>1710</v>
      </c>
      <c r="Q1965" s="16">
        <f t="shared" si="427"/>
        <v>17100</v>
      </c>
      <c r="R1965" s="18">
        <v>0</v>
      </c>
      <c r="S1965" s="16">
        <f t="shared" si="428"/>
        <v>0</v>
      </c>
      <c r="T1965" s="16">
        <f t="shared" si="429"/>
        <v>17100</v>
      </c>
      <c r="U1965" s="16" t="s">
        <v>2228</v>
      </c>
      <c r="V1965" s="19">
        <v>46057</v>
      </c>
      <c r="W1965" s="142" t="s">
        <v>2253</v>
      </c>
    </row>
    <row r="1966" spans="1:23" x14ac:dyDescent="0.3">
      <c r="A1966" s="1"/>
      <c r="B1966" s="1"/>
      <c r="C1966" s="1"/>
      <c r="D1966" s="1"/>
      <c r="E1966" s="1"/>
      <c r="F1966" s="124" t="s">
        <v>39</v>
      </c>
      <c r="G1966" s="1"/>
      <c r="H1966" s="1"/>
      <c r="I1966" s="1"/>
      <c r="J1966" s="124">
        <f>SUM(J1958:J1965)</f>
        <v>274394</v>
      </c>
      <c r="K1966" s="1"/>
      <c r="L1966" s="1"/>
      <c r="M1966" s="1"/>
      <c r="N1966" s="1"/>
      <c r="O1966" s="1"/>
      <c r="P1966" s="1"/>
      <c r="Q1966" s="1"/>
      <c r="R1966" s="1"/>
      <c r="S1966" s="1"/>
      <c r="T1966" s="1"/>
      <c r="U1966" s="1"/>
      <c r="V1966" s="1"/>
      <c r="W1966" s="142"/>
    </row>
    <row r="1967" spans="1:23" x14ac:dyDescent="0.3">
      <c r="A1967" s="1"/>
      <c r="B1967" s="1"/>
      <c r="C1967" s="1"/>
      <c r="D1967" s="1"/>
      <c r="E1967" s="1"/>
      <c r="F1967" s="124" t="s">
        <v>599</v>
      </c>
      <c r="G1967" s="1"/>
      <c r="H1967" s="1"/>
      <c r="I1967" s="1"/>
      <c r="J1967" s="124">
        <f>J1966*0/100</f>
        <v>0</v>
      </c>
      <c r="K1967" s="1"/>
      <c r="L1967" s="1"/>
      <c r="M1967" s="1"/>
      <c r="N1967" s="1"/>
      <c r="O1967" s="1"/>
      <c r="P1967" s="1"/>
      <c r="Q1967" s="1"/>
      <c r="R1967" s="1"/>
      <c r="S1967" s="1"/>
      <c r="T1967" s="1"/>
      <c r="U1967" s="1"/>
      <c r="V1967" s="1"/>
      <c r="W1967" s="142"/>
    </row>
    <row r="1968" spans="1:23" x14ac:dyDescent="0.3">
      <c r="A1968" s="1"/>
      <c r="B1968" s="1"/>
      <c r="C1968" s="1"/>
      <c r="D1968" s="1"/>
      <c r="E1968" s="1"/>
      <c r="F1968" s="124" t="s">
        <v>41</v>
      </c>
      <c r="G1968" s="1"/>
      <c r="H1968" s="1"/>
      <c r="I1968" s="1"/>
      <c r="J1968" s="124">
        <f>SUM(J1966:J1967)</f>
        <v>274394</v>
      </c>
      <c r="K1968" s="1"/>
      <c r="L1968" s="1"/>
      <c r="M1968" s="1"/>
      <c r="N1968" s="1"/>
      <c r="O1968" s="1"/>
      <c r="P1968" s="1"/>
      <c r="Q1968" s="1"/>
      <c r="R1968" s="1"/>
      <c r="S1968" s="1"/>
      <c r="T1968" s="1">
        <f>SUM(T1958:T1967)</f>
        <v>243190</v>
      </c>
      <c r="U1968" s="1"/>
      <c r="V1968" s="1"/>
      <c r="W1968" s="142"/>
    </row>
    <row r="1969" spans="1:23" x14ac:dyDescent="0.3">
      <c r="A1969" s="1"/>
      <c r="B1969" s="1"/>
      <c r="C1969" s="1"/>
      <c r="D1969" s="1"/>
      <c r="E1969" s="1"/>
      <c r="F1969" s="124"/>
      <c r="G1969" s="1"/>
      <c r="H1969" s="1"/>
      <c r="I1969" s="1"/>
      <c r="J1969" s="124"/>
      <c r="K1969" s="1"/>
      <c r="L1969" s="1"/>
      <c r="M1969" s="1"/>
      <c r="N1969" s="1"/>
      <c r="O1969" s="1"/>
      <c r="P1969" s="1"/>
      <c r="Q1969" s="1"/>
      <c r="R1969" s="1"/>
      <c r="S1969" s="1"/>
      <c r="T1969" s="1"/>
      <c r="U1969" s="1"/>
      <c r="V1969" s="1"/>
      <c r="W1969" s="142"/>
    </row>
    <row r="1970" spans="1:23" ht="25.2" x14ac:dyDescent="0.3">
      <c r="A1970" s="16">
        <v>179</v>
      </c>
      <c r="B1970" s="16">
        <v>8600064358</v>
      </c>
      <c r="C1970" s="16" t="s">
        <v>2044</v>
      </c>
      <c r="D1970" s="16" t="s">
        <v>43</v>
      </c>
      <c r="E1970" s="16" t="s">
        <v>127</v>
      </c>
      <c r="F1970" s="39" t="s">
        <v>2045</v>
      </c>
      <c r="G1970" s="16">
        <v>110</v>
      </c>
      <c r="H1970" s="16" t="s">
        <v>60</v>
      </c>
      <c r="I1970" s="16">
        <v>1050</v>
      </c>
      <c r="J1970" s="16">
        <f t="shared" si="361"/>
        <v>115500</v>
      </c>
      <c r="K1970" s="16"/>
      <c r="L1970" s="16"/>
      <c r="M1970" s="16"/>
      <c r="N1970" s="16"/>
      <c r="O1970" s="16">
        <v>110</v>
      </c>
      <c r="P1970" s="16">
        <v>1050</v>
      </c>
      <c r="Q1970" s="16">
        <f>O1970*P1970</f>
        <v>115500</v>
      </c>
      <c r="R1970" s="18">
        <v>0</v>
      </c>
      <c r="S1970" s="16">
        <f>Q1970*R1970</f>
        <v>0</v>
      </c>
      <c r="T1970" s="16">
        <f>Q1970+S1970</f>
        <v>115500</v>
      </c>
      <c r="U1970" s="16" t="s">
        <v>2162</v>
      </c>
      <c r="V1970" s="19" t="s">
        <v>2163</v>
      </c>
      <c r="W1970" s="142" t="s">
        <v>2199</v>
      </c>
    </row>
    <row r="1971" spans="1:23" ht="25.2" x14ac:dyDescent="0.3">
      <c r="A1971" s="1"/>
      <c r="B1971" s="1"/>
      <c r="C1971" s="1"/>
      <c r="D1971" s="1"/>
      <c r="E1971" s="16" t="s">
        <v>127</v>
      </c>
      <c r="F1971" s="39" t="s">
        <v>2046</v>
      </c>
      <c r="G1971" s="16">
        <v>145</v>
      </c>
      <c r="H1971" s="16" t="s">
        <v>60</v>
      </c>
      <c r="I1971" s="16">
        <v>728</v>
      </c>
      <c r="J1971" s="16">
        <f t="shared" si="361"/>
        <v>105560</v>
      </c>
      <c r="K1971" s="16"/>
      <c r="L1971" s="16"/>
      <c r="M1971" s="16"/>
      <c r="N1971" s="16"/>
      <c r="O1971" s="16">
        <v>145</v>
      </c>
      <c r="P1971" s="16">
        <v>728</v>
      </c>
      <c r="Q1971" s="16">
        <f t="shared" ref="Q1971:Q1992" si="430">O1971*P1971</f>
        <v>105560</v>
      </c>
      <c r="R1971" s="18">
        <v>0</v>
      </c>
      <c r="S1971" s="16">
        <f t="shared" ref="S1971:S1992" si="431">Q1971*R1971</f>
        <v>0</v>
      </c>
      <c r="T1971" s="16">
        <f t="shared" ref="T1971:T1992" si="432">Q1971+S1971</f>
        <v>105560</v>
      </c>
      <c r="U1971" s="16" t="s">
        <v>2162</v>
      </c>
      <c r="V1971" s="19" t="s">
        <v>2163</v>
      </c>
      <c r="W1971" s="142" t="s">
        <v>2199</v>
      </c>
    </row>
    <row r="1972" spans="1:23" x14ac:dyDescent="0.3">
      <c r="A1972" s="1"/>
      <c r="B1972" s="1"/>
      <c r="C1972" s="1"/>
      <c r="D1972" s="1"/>
      <c r="E1972" s="16" t="s">
        <v>127</v>
      </c>
      <c r="F1972" s="16" t="s">
        <v>2047</v>
      </c>
      <c r="G1972" s="16">
        <v>20</v>
      </c>
      <c r="H1972" s="16" t="s">
        <v>60</v>
      </c>
      <c r="I1972" s="16">
        <v>595</v>
      </c>
      <c r="J1972" s="16">
        <f t="shared" si="361"/>
        <v>11900</v>
      </c>
      <c r="K1972" s="16"/>
      <c r="L1972" s="16"/>
      <c r="M1972" s="16"/>
      <c r="N1972" s="16"/>
      <c r="O1972" s="16">
        <v>20</v>
      </c>
      <c r="P1972" s="16">
        <v>595</v>
      </c>
      <c r="Q1972" s="16">
        <f t="shared" si="430"/>
        <v>11900</v>
      </c>
      <c r="R1972" s="18">
        <v>0</v>
      </c>
      <c r="S1972" s="16">
        <f t="shared" si="431"/>
        <v>0</v>
      </c>
      <c r="T1972" s="16">
        <f t="shared" si="432"/>
        <v>11900</v>
      </c>
      <c r="U1972" s="16" t="s">
        <v>2162</v>
      </c>
      <c r="V1972" s="19" t="s">
        <v>2163</v>
      </c>
      <c r="W1972" s="142" t="s">
        <v>2199</v>
      </c>
    </row>
    <row r="1973" spans="1:23" ht="25.2" x14ac:dyDescent="0.3">
      <c r="A1973" s="1"/>
      <c r="B1973" s="1"/>
      <c r="C1973" s="1"/>
      <c r="D1973" s="1"/>
      <c r="E1973" s="16" t="s">
        <v>127</v>
      </c>
      <c r="F1973" s="39" t="s">
        <v>2048</v>
      </c>
      <c r="G1973" s="16">
        <v>40</v>
      </c>
      <c r="H1973" s="16" t="s">
        <v>60</v>
      </c>
      <c r="I1973" s="16">
        <v>456</v>
      </c>
      <c r="J1973" s="16">
        <f t="shared" si="361"/>
        <v>18240</v>
      </c>
      <c r="K1973" s="16"/>
      <c r="L1973" s="16"/>
      <c r="M1973" s="16"/>
      <c r="N1973" s="16"/>
      <c r="O1973" s="16">
        <v>40</v>
      </c>
      <c r="P1973" s="16">
        <v>456</v>
      </c>
      <c r="Q1973" s="16">
        <f t="shared" si="430"/>
        <v>18240</v>
      </c>
      <c r="R1973" s="18">
        <v>0</v>
      </c>
      <c r="S1973" s="16">
        <f t="shared" si="431"/>
        <v>0</v>
      </c>
      <c r="T1973" s="16">
        <f t="shared" si="432"/>
        <v>18240</v>
      </c>
      <c r="U1973" s="97" t="s">
        <v>2256</v>
      </c>
      <c r="V1973" s="110" t="s">
        <v>2257</v>
      </c>
      <c r="W1973" s="186" t="s">
        <v>2278</v>
      </c>
    </row>
    <row r="1974" spans="1:23" x14ac:dyDescent="0.3">
      <c r="A1974" s="1"/>
      <c r="B1974" s="1"/>
      <c r="C1974" s="1"/>
      <c r="D1974" s="1"/>
      <c r="E1974" s="16" t="s">
        <v>127</v>
      </c>
      <c r="F1974" s="16" t="s">
        <v>2049</v>
      </c>
      <c r="G1974" s="16">
        <v>2</v>
      </c>
      <c r="H1974" s="16" t="s">
        <v>28</v>
      </c>
      <c r="I1974" s="16">
        <v>41458</v>
      </c>
      <c r="J1974" s="16">
        <f t="shared" si="361"/>
        <v>82916</v>
      </c>
      <c r="K1974" s="16"/>
      <c r="L1974" s="16"/>
      <c r="M1974" s="16"/>
      <c r="N1974" s="16"/>
      <c r="O1974" s="16">
        <v>2</v>
      </c>
      <c r="P1974" s="16">
        <v>41458</v>
      </c>
      <c r="Q1974" s="16">
        <f t="shared" si="430"/>
        <v>82916</v>
      </c>
      <c r="R1974" s="18">
        <v>0</v>
      </c>
      <c r="S1974" s="16">
        <f t="shared" si="431"/>
        <v>0</v>
      </c>
      <c r="T1974" s="16">
        <f t="shared" si="432"/>
        <v>82916</v>
      </c>
      <c r="U1974" s="16" t="s">
        <v>2162</v>
      </c>
      <c r="V1974" s="19" t="s">
        <v>2163</v>
      </c>
      <c r="W1974" s="142" t="s">
        <v>2199</v>
      </c>
    </row>
    <row r="1975" spans="1:23" x14ac:dyDescent="0.3">
      <c r="A1975" s="1"/>
      <c r="B1975" s="1"/>
      <c r="C1975" s="1"/>
      <c r="D1975" s="1"/>
      <c r="E1975" s="16" t="s">
        <v>127</v>
      </c>
      <c r="F1975" s="16" t="s">
        <v>2050</v>
      </c>
      <c r="G1975" s="16">
        <v>2</v>
      </c>
      <c r="H1975" s="16" t="s">
        <v>28</v>
      </c>
      <c r="I1975" s="16">
        <v>20397</v>
      </c>
      <c r="J1975" s="16">
        <f t="shared" si="361"/>
        <v>40794</v>
      </c>
      <c r="K1975" s="16"/>
      <c r="L1975" s="16"/>
      <c r="M1975" s="16"/>
      <c r="N1975" s="16"/>
      <c r="O1975" s="16">
        <v>2</v>
      </c>
      <c r="P1975" s="16">
        <v>20397</v>
      </c>
      <c r="Q1975" s="16">
        <f t="shared" si="430"/>
        <v>40794</v>
      </c>
      <c r="R1975" s="18">
        <v>0</v>
      </c>
      <c r="S1975" s="16">
        <f t="shared" si="431"/>
        <v>0</v>
      </c>
      <c r="T1975" s="16">
        <f t="shared" si="432"/>
        <v>40794</v>
      </c>
      <c r="U1975" s="16" t="s">
        <v>2162</v>
      </c>
      <c r="V1975" s="19" t="s">
        <v>2163</v>
      </c>
      <c r="W1975" s="142" t="s">
        <v>2199</v>
      </c>
    </row>
    <row r="1976" spans="1:23" x14ac:dyDescent="0.3">
      <c r="A1976" s="1"/>
      <c r="B1976" s="1"/>
      <c r="C1976" s="1"/>
      <c r="D1976" s="1"/>
      <c r="E1976" s="16" t="s">
        <v>127</v>
      </c>
      <c r="F1976" s="16" t="s">
        <v>2051</v>
      </c>
      <c r="G1976" s="16">
        <v>2</v>
      </c>
      <c r="H1976" s="16" t="s">
        <v>28</v>
      </c>
      <c r="I1976" s="16">
        <v>357</v>
      </c>
      <c r="J1976" s="16">
        <f t="shared" si="361"/>
        <v>714</v>
      </c>
      <c r="K1976" s="16"/>
      <c r="L1976" s="16"/>
      <c r="M1976" s="16"/>
      <c r="N1976" s="16"/>
      <c r="O1976" s="16">
        <v>2</v>
      </c>
      <c r="P1976" s="16">
        <v>357</v>
      </c>
      <c r="Q1976" s="16">
        <f t="shared" si="430"/>
        <v>714</v>
      </c>
      <c r="R1976" s="18">
        <v>0</v>
      </c>
      <c r="S1976" s="16">
        <f t="shared" si="431"/>
        <v>0</v>
      </c>
      <c r="T1976" s="16">
        <f t="shared" si="432"/>
        <v>714</v>
      </c>
      <c r="U1976" s="16" t="s">
        <v>2162</v>
      </c>
      <c r="V1976" s="19" t="s">
        <v>2163</v>
      </c>
      <c r="W1976" s="142" t="s">
        <v>2199</v>
      </c>
    </row>
    <row r="1977" spans="1:23" x14ac:dyDescent="0.3">
      <c r="A1977" s="1"/>
      <c r="B1977" s="1"/>
      <c r="C1977" s="1"/>
      <c r="D1977" s="1"/>
      <c r="E1977" s="16" t="s">
        <v>127</v>
      </c>
      <c r="F1977" s="16" t="s">
        <v>2052</v>
      </c>
      <c r="G1977" s="16">
        <v>2</v>
      </c>
      <c r="H1977" s="16" t="s">
        <v>28</v>
      </c>
      <c r="I1977" s="16">
        <v>198</v>
      </c>
      <c r="J1977" s="16">
        <f t="shared" si="361"/>
        <v>396</v>
      </c>
      <c r="K1977" s="16"/>
      <c r="L1977" s="16"/>
      <c r="M1977" s="16"/>
      <c r="N1977" s="16"/>
      <c r="O1977" s="16">
        <v>2</v>
      </c>
      <c r="P1977" s="16">
        <v>198</v>
      </c>
      <c r="Q1977" s="16">
        <f t="shared" si="430"/>
        <v>396</v>
      </c>
      <c r="R1977" s="18">
        <v>0</v>
      </c>
      <c r="S1977" s="16">
        <f t="shared" si="431"/>
        <v>0</v>
      </c>
      <c r="T1977" s="16">
        <f t="shared" si="432"/>
        <v>396</v>
      </c>
      <c r="U1977" s="16" t="s">
        <v>2162</v>
      </c>
      <c r="V1977" s="19" t="s">
        <v>2163</v>
      </c>
      <c r="W1977" s="142" t="s">
        <v>2199</v>
      </c>
    </row>
    <row r="1978" spans="1:23" ht="25.2" x14ac:dyDescent="0.3">
      <c r="A1978" s="1"/>
      <c r="B1978" s="1"/>
      <c r="C1978" s="1"/>
      <c r="D1978" s="1"/>
      <c r="E1978" s="16" t="s">
        <v>127</v>
      </c>
      <c r="F1978" s="39" t="s">
        <v>2053</v>
      </c>
      <c r="G1978" s="16">
        <v>5</v>
      </c>
      <c r="H1978" s="16" t="s">
        <v>28</v>
      </c>
      <c r="I1978" s="16">
        <v>6300</v>
      </c>
      <c r="J1978" s="16">
        <f t="shared" si="361"/>
        <v>31500</v>
      </c>
      <c r="K1978" s="16"/>
      <c r="L1978" s="16"/>
      <c r="M1978" s="16"/>
      <c r="N1978" s="16"/>
      <c r="O1978" s="16">
        <v>5</v>
      </c>
      <c r="P1978" s="16">
        <v>6300</v>
      </c>
      <c r="Q1978" s="16">
        <f t="shared" si="430"/>
        <v>31500</v>
      </c>
      <c r="R1978" s="18">
        <v>0</v>
      </c>
      <c r="S1978" s="16">
        <f t="shared" si="431"/>
        <v>0</v>
      </c>
      <c r="T1978" s="16">
        <f t="shared" si="432"/>
        <v>31500</v>
      </c>
      <c r="U1978" s="16" t="s">
        <v>2162</v>
      </c>
      <c r="V1978" s="19" t="s">
        <v>2163</v>
      </c>
      <c r="W1978" s="142" t="s">
        <v>2199</v>
      </c>
    </row>
    <row r="1979" spans="1:23" ht="25.2" x14ac:dyDescent="0.3">
      <c r="A1979" s="1"/>
      <c r="B1979" s="1"/>
      <c r="C1979" s="1"/>
      <c r="D1979" s="1"/>
      <c r="E1979" s="16" t="s">
        <v>127</v>
      </c>
      <c r="F1979" s="39" t="s">
        <v>2054</v>
      </c>
      <c r="G1979" s="16">
        <v>55</v>
      </c>
      <c r="H1979" s="16" t="s">
        <v>28</v>
      </c>
      <c r="I1979" s="16">
        <v>4380</v>
      </c>
      <c r="J1979" s="16">
        <f t="shared" si="361"/>
        <v>240900</v>
      </c>
      <c r="K1979" s="16"/>
      <c r="L1979" s="16"/>
      <c r="M1979" s="16"/>
      <c r="N1979" s="16"/>
      <c r="O1979" s="16">
        <v>55</v>
      </c>
      <c r="P1979" s="16">
        <v>4380</v>
      </c>
      <c r="Q1979" s="16">
        <f t="shared" si="430"/>
        <v>240900</v>
      </c>
      <c r="R1979" s="18">
        <v>0</v>
      </c>
      <c r="S1979" s="16">
        <f t="shared" si="431"/>
        <v>0</v>
      </c>
      <c r="T1979" s="16">
        <f t="shared" si="432"/>
        <v>240900</v>
      </c>
      <c r="U1979" s="16" t="s">
        <v>2162</v>
      </c>
      <c r="V1979" s="19" t="s">
        <v>2163</v>
      </c>
      <c r="W1979" s="142" t="s">
        <v>2199</v>
      </c>
    </row>
    <row r="1980" spans="1:23" ht="25.2" x14ac:dyDescent="0.3">
      <c r="A1980" s="1"/>
      <c r="B1980" s="1"/>
      <c r="C1980" s="1"/>
      <c r="D1980" s="1"/>
      <c r="E1980" s="16" t="s">
        <v>127</v>
      </c>
      <c r="F1980" s="39" t="s">
        <v>2055</v>
      </c>
      <c r="G1980" s="16">
        <v>50</v>
      </c>
      <c r="H1980" s="16" t="s">
        <v>28</v>
      </c>
      <c r="I1980" s="16">
        <v>3650</v>
      </c>
      <c r="J1980" s="16">
        <f t="shared" si="361"/>
        <v>182500</v>
      </c>
      <c r="K1980" s="16"/>
      <c r="L1980" s="16"/>
      <c r="M1980" s="16"/>
      <c r="N1980" s="16"/>
      <c r="O1980" s="16">
        <v>50</v>
      </c>
      <c r="P1980" s="16">
        <v>3650</v>
      </c>
      <c r="Q1980" s="16">
        <f t="shared" si="430"/>
        <v>182500</v>
      </c>
      <c r="R1980" s="18">
        <v>0</v>
      </c>
      <c r="S1980" s="16">
        <f t="shared" si="431"/>
        <v>0</v>
      </c>
      <c r="T1980" s="16">
        <f t="shared" si="432"/>
        <v>182500</v>
      </c>
      <c r="U1980" s="16" t="s">
        <v>2162</v>
      </c>
      <c r="V1980" s="19" t="s">
        <v>2163</v>
      </c>
      <c r="W1980" s="142" t="s">
        <v>2199</v>
      </c>
    </row>
    <row r="1981" spans="1:23" ht="25.2" x14ac:dyDescent="0.3">
      <c r="A1981" s="1"/>
      <c r="B1981" s="1"/>
      <c r="C1981" s="1"/>
      <c r="D1981" s="1"/>
      <c r="E1981" s="16" t="s">
        <v>127</v>
      </c>
      <c r="F1981" s="39" t="s">
        <v>2056</v>
      </c>
      <c r="G1981" s="16">
        <v>20</v>
      </c>
      <c r="H1981" s="16" t="s">
        <v>28</v>
      </c>
      <c r="I1981" s="16">
        <v>410</v>
      </c>
      <c r="J1981" s="16">
        <f t="shared" si="361"/>
        <v>8200</v>
      </c>
      <c r="K1981" s="16"/>
      <c r="L1981" s="16"/>
      <c r="M1981" s="16"/>
      <c r="N1981" s="16"/>
      <c r="O1981" s="16">
        <v>20</v>
      </c>
      <c r="P1981" s="16">
        <v>410</v>
      </c>
      <c r="Q1981" s="16">
        <f t="shared" si="430"/>
        <v>8200</v>
      </c>
      <c r="R1981" s="18">
        <v>0</v>
      </c>
      <c r="S1981" s="16">
        <f t="shared" si="431"/>
        <v>0</v>
      </c>
      <c r="T1981" s="16">
        <f t="shared" si="432"/>
        <v>8200</v>
      </c>
      <c r="U1981" s="16" t="s">
        <v>2162</v>
      </c>
      <c r="V1981" s="19" t="s">
        <v>2163</v>
      </c>
      <c r="W1981" s="142" t="s">
        <v>2199</v>
      </c>
    </row>
    <row r="1982" spans="1:23" ht="25.2" x14ac:dyDescent="0.3">
      <c r="A1982" s="1"/>
      <c r="B1982" s="1"/>
      <c r="C1982" s="1"/>
      <c r="D1982" s="1"/>
      <c r="E1982" s="16" t="s">
        <v>127</v>
      </c>
      <c r="F1982" s="39" t="s">
        <v>2057</v>
      </c>
      <c r="G1982" s="16">
        <v>85</v>
      </c>
      <c r="H1982" s="16" t="s">
        <v>28</v>
      </c>
      <c r="I1982" s="16">
        <v>260</v>
      </c>
      <c r="J1982" s="16">
        <f t="shared" si="361"/>
        <v>22100</v>
      </c>
      <c r="K1982" s="16"/>
      <c r="L1982" s="16"/>
      <c r="M1982" s="16"/>
      <c r="N1982" s="16"/>
      <c r="O1982" s="16">
        <v>85</v>
      </c>
      <c r="P1982" s="16">
        <v>260</v>
      </c>
      <c r="Q1982" s="16">
        <f t="shared" si="430"/>
        <v>22100</v>
      </c>
      <c r="R1982" s="18">
        <v>0</v>
      </c>
      <c r="S1982" s="16">
        <f t="shared" si="431"/>
        <v>0</v>
      </c>
      <c r="T1982" s="16">
        <f t="shared" si="432"/>
        <v>22100</v>
      </c>
      <c r="U1982" s="16" t="s">
        <v>2162</v>
      </c>
      <c r="V1982" s="19" t="s">
        <v>2163</v>
      </c>
      <c r="W1982" s="142" t="s">
        <v>2199</v>
      </c>
    </row>
    <row r="1983" spans="1:23" ht="25.2" x14ac:dyDescent="0.3">
      <c r="A1983" s="1"/>
      <c r="B1983" s="1"/>
      <c r="C1983" s="1"/>
      <c r="D1983" s="1"/>
      <c r="E1983" s="16" t="s">
        <v>127</v>
      </c>
      <c r="F1983" s="39" t="s">
        <v>2058</v>
      </c>
      <c r="G1983" s="16">
        <v>70</v>
      </c>
      <c r="H1983" s="16" t="s">
        <v>28</v>
      </c>
      <c r="I1983" s="16">
        <v>200</v>
      </c>
      <c r="J1983" s="16">
        <f t="shared" si="361"/>
        <v>14000</v>
      </c>
      <c r="K1983" s="16"/>
      <c r="L1983" s="16"/>
      <c r="M1983" s="16"/>
      <c r="N1983" s="16"/>
      <c r="O1983" s="16">
        <v>70</v>
      </c>
      <c r="P1983" s="16">
        <v>200</v>
      </c>
      <c r="Q1983" s="16">
        <f t="shared" si="430"/>
        <v>14000</v>
      </c>
      <c r="R1983" s="18">
        <v>0</v>
      </c>
      <c r="S1983" s="16">
        <f t="shared" si="431"/>
        <v>0</v>
      </c>
      <c r="T1983" s="16">
        <f t="shared" si="432"/>
        <v>14000</v>
      </c>
      <c r="U1983" s="16" t="s">
        <v>2162</v>
      </c>
      <c r="V1983" s="19" t="s">
        <v>2163</v>
      </c>
      <c r="W1983" s="142" t="s">
        <v>2199</v>
      </c>
    </row>
    <row r="1984" spans="1:23" ht="25.2" x14ac:dyDescent="0.3">
      <c r="A1984" s="1"/>
      <c r="B1984" s="1"/>
      <c r="C1984" s="1"/>
      <c r="D1984" s="1"/>
      <c r="E1984" s="16" t="s">
        <v>127</v>
      </c>
      <c r="F1984" s="39" t="s">
        <v>2059</v>
      </c>
      <c r="G1984" s="16">
        <v>7</v>
      </c>
      <c r="H1984" s="16" t="s">
        <v>28</v>
      </c>
      <c r="I1984" s="16">
        <v>3110</v>
      </c>
      <c r="J1984" s="16">
        <f t="shared" si="361"/>
        <v>21770</v>
      </c>
      <c r="K1984" s="16"/>
      <c r="L1984" s="16"/>
      <c r="M1984" s="16"/>
      <c r="N1984" s="16"/>
      <c r="O1984" s="16">
        <v>7</v>
      </c>
      <c r="P1984" s="16">
        <v>3110</v>
      </c>
      <c r="Q1984" s="16">
        <f t="shared" si="430"/>
        <v>21770</v>
      </c>
      <c r="R1984" s="18">
        <v>0</v>
      </c>
      <c r="S1984" s="16">
        <f t="shared" si="431"/>
        <v>0</v>
      </c>
      <c r="T1984" s="16">
        <f t="shared" si="432"/>
        <v>21770</v>
      </c>
      <c r="U1984" s="16" t="s">
        <v>2162</v>
      </c>
      <c r="V1984" s="19" t="s">
        <v>2163</v>
      </c>
      <c r="W1984" s="142" t="s">
        <v>2199</v>
      </c>
    </row>
    <row r="1985" spans="1:23" ht="25.2" x14ac:dyDescent="0.3">
      <c r="A1985" s="1"/>
      <c r="B1985" s="1"/>
      <c r="C1985" s="1"/>
      <c r="D1985" s="1"/>
      <c r="E1985" s="16" t="s">
        <v>127</v>
      </c>
      <c r="F1985" s="39" t="s">
        <v>2060</v>
      </c>
      <c r="G1985" s="16">
        <v>5</v>
      </c>
      <c r="H1985" s="16" t="s">
        <v>28</v>
      </c>
      <c r="I1985" s="16">
        <v>1165</v>
      </c>
      <c r="J1985" s="16">
        <f t="shared" si="361"/>
        <v>5825</v>
      </c>
      <c r="K1985" s="16"/>
      <c r="L1985" s="16"/>
      <c r="M1985" s="16"/>
      <c r="N1985" s="16"/>
      <c r="O1985" s="16">
        <v>5</v>
      </c>
      <c r="P1985" s="16">
        <v>1165</v>
      </c>
      <c r="Q1985" s="16">
        <f t="shared" si="430"/>
        <v>5825</v>
      </c>
      <c r="R1985" s="18">
        <v>0</v>
      </c>
      <c r="S1985" s="16">
        <f t="shared" si="431"/>
        <v>0</v>
      </c>
      <c r="T1985" s="16">
        <f t="shared" si="432"/>
        <v>5825</v>
      </c>
      <c r="U1985" s="16" t="s">
        <v>2162</v>
      </c>
      <c r="V1985" s="19" t="s">
        <v>2163</v>
      </c>
      <c r="W1985" s="142" t="s">
        <v>2199</v>
      </c>
    </row>
    <row r="1986" spans="1:23" ht="25.2" x14ac:dyDescent="0.3">
      <c r="A1986" s="1"/>
      <c r="B1986" s="1"/>
      <c r="C1986" s="1"/>
      <c r="D1986" s="1"/>
      <c r="E1986" s="16" t="s">
        <v>127</v>
      </c>
      <c r="F1986" s="39" t="s">
        <v>2061</v>
      </c>
      <c r="G1986" s="16">
        <v>4</v>
      </c>
      <c r="H1986" s="16" t="s">
        <v>28</v>
      </c>
      <c r="I1986" s="16">
        <v>328</v>
      </c>
      <c r="J1986" s="16">
        <f t="shared" si="361"/>
        <v>1312</v>
      </c>
      <c r="K1986" s="16"/>
      <c r="L1986" s="16"/>
      <c r="M1986" s="16"/>
      <c r="N1986" s="16"/>
      <c r="O1986" s="16">
        <v>4</v>
      </c>
      <c r="P1986" s="16">
        <v>328</v>
      </c>
      <c r="Q1986" s="16">
        <f t="shared" si="430"/>
        <v>1312</v>
      </c>
      <c r="R1986" s="18">
        <v>0</v>
      </c>
      <c r="S1986" s="16">
        <f t="shared" si="431"/>
        <v>0</v>
      </c>
      <c r="T1986" s="16">
        <f t="shared" si="432"/>
        <v>1312</v>
      </c>
      <c r="U1986" s="16" t="s">
        <v>2162</v>
      </c>
      <c r="V1986" s="19" t="s">
        <v>2163</v>
      </c>
      <c r="W1986" s="142" t="s">
        <v>2199</v>
      </c>
    </row>
    <row r="1987" spans="1:23" x14ac:dyDescent="0.3">
      <c r="A1987" s="1"/>
      <c r="B1987" s="1"/>
      <c r="C1987" s="1"/>
      <c r="D1987" s="1"/>
      <c r="E1987" s="16" t="s">
        <v>127</v>
      </c>
      <c r="F1987" s="16" t="s">
        <v>2062</v>
      </c>
      <c r="G1987" s="16">
        <v>5</v>
      </c>
      <c r="H1987" s="16" t="s">
        <v>28</v>
      </c>
      <c r="I1987" s="16">
        <v>335</v>
      </c>
      <c r="J1987" s="16">
        <f t="shared" si="361"/>
        <v>1675</v>
      </c>
      <c r="K1987" s="16"/>
      <c r="L1987" s="16"/>
      <c r="M1987" s="16"/>
      <c r="N1987" s="16"/>
      <c r="O1987" s="16">
        <v>5</v>
      </c>
      <c r="P1987" s="16">
        <v>335</v>
      </c>
      <c r="Q1987" s="16">
        <f t="shared" si="430"/>
        <v>1675</v>
      </c>
      <c r="R1987" s="18">
        <v>0</v>
      </c>
      <c r="S1987" s="16">
        <f t="shared" si="431"/>
        <v>0</v>
      </c>
      <c r="T1987" s="16">
        <f t="shared" si="432"/>
        <v>1675</v>
      </c>
      <c r="U1987" s="16" t="s">
        <v>2162</v>
      </c>
      <c r="V1987" s="19" t="s">
        <v>2163</v>
      </c>
      <c r="W1987" s="142" t="s">
        <v>2199</v>
      </c>
    </row>
    <row r="1988" spans="1:23" x14ac:dyDescent="0.3">
      <c r="A1988" s="1"/>
      <c r="B1988" s="1"/>
      <c r="C1988" s="1"/>
      <c r="D1988" s="1"/>
      <c r="E1988" s="16" t="s">
        <v>127</v>
      </c>
      <c r="F1988" s="16" t="s">
        <v>2063</v>
      </c>
      <c r="G1988" s="16">
        <v>20</v>
      </c>
      <c r="H1988" s="16" t="s">
        <v>28</v>
      </c>
      <c r="I1988" s="16">
        <v>200</v>
      </c>
      <c r="J1988" s="16">
        <f t="shared" si="361"/>
        <v>4000</v>
      </c>
      <c r="K1988" s="16"/>
      <c r="L1988" s="16"/>
      <c r="M1988" s="16"/>
      <c r="N1988" s="16"/>
      <c r="O1988" s="16">
        <v>20</v>
      </c>
      <c r="P1988" s="16">
        <v>200</v>
      </c>
      <c r="Q1988" s="16">
        <f t="shared" si="430"/>
        <v>4000</v>
      </c>
      <c r="R1988" s="18">
        <v>0</v>
      </c>
      <c r="S1988" s="16">
        <f t="shared" si="431"/>
        <v>0</v>
      </c>
      <c r="T1988" s="16">
        <f t="shared" si="432"/>
        <v>4000</v>
      </c>
      <c r="U1988" s="16" t="s">
        <v>2162</v>
      </c>
      <c r="V1988" s="19" t="s">
        <v>2163</v>
      </c>
      <c r="W1988" s="142" t="s">
        <v>2199</v>
      </c>
    </row>
    <row r="1989" spans="1:23" x14ac:dyDescent="0.3">
      <c r="A1989" s="1"/>
      <c r="B1989" s="1"/>
      <c r="C1989" s="1"/>
      <c r="D1989" s="1"/>
      <c r="E1989" s="16" t="s">
        <v>127</v>
      </c>
      <c r="F1989" s="16" t="s">
        <v>2064</v>
      </c>
      <c r="G1989" s="16">
        <v>30</v>
      </c>
      <c r="H1989" s="16" t="s">
        <v>28</v>
      </c>
      <c r="I1989" s="16">
        <v>85</v>
      </c>
      <c r="J1989" s="16">
        <f t="shared" si="361"/>
        <v>2550</v>
      </c>
      <c r="K1989" s="16"/>
      <c r="L1989" s="16"/>
      <c r="M1989" s="16"/>
      <c r="N1989" s="16"/>
      <c r="O1989" s="16">
        <v>30</v>
      </c>
      <c r="P1989" s="16">
        <v>85</v>
      </c>
      <c r="Q1989" s="16">
        <f t="shared" si="430"/>
        <v>2550</v>
      </c>
      <c r="R1989" s="18">
        <v>0</v>
      </c>
      <c r="S1989" s="16">
        <f t="shared" si="431"/>
        <v>0</v>
      </c>
      <c r="T1989" s="16">
        <f t="shared" si="432"/>
        <v>2550</v>
      </c>
      <c r="U1989" s="16" t="s">
        <v>2162</v>
      </c>
      <c r="V1989" s="19" t="s">
        <v>2163</v>
      </c>
      <c r="W1989" s="142" t="s">
        <v>2199</v>
      </c>
    </row>
    <row r="1990" spans="1:23" x14ac:dyDescent="0.3">
      <c r="A1990" s="1"/>
      <c r="B1990" s="1"/>
      <c r="C1990" s="1"/>
      <c r="D1990" s="1"/>
      <c r="E1990" s="16" t="s">
        <v>127</v>
      </c>
      <c r="F1990" s="16" t="s">
        <v>2065</v>
      </c>
      <c r="G1990" s="16">
        <v>5</v>
      </c>
      <c r="H1990" s="16" t="s">
        <v>28</v>
      </c>
      <c r="I1990" s="16">
        <v>50</v>
      </c>
      <c r="J1990" s="16">
        <f t="shared" si="361"/>
        <v>250</v>
      </c>
      <c r="K1990" s="16"/>
      <c r="L1990" s="16"/>
      <c r="M1990" s="16"/>
      <c r="N1990" s="16"/>
      <c r="O1990" s="16">
        <v>5</v>
      </c>
      <c r="P1990" s="16">
        <v>50</v>
      </c>
      <c r="Q1990" s="16">
        <f t="shared" si="430"/>
        <v>250</v>
      </c>
      <c r="R1990" s="18">
        <v>0</v>
      </c>
      <c r="S1990" s="16">
        <f t="shared" si="431"/>
        <v>0</v>
      </c>
      <c r="T1990" s="16">
        <f t="shared" si="432"/>
        <v>250</v>
      </c>
      <c r="U1990" s="16" t="s">
        <v>2162</v>
      </c>
      <c r="V1990" s="19" t="s">
        <v>2163</v>
      </c>
      <c r="W1990" s="142" t="s">
        <v>2199</v>
      </c>
    </row>
    <row r="1991" spans="1:23" x14ac:dyDescent="0.3">
      <c r="A1991" s="1"/>
      <c r="B1991" s="1"/>
      <c r="C1991" s="1"/>
      <c r="D1991" s="1"/>
      <c r="E1991" s="16" t="s">
        <v>127</v>
      </c>
      <c r="F1991" s="16" t="s">
        <v>2066</v>
      </c>
      <c r="G1991" s="16">
        <v>35</v>
      </c>
      <c r="H1991" s="16" t="s">
        <v>28</v>
      </c>
      <c r="I1991" s="16">
        <v>386</v>
      </c>
      <c r="J1991" s="16">
        <f t="shared" si="361"/>
        <v>13510</v>
      </c>
      <c r="K1991" s="16"/>
      <c r="L1991" s="16"/>
      <c r="M1991" s="16"/>
      <c r="N1991" s="16"/>
      <c r="O1991" s="16">
        <v>35</v>
      </c>
      <c r="P1991" s="16">
        <v>386</v>
      </c>
      <c r="Q1991" s="16">
        <f t="shared" si="430"/>
        <v>13510</v>
      </c>
      <c r="R1991" s="18">
        <v>0</v>
      </c>
      <c r="S1991" s="16">
        <f t="shared" si="431"/>
        <v>0</v>
      </c>
      <c r="T1991" s="16">
        <f t="shared" si="432"/>
        <v>13510</v>
      </c>
      <c r="U1991" s="119" t="s">
        <v>2420</v>
      </c>
      <c r="V1991" s="188">
        <v>46059</v>
      </c>
      <c r="W1991" s="197" t="s">
        <v>2465</v>
      </c>
    </row>
    <row r="1992" spans="1:23" x14ac:dyDescent="0.3">
      <c r="A1992" s="1"/>
      <c r="B1992" s="1"/>
      <c r="C1992" s="1"/>
      <c r="D1992" s="1"/>
      <c r="E1992" s="16" t="s">
        <v>127</v>
      </c>
      <c r="F1992" s="16" t="s">
        <v>2067</v>
      </c>
      <c r="G1992" s="16">
        <v>70</v>
      </c>
      <c r="H1992" s="16" t="s">
        <v>141</v>
      </c>
      <c r="I1992" s="16">
        <v>125</v>
      </c>
      <c r="J1992" s="16">
        <f t="shared" si="361"/>
        <v>8750</v>
      </c>
      <c r="K1992" s="16"/>
      <c r="L1992" s="16"/>
      <c r="M1992" s="16"/>
      <c r="N1992" s="16"/>
      <c r="O1992" s="16">
        <v>70</v>
      </c>
      <c r="P1992" s="16">
        <v>125</v>
      </c>
      <c r="Q1992" s="16">
        <f t="shared" si="430"/>
        <v>8750</v>
      </c>
      <c r="R1992" s="18">
        <v>0</v>
      </c>
      <c r="S1992" s="16">
        <f t="shared" si="431"/>
        <v>0</v>
      </c>
      <c r="T1992" s="16">
        <f t="shared" si="432"/>
        <v>8750</v>
      </c>
      <c r="U1992" s="16" t="s">
        <v>2162</v>
      </c>
      <c r="V1992" s="19" t="s">
        <v>2163</v>
      </c>
      <c r="W1992" s="142" t="s">
        <v>2199</v>
      </c>
    </row>
    <row r="1993" spans="1:23" x14ac:dyDescent="0.3">
      <c r="A1993" s="1"/>
      <c r="B1993" s="1"/>
      <c r="C1993" s="1"/>
      <c r="D1993" s="1"/>
      <c r="E1993" s="1"/>
      <c r="F1993" s="124" t="s">
        <v>39</v>
      </c>
      <c r="G1993" s="1"/>
      <c r="H1993" s="1"/>
      <c r="I1993" s="1"/>
      <c r="J1993" s="124">
        <f>SUM(J1970:J1992)</f>
        <v>934862</v>
      </c>
      <c r="K1993" s="1"/>
      <c r="L1993" s="1"/>
      <c r="M1993" s="1"/>
      <c r="N1993" s="1"/>
      <c r="O1993" s="1"/>
      <c r="P1993" s="1"/>
      <c r="Q1993" s="1"/>
      <c r="R1993" s="1"/>
      <c r="S1993" s="1"/>
      <c r="T1993" s="1"/>
      <c r="U1993" s="1"/>
      <c r="V1993" s="1"/>
      <c r="W1993" s="142"/>
    </row>
    <row r="1994" spans="1:23" x14ac:dyDescent="0.3">
      <c r="A1994" s="1"/>
      <c r="B1994" s="1"/>
      <c r="C1994" s="1"/>
      <c r="D1994" s="1"/>
      <c r="E1994" s="1"/>
      <c r="F1994" s="124" t="s">
        <v>599</v>
      </c>
      <c r="G1994" s="1"/>
      <c r="H1994" s="1"/>
      <c r="I1994" s="1"/>
      <c r="J1994" s="124">
        <f>J1993*0/100</f>
        <v>0</v>
      </c>
      <c r="K1994" s="1"/>
      <c r="L1994" s="1"/>
      <c r="M1994" s="1"/>
      <c r="N1994" s="1"/>
      <c r="O1994" s="1"/>
      <c r="P1994" s="1"/>
      <c r="Q1994" s="1"/>
      <c r="R1994" s="1"/>
      <c r="S1994" s="1"/>
      <c r="T1994" s="1"/>
      <c r="U1994" s="1"/>
      <c r="V1994" s="1"/>
      <c r="W1994" s="142"/>
    </row>
    <row r="1995" spans="1:23" x14ac:dyDescent="0.3">
      <c r="A1995" s="1"/>
      <c r="B1995" s="1"/>
      <c r="C1995" s="1"/>
      <c r="D1995" s="1"/>
      <c r="E1995" s="1"/>
      <c r="F1995" s="124" t="s">
        <v>41</v>
      </c>
      <c r="G1995" s="1"/>
      <c r="H1995" s="1"/>
      <c r="I1995" s="1"/>
      <c r="J1995" s="124">
        <f>SUM(J1993:J1994)</f>
        <v>934862</v>
      </c>
      <c r="K1995" s="1"/>
      <c r="L1995" s="1"/>
      <c r="M1995" s="1"/>
      <c r="N1995" s="1"/>
      <c r="O1995" s="1"/>
      <c r="P1995" s="1"/>
      <c r="Q1995" s="1"/>
      <c r="R1995" s="1"/>
      <c r="S1995" s="1"/>
      <c r="T1995" s="1">
        <f>SUM(T1970:T1994)</f>
        <v>934862</v>
      </c>
      <c r="U1995" s="1"/>
      <c r="V1995" s="1"/>
      <c r="W1995" s="142"/>
    </row>
    <row r="1996" spans="1:23" x14ac:dyDescent="0.3">
      <c r="A1996" s="1"/>
      <c r="B1996" s="1"/>
      <c r="C1996" s="1"/>
      <c r="D1996" s="1"/>
      <c r="E1996" s="1"/>
      <c r="F1996" s="124"/>
      <c r="G1996" s="1"/>
      <c r="H1996" s="1"/>
      <c r="I1996" s="1"/>
      <c r="J1996" s="124"/>
      <c r="K1996" s="1"/>
      <c r="L1996" s="1"/>
      <c r="M1996" s="1"/>
      <c r="N1996" s="1"/>
      <c r="O1996" s="1"/>
      <c r="P1996" s="1"/>
      <c r="Q1996" s="1"/>
      <c r="R1996" s="1"/>
      <c r="S1996" s="1"/>
      <c r="T1996" s="1"/>
      <c r="U1996" s="1"/>
      <c r="V1996" s="1"/>
      <c r="W1996" s="142"/>
    </row>
    <row r="1997" spans="1:23" x14ac:dyDescent="0.3">
      <c r="A1997" s="16">
        <v>180</v>
      </c>
      <c r="B1997" s="16">
        <v>9200159269</v>
      </c>
      <c r="C1997" s="16" t="s">
        <v>2072</v>
      </c>
      <c r="D1997" s="16" t="s">
        <v>2073</v>
      </c>
      <c r="E1997" s="16" t="s">
        <v>123</v>
      </c>
      <c r="F1997" s="16" t="s">
        <v>2074</v>
      </c>
      <c r="G1997" s="16">
        <v>20</v>
      </c>
      <c r="H1997" s="16" t="s">
        <v>252</v>
      </c>
      <c r="I1997" s="16">
        <v>305</v>
      </c>
      <c r="J1997" s="16">
        <f t="shared" si="361"/>
        <v>6100</v>
      </c>
      <c r="K1997" s="16"/>
      <c r="L1997" s="16"/>
      <c r="M1997" s="16"/>
      <c r="N1997" s="16"/>
      <c r="O1997" s="16">
        <v>15</v>
      </c>
      <c r="P1997" s="16">
        <v>305</v>
      </c>
      <c r="Q1997" s="16">
        <f>O1997*P1997</f>
        <v>4575</v>
      </c>
      <c r="R1997" s="18">
        <v>0</v>
      </c>
      <c r="S1997" s="16">
        <f>Q1997*R1997</f>
        <v>0</v>
      </c>
      <c r="T1997" s="16">
        <f>Q1997+S1997</f>
        <v>4575</v>
      </c>
      <c r="U1997" s="16" t="s">
        <v>2182</v>
      </c>
      <c r="V1997" s="19" t="s">
        <v>2180</v>
      </c>
      <c r="W1997" s="142" t="s">
        <v>2231</v>
      </c>
    </row>
    <row r="1998" spans="1:23" x14ac:dyDescent="0.3">
      <c r="A1998" s="1"/>
      <c r="B1998" s="1"/>
      <c r="C1998" s="1"/>
      <c r="D1998" s="1"/>
      <c r="E1998" s="16" t="s">
        <v>123</v>
      </c>
      <c r="F1998" s="16" t="s">
        <v>2075</v>
      </c>
      <c r="G1998" s="16">
        <v>60</v>
      </c>
      <c r="H1998" s="16" t="s">
        <v>111</v>
      </c>
      <c r="I1998" s="16">
        <v>28</v>
      </c>
      <c r="J1998" s="16">
        <f t="shared" si="361"/>
        <v>1680</v>
      </c>
      <c r="K1998" s="16"/>
      <c r="L1998" s="16"/>
      <c r="M1998" s="16"/>
      <c r="N1998" s="16"/>
      <c r="O1998" s="16">
        <v>46</v>
      </c>
      <c r="P1998" s="16">
        <v>28</v>
      </c>
      <c r="Q1998" s="16">
        <f t="shared" ref="Q1998:Q2002" si="433">O1998*P1998</f>
        <v>1288</v>
      </c>
      <c r="R1998" s="18">
        <v>0</v>
      </c>
      <c r="S1998" s="16">
        <f t="shared" ref="S1998:S2002" si="434">Q1998*R1998</f>
        <v>0</v>
      </c>
      <c r="T1998" s="16">
        <f t="shared" ref="T1998:T2002" si="435">Q1998+S1998</f>
        <v>1288</v>
      </c>
      <c r="U1998" s="16" t="s">
        <v>2182</v>
      </c>
      <c r="V1998" s="19" t="s">
        <v>2180</v>
      </c>
      <c r="W1998" s="142" t="s">
        <v>2231</v>
      </c>
    </row>
    <row r="1999" spans="1:23" x14ac:dyDescent="0.3">
      <c r="A1999" s="1"/>
      <c r="B1999" s="1"/>
      <c r="C1999" s="1"/>
      <c r="D1999" s="1"/>
      <c r="E1999" s="16" t="s">
        <v>123</v>
      </c>
      <c r="F1999" s="16" t="s">
        <v>2076</v>
      </c>
      <c r="G1999" s="16">
        <v>1</v>
      </c>
      <c r="H1999" s="16" t="s">
        <v>28</v>
      </c>
      <c r="I1999" s="16">
        <v>500</v>
      </c>
      <c r="J1999" s="16">
        <f t="shared" si="361"/>
        <v>500</v>
      </c>
      <c r="K1999" s="16">
        <v>1</v>
      </c>
      <c r="L1999" s="16" t="s">
        <v>28</v>
      </c>
      <c r="M1999" s="16" t="s">
        <v>91</v>
      </c>
      <c r="N1999" s="16" t="s">
        <v>2161</v>
      </c>
      <c r="O1999" s="16">
        <v>1</v>
      </c>
      <c r="P1999" s="16">
        <v>500</v>
      </c>
      <c r="Q1999" s="16">
        <f t="shared" si="433"/>
        <v>500</v>
      </c>
      <c r="R1999" s="18">
        <v>0</v>
      </c>
      <c r="S1999" s="16">
        <f t="shared" si="434"/>
        <v>0</v>
      </c>
      <c r="T1999" s="16">
        <f t="shared" si="435"/>
        <v>500</v>
      </c>
      <c r="U1999" s="16" t="s">
        <v>2182</v>
      </c>
      <c r="V1999" s="19" t="s">
        <v>2180</v>
      </c>
      <c r="W1999" s="142" t="s">
        <v>2231</v>
      </c>
    </row>
    <row r="2000" spans="1:23" x14ac:dyDescent="0.3">
      <c r="A2000" s="1"/>
      <c r="B2000" s="1"/>
      <c r="C2000" s="1"/>
      <c r="D2000" s="1"/>
      <c r="E2000" s="16" t="s">
        <v>123</v>
      </c>
      <c r="F2000" s="16" t="s">
        <v>2077</v>
      </c>
      <c r="G2000" s="16">
        <v>12</v>
      </c>
      <c r="H2000" s="16" t="s">
        <v>252</v>
      </c>
      <c r="I2000" s="16">
        <v>640</v>
      </c>
      <c r="J2000" s="16">
        <f t="shared" si="361"/>
        <v>7680</v>
      </c>
      <c r="K2000" s="16">
        <v>12</v>
      </c>
      <c r="L2000" s="16" t="s">
        <v>252</v>
      </c>
      <c r="M2000" s="16" t="s">
        <v>91</v>
      </c>
      <c r="N2000" s="16" t="s">
        <v>2161</v>
      </c>
      <c r="O2000" s="16">
        <v>12</v>
      </c>
      <c r="P2000" s="16">
        <v>640</v>
      </c>
      <c r="Q2000" s="16">
        <f t="shared" si="433"/>
        <v>7680</v>
      </c>
      <c r="R2000" s="18">
        <v>0</v>
      </c>
      <c r="S2000" s="16">
        <f t="shared" si="434"/>
        <v>0</v>
      </c>
      <c r="T2000" s="16">
        <f t="shared" si="435"/>
        <v>7680</v>
      </c>
      <c r="U2000" s="16" t="s">
        <v>2182</v>
      </c>
      <c r="V2000" s="19" t="s">
        <v>2180</v>
      </c>
      <c r="W2000" s="142" t="s">
        <v>2231</v>
      </c>
    </row>
    <row r="2001" spans="1:23" x14ac:dyDescent="0.3">
      <c r="A2001" s="1"/>
      <c r="B2001" s="1"/>
      <c r="C2001" s="1"/>
      <c r="D2001" s="1"/>
      <c r="E2001" s="16" t="s">
        <v>123</v>
      </c>
      <c r="F2001" s="16" t="s">
        <v>2078</v>
      </c>
      <c r="G2001" s="16">
        <v>8</v>
      </c>
      <c r="H2001" s="16" t="s">
        <v>252</v>
      </c>
      <c r="I2001" s="16">
        <v>90</v>
      </c>
      <c r="J2001" s="16">
        <f t="shared" si="361"/>
        <v>720</v>
      </c>
      <c r="K2001" s="16">
        <v>8</v>
      </c>
      <c r="L2001" s="16" t="s">
        <v>252</v>
      </c>
      <c r="M2001" s="16" t="s">
        <v>91</v>
      </c>
      <c r="N2001" s="16" t="s">
        <v>2161</v>
      </c>
      <c r="O2001" s="16">
        <v>8</v>
      </c>
      <c r="P2001" s="16">
        <v>90</v>
      </c>
      <c r="Q2001" s="16">
        <f t="shared" si="433"/>
        <v>720</v>
      </c>
      <c r="R2001" s="18">
        <v>0</v>
      </c>
      <c r="S2001" s="16">
        <f t="shared" si="434"/>
        <v>0</v>
      </c>
      <c r="T2001" s="16">
        <f t="shared" si="435"/>
        <v>720</v>
      </c>
      <c r="U2001" s="16" t="s">
        <v>2182</v>
      </c>
      <c r="V2001" s="19" t="s">
        <v>2180</v>
      </c>
      <c r="W2001" s="142" t="s">
        <v>2231</v>
      </c>
    </row>
    <row r="2002" spans="1:23" x14ac:dyDescent="0.3">
      <c r="A2002" s="1"/>
      <c r="B2002" s="1"/>
      <c r="C2002" s="1"/>
      <c r="D2002" s="1"/>
      <c r="E2002" s="16" t="s">
        <v>123</v>
      </c>
      <c r="F2002" s="16" t="s">
        <v>2079</v>
      </c>
      <c r="G2002" s="16">
        <v>1</v>
      </c>
      <c r="H2002" s="16" t="s">
        <v>28</v>
      </c>
      <c r="I2002" s="16">
        <v>750</v>
      </c>
      <c r="J2002" s="16">
        <f t="shared" si="361"/>
        <v>750</v>
      </c>
      <c r="K2002" s="16"/>
      <c r="L2002" s="16"/>
      <c r="M2002" s="16"/>
      <c r="N2002" s="16"/>
      <c r="O2002" s="16">
        <v>1</v>
      </c>
      <c r="P2002" s="16">
        <v>750</v>
      </c>
      <c r="Q2002" s="16">
        <f t="shared" si="433"/>
        <v>750</v>
      </c>
      <c r="R2002" s="18">
        <v>0</v>
      </c>
      <c r="S2002" s="16">
        <f t="shared" si="434"/>
        <v>0</v>
      </c>
      <c r="T2002" s="16">
        <f t="shared" si="435"/>
        <v>750</v>
      </c>
      <c r="U2002" s="16" t="s">
        <v>2182</v>
      </c>
      <c r="V2002" s="19" t="s">
        <v>2180</v>
      </c>
      <c r="W2002" s="142" t="s">
        <v>2231</v>
      </c>
    </row>
    <row r="2003" spans="1:23" x14ac:dyDescent="0.3">
      <c r="A2003" s="1"/>
      <c r="B2003" s="1"/>
      <c r="C2003" s="1"/>
      <c r="D2003" s="1"/>
      <c r="E2003" s="1"/>
      <c r="F2003" s="124" t="s">
        <v>39</v>
      </c>
      <c r="G2003" s="1"/>
      <c r="H2003" s="1"/>
      <c r="I2003" s="1"/>
      <c r="J2003" s="124">
        <f>SUM(J1997:J2002)</f>
        <v>17430</v>
      </c>
      <c r="K2003" s="1"/>
      <c r="L2003" s="1"/>
      <c r="M2003" s="1"/>
      <c r="N2003" s="1"/>
      <c r="O2003" s="1"/>
      <c r="P2003" s="1"/>
      <c r="Q2003" s="1"/>
      <c r="R2003" s="1"/>
      <c r="S2003" s="1"/>
      <c r="T2003" s="1"/>
      <c r="U2003" s="1"/>
      <c r="V2003" s="1"/>
      <c r="W2003" s="142"/>
    </row>
    <row r="2004" spans="1:23" x14ac:dyDescent="0.3">
      <c r="A2004" s="1"/>
      <c r="B2004" s="1"/>
      <c r="C2004" s="1"/>
      <c r="D2004" s="1"/>
      <c r="E2004" s="1"/>
      <c r="F2004" s="124" t="s">
        <v>599</v>
      </c>
      <c r="G2004" s="1"/>
      <c r="H2004" s="1"/>
      <c r="I2004" s="1"/>
      <c r="J2004" s="124">
        <f>J2003*0/100</f>
        <v>0</v>
      </c>
      <c r="K2004" s="1"/>
      <c r="L2004" s="1"/>
      <c r="M2004" s="1"/>
      <c r="N2004" s="1"/>
      <c r="O2004" s="1"/>
      <c r="P2004" s="1"/>
      <c r="Q2004" s="1"/>
      <c r="R2004" s="1"/>
      <c r="S2004" s="1"/>
      <c r="T2004" s="1"/>
      <c r="U2004" s="1"/>
      <c r="V2004" s="1"/>
      <c r="W2004" s="142"/>
    </row>
    <row r="2005" spans="1:23" x14ac:dyDescent="0.3">
      <c r="A2005" s="1"/>
      <c r="B2005" s="1"/>
      <c r="C2005" s="1"/>
      <c r="D2005" s="1"/>
      <c r="E2005" s="1"/>
      <c r="F2005" s="124" t="s">
        <v>41</v>
      </c>
      <c r="G2005" s="1"/>
      <c r="H2005" s="1"/>
      <c r="I2005" s="1"/>
      <c r="J2005" s="124">
        <f>SUM(J2003:J2004)</f>
        <v>17430</v>
      </c>
      <c r="K2005" s="1"/>
      <c r="L2005" s="1"/>
      <c r="M2005" s="1"/>
      <c r="N2005" s="1"/>
      <c r="O2005" s="1"/>
      <c r="P2005" s="1"/>
      <c r="Q2005" s="1"/>
      <c r="R2005" s="1"/>
      <c r="S2005" s="1"/>
      <c r="T2005" s="1">
        <f>SUM(T1997:T2004)</f>
        <v>15513</v>
      </c>
      <c r="U2005" s="1"/>
      <c r="V2005" s="1"/>
      <c r="W2005" s="142"/>
    </row>
    <row r="2006" spans="1:23" x14ac:dyDescent="0.3">
      <c r="A2006" s="1"/>
      <c r="B2006" s="1"/>
      <c r="C2006" s="1"/>
      <c r="D2006" s="1"/>
      <c r="E2006" s="1"/>
      <c r="F2006" s="1"/>
      <c r="G2006" s="1"/>
      <c r="H2006" s="1"/>
      <c r="I2006" s="1"/>
      <c r="J2006" s="1">
        <f t="shared" si="361"/>
        <v>0</v>
      </c>
      <c r="K2006" s="1"/>
      <c r="L2006" s="1"/>
      <c r="M2006" s="1"/>
      <c r="N2006" s="1"/>
      <c r="O2006" s="1"/>
      <c r="P2006" s="1"/>
      <c r="Q2006" s="1"/>
      <c r="R2006" s="1"/>
      <c r="S2006" s="1"/>
      <c r="T2006" s="1"/>
      <c r="U2006" s="1"/>
      <c r="V2006" s="1"/>
      <c r="W2006" s="142"/>
    </row>
    <row r="2007" spans="1:23" ht="25.2" x14ac:dyDescent="0.3">
      <c r="A2007" s="16">
        <v>181</v>
      </c>
      <c r="B2007" s="16">
        <v>9200159413</v>
      </c>
      <c r="C2007" s="19">
        <v>46056</v>
      </c>
      <c r="D2007" s="16" t="s">
        <v>43</v>
      </c>
      <c r="E2007" s="16" t="s">
        <v>123</v>
      </c>
      <c r="F2007" s="39" t="s">
        <v>2085</v>
      </c>
      <c r="G2007" s="16">
        <v>1</v>
      </c>
      <c r="H2007" s="16" t="s">
        <v>28</v>
      </c>
      <c r="I2007" s="16">
        <v>5200</v>
      </c>
      <c r="J2007" s="16">
        <f t="shared" si="361"/>
        <v>5200</v>
      </c>
      <c r="K2007" s="16">
        <v>1</v>
      </c>
      <c r="L2007" s="16" t="s">
        <v>28</v>
      </c>
      <c r="M2007" s="16" t="s">
        <v>91</v>
      </c>
      <c r="N2007" s="19" t="s">
        <v>2255</v>
      </c>
      <c r="O2007" s="16">
        <v>1</v>
      </c>
      <c r="P2007" s="16">
        <v>5200</v>
      </c>
      <c r="Q2007" s="16">
        <f>O2007*P2007</f>
        <v>5200</v>
      </c>
      <c r="R2007" s="18">
        <v>0</v>
      </c>
      <c r="S2007" s="16">
        <f>Q2007*R2007</f>
        <v>0</v>
      </c>
      <c r="T2007" s="16">
        <f>Q2007+S2007</f>
        <v>5200</v>
      </c>
      <c r="U2007" s="16" t="s">
        <v>2259</v>
      </c>
      <c r="V2007" s="16" t="s">
        <v>2257</v>
      </c>
      <c r="W2007" s="142" t="s">
        <v>2345</v>
      </c>
    </row>
    <row r="2008" spans="1:23" ht="25.2" x14ac:dyDescent="0.3">
      <c r="A2008" s="1"/>
      <c r="B2008" s="1"/>
      <c r="C2008" s="1"/>
      <c r="D2008" s="1"/>
      <c r="E2008" s="16" t="s">
        <v>123</v>
      </c>
      <c r="F2008" s="39" t="s">
        <v>2086</v>
      </c>
      <c r="G2008" s="16">
        <v>1</v>
      </c>
      <c r="H2008" s="16" t="s">
        <v>28</v>
      </c>
      <c r="I2008" s="16">
        <v>4750</v>
      </c>
      <c r="J2008" s="16">
        <f t="shared" si="361"/>
        <v>4750</v>
      </c>
      <c r="K2008" s="16">
        <v>1</v>
      </c>
      <c r="L2008" s="16" t="s">
        <v>28</v>
      </c>
      <c r="M2008" s="16" t="s">
        <v>91</v>
      </c>
      <c r="N2008" s="19" t="s">
        <v>2255</v>
      </c>
      <c r="O2008" s="16">
        <v>1</v>
      </c>
      <c r="P2008" s="16">
        <v>4750</v>
      </c>
      <c r="Q2008" s="16">
        <f t="shared" ref="Q2008:Q2011" si="436">O2008*P2008</f>
        <v>4750</v>
      </c>
      <c r="R2008" s="18">
        <v>0</v>
      </c>
      <c r="S2008" s="16">
        <f t="shared" ref="S2008:S2011" si="437">Q2008*R2008</f>
        <v>0</v>
      </c>
      <c r="T2008" s="16">
        <f t="shared" ref="T2008:T2011" si="438">Q2008+S2008</f>
        <v>4750</v>
      </c>
      <c r="U2008" s="16" t="s">
        <v>2259</v>
      </c>
      <c r="V2008" s="16" t="s">
        <v>2257</v>
      </c>
      <c r="W2008" s="142" t="s">
        <v>2345</v>
      </c>
    </row>
    <row r="2009" spans="1:23" ht="25.2" x14ac:dyDescent="0.3">
      <c r="A2009" s="1"/>
      <c r="B2009" s="1"/>
      <c r="C2009" s="1"/>
      <c r="D2009" s="1"/>
      <c r="E2009" s="16" t="s">
        <v>123</v>
      </c>
      <c r="F2009" s="39" t="s">
        <v>2087</v>
      </c>
      <c r="G2009" s="16">
        <v>1</v>
      </c>
      <c r="H2009" s="16" t="s">
        <v>28</v>
      </c>
      <c r="I2009" s="16">
        <v>4900</v>
      </c>
      <c r="J2009" s="16">
        <f t="shared" si="361"/>
        <v>4900</v>
      </c>
      <c r="K2009" s="16">
        <v>1</v>
      </c>
      <c r="L2009" s="16" t="s">
        <v>28</v>
      </c>
      <c r="M2009" s="16" t="s">
        <v>91</v>
      </c>
      <c r="N2009" s="19" t="s">
        <v>2255</v>
      </c>
      <c r="O2009" s="16">
        <v>1</v>
      </c>
      <c r="P2009" s="16">
        <v>4900</v>
      </c>
      <c r="Q2009" s="16">
        <f t="shared" si="436"/>
        <v>4900</v>
      </c>
      <c r="R2009" s="18">
        <v>0</v>
      </c>
      <c r="S2009" s="16">
        <f t="shared" si="437"/>
        <v>0</v>
      </c>
      <c r="T2009" s="16">
        <f t="shared" si="438"/>
        <v>4900</v>
      </c>
      <c r="U2009" s="16" t="s">
        <v>2259</v>
      </c>
      <c r="V2009" s="16" t="s">
        <v>2257</v>
      </c>
      <c r="W2009" s="142" t="s">
        <v>2345</v>
      </c>
    </row>
    <row r="2010" spans="1:23" x14ac:dyDescent="0.3">
      <c r="A2010" s="1"/>
      <c r="B2010" s="1"/>
      <c r="C2010" s="1"/>
      <c r="D2010" s="1"/>
      <c r="E2010" s="16" t="s">
        <v>123</v>
      </c>
      <c r="F2010" s="39" t="s">
        <v>2088</v>
      </c>
      <c r="G2010" s="16">
        <v>3</v>
      </c>
      <c r="H2010" s="16" t="s">
        <v>87</v>
      </c>
      <c r="I2010" s="16">
        <v>1200</v>
      </c>
      <c r="J2010" s="16">
        <f t="shared" si="361"/>
        <v>3600</v>
      </c>
      <c r="K2010" s="16"/>
      <c r="L2010" s="16"/>
      <c r="M2010" s="16"/>
      <c r="N2010" s="16"/>
      <c r="O2010" s="16">
        <v>3</v>
      </c>
      <c r="P2010" s="16">
        <v>1200</v>
      </c>
      <c r="Q2010" s="16">
        <f t="shared" si="436"/>
        <v>3600</v>
      </c>
      <c r="R2010" s="18">
        <v>0</v>
      </c>
      <c r="S2010" s="16">
        <f t="shared" si="437"/>
        <v>0</v>
      </c>
      <c r="T2010" s="16">
        <f t="shared" si="438"/>
        <v>3600</v>
      </c>
      <c r="U2010" s="16" t="s">
        <v>2259</v>
      </c>
      <c r="V2010" s="16" t="s">
        <v>2257</v>
      </c>
      <c r="W2010" s="142" t="s">
        <v>2345</v>
      </c>
    </row>
    <row r="2011" spans="1:23" x14ac:dyDescent="0.3">
      <c r="A2011" s="1"/>
      <c r="B2011" s="1"/>
      <c r="C2011" s="1"/>
      <c r="D2011" s="1"/>
      <c r="E2011" s="16" t="s">
        <v>123</v>
      </c>
      <c r="F2011" s="16" t="s">
        <v>2089</v>
      </c>
      <c r="G2011" s="16">
        <v>3</v>
      </c>
      <c r="H2011" s="16" t="s">
        <v>87</v>
      </c>
      <c r="I2011" s="16">
        <v>850</v>
      </c>
      <c r="J2011" s="16">
        <f t="shared" si="361"/>
        <v>2550</v>
      </c>
      <c r="K2011" s="16"/>
      <c r="L2011" s="16"/>
      <c r="M2011" s="16"/>
      <c r="N2011" s="16"/>
      <c r="O2011" s="16">
        <v>3</v>
      </c>
      <c r="P2011" s="16">
        <v>850</v>
      </c>
      <c r="Q2011" s="16">
        <f t="shared" si="436"/>
        <v>2550</v>
      </c>
      <c r="R2011" s="18">
        <v>0</v>
      </c>
      <c r="S2011" s="16">
        <f t="shared" si="437"/>
        <v>0</v>
      </c>
      <c r="T2011" s="16">
        <f t="shared" si="438"/>
        <v>2550</v>
      </c>
      <c r="U2011" s="16" t="s">
        <v>2259</v>
      </c>
      <c r="V2011" s="16" t="s">
        <v>2257</v>
      </c>
      <c r="W2011" s="142" t="s">
        <v>2345</v>
      </c>
    </row>
    <row r="2012" spans="1:23" x14ac:dyDescent="0.3">
      <c r="A2012" s="1"/>
      <c r="B2012" s="1"/>
      <c r="C2012" s="1"/>
      <c r="D2012" s="1"/>
      <c r="E2012" s="1"/>
      <c r="F2012" s="124" t="s">
        <v>39</v>
      </c>
      <c r="G2012" s="1"/>
      <c r="H2012" s="1"/>
      <c r="I2012" s="1"/>
      <c r="J2012" s="124">
        <f>SUM(J2007:J2011)</f>
        <v>21000</v>
      </c>
      <c r="K2012" s="1"/>
      <c r="L2012" s="1"/>
      <c r="M2012" s="1"/>
      <c r="N2012" s="1"/>
      <c r="O2012" s="1"/>
      <c r="P2012" s="1"/>
      <c r="Q2012" s="1"/>
      <c r="R2012" s="1"/>
      <c r="S2012" s="1"/>
      <c r="T2012" s="1"/>
      <c r="U2012" s="1"/>
      <c r="V2012" s="1"/>
      <c r="W2012" s="142"/>
    </row>
    <row r="2013" spans="1:23" x14ac:dyDescent="0.3">
      <c r="A2013" s="1"/>
      <c r="B2013" s="1"/>
      <c r="C2013" s="1"/>
      <c r="D2013" s="1"/>
      <c r="E2013" s="1"/>
      <c r="F2013" s="124" t="s">
        <v>599</v>
      </c>
      <c r="G2013" s="1"/>
      <c r="H2013" s="1"/>
      <c r="I2013" s="1"/>
      <c r="J2013" s="124">
        <f>J2012*0/100</f>
        <v>0</v>
      </c>
      <c r="K2013" s="1"/>
      <c r="L2013" s="1"/>
      <c r="M2013" s="1"/>
      <c r="N2013" s="1"/>
      <c r="O2013" s="1"/>
      <c r="P2013" s="1"/>
      <c r="Q2013" s="1"/>
      <c r="R2013" s="1"/>
      <c r="S2013" s="1"/>
      <c r="T2013" s="1"/>
      <c r="U2013" s="1"/>
      <c r="V2013" s="1"/>
      <c r="W2013" s="142"/>
    </row>
    <row r="2014" spans="1:23" x14ac:dyDescent="0.3">
      <c r="A2014" s="1"/>
      <c r="B2014" s="1"/>
      <c r="C2014" s="1"/>
      <c r="D2014" s="1"/>
      <c r="E2014" s="1"/>
      <c r="F2014" s="124" t="s">
        <v>41</v>
      </c>
      <c r="G2014" s="1"/>
      <c r="H2014" s="1"/>
      <c r="I2014" s="1"/>
      <c r="J2014" s="124">
        <f>SUM(J2012:J2013)</f>
        <v>21000</v>
      </c>
      <c r="K2014" s="1"/>
      <c r="L2014" s="1"/>
      <c r="M2014" s="1"/>
      <c r="N2014" s="1"/>
      <c r="O2014" s="1"/>
      <c r="P2014" s="1"/>
      <c r="Q2014" s="1"/>
      <c r="R2014" s="1"/>
      <c r="S2014" s="1"/>
      <c r="T2014" s="1">
        <f>SUM(T2007:T2013)</f>
        <v>21000</v>
      </c>
      <c r="U2014" s="1"/>
      <c r="V2014" s="1"/>
      <c r="W2014" s="142"/>
    </row>
    <row r="2015" spans="1:23" x14ac:dyDescent="0.3">
      <c r="A2015" s="1"/>
      <c r="B2015" s="1"/>
      <c r="C2015" s="1"/>
      <c r="D2015" s="1"/>
      <c r="E2015" s="1"/>
      <c r="F2015" s="124"/>
      <c r="G2015" s="1"/>
      <c r="H2015" s="1"/>
      <c r="I2015" s="1"/>
      <c r="J2015" s="124"/>
      <c r="K2015" s="1"/>
      <c r="L2015" s="1"/>
      <c r="M2015" s="1"/>
      <c r="N2015" s="1"/>
      <c r="O2015" s="1"/>
      <c r="P2015" s="1"/>
      <c r="Q2015" s="1"/>
      <c r="R2015" s="1"/>
      <c r="S2015" s="1"/>
      <c r="T2015" s="1"/>
      <c r="U2015" s="1"/>
      <c r="V2015" s="1"/>
      <c r="W2015" s="142"/>
    </row>
    <row r="2016" spans="1:23" ht="63" x14ac:dyDescent="0.3">
      <c r="A2016" s="16">
        <v>182</v>
      </c>
      <c r="B2016" s="16">
        <v>9200159580</v>
      </c>
      <c r="C2016" s="19">
        <v>46084</v>
      </c>
      <c r="D2016" s="16" t="s">
        <v>300</v>
      </c>
      <c r="E2016" s="16" t="s">
        <v>123</v>
      </c>
      <c r="F2016" s="39" t="s">
        <v>2328</v>
      </c>
      <c r="G2016" s="16">
        <v>350</v>
      </c>
      <c r="H2016" s="16" t="s">
        <v>111</v>
      </c>
      <c r="I2016" s="16">
        <v>260</v>
      </c>
      <c r="J2016" s="16">
        <f>G2016*I2016</f>
        <v>91000</v>
      </c>
      <c r="K2016" s="16">
        <v>34</v>
      </c>
      <c r="L2016" s="16" t="s">
        <v>205</v>
      </c>
      <c r="M2016" s="16" t="s">
        <v>91</v>
      </c>
      <c r="N2016" s="16" t="s">
        <v>2332</v>
      </c>
      <c r="O2016" s="119">
        <v>294</v>
      </c>
      <c r="P2016" s="16">
        <v>260</v>
      </c>
      <c r="Q2016" s="16">
        <f>O2016*P2016</f>
        <v>76440</v>
      </c>
      <c r="R2016" s="18">
        <v>0.18</v>
      </c>
      <c r="S2016" s="16">
        <f>Q2016*R2016</f>
        <v>13759.199999999999</v>
      </c>
      <c r="T2016" s="16">
        <f>Q2016+S2016</f>
        <v>90199.2</v>
      </c>
      <c r="U2016" s="16" t="s">
        <v>2424</v>
      </c>
      <c r="V2016" s="19">
        <v>46059</v>
      </c>
      <c r="W2016" s="142" t="s">
        <v>2610</v>
      </c>
    </row>
    <row r="2017" spans="1:23" ht="63" x14ac:dyDescent="0.3">
      <c r="A2017" s="1"/>
      <c r="B2017" s="1"/>
      <c r="C2017" s="1"/>
      <c r="D2017" s="1"/>
      <c r="E2017" s="16" t="s">
        <v>123</v>
      </c>
      <c r="F2017" s="39" t="s">
        <v>2327</v>
      </c>
      <c r="G2017" s="16">
        <v>150</v>
      </c>
      <c r="H2017" s="16" t="s">
        <v>111</v>
      </c>
      <c r="I2017" s="16">
        <v>280</v>
      </c>
      <c r="J2017" s="16">
        <f t="shared" ref="J2017:J2055" si="439">G2017*I2017</f>
        <v>42000</v>
      </c>
      <c r="K2017" s="16">
        <v>9</v>
      </c>
      <c r="L2017" s="16" t="s">
        <v>205</v>
      </c>
      <c r="M2017" s="16" t="s">
        <v>91</v>
      </c>
      <c r="N2017" s="16" t="s">
        <v>2329</v>
      </c>
      <c r="O2017" s="119">
        <v>110.96</v>
      </c>
      <c r="P2017" s="16">
        <v>280</v>
      </c>
      <c r="Q2017" s="16">
        <f t="shared" ref="Q2017:Q2035" si="440">O2017*P2017</f>
        <v>31068.799999999999</v>
      </c>
      <c r="R2017" s="18">
        <v>0.18</v>
      </c>
      <c r="S2017" s="16">
        <f t="shared" ref="S2017:S2035" si="441">Q2017*R2017</f>
        <v>5592.384</v>
      </c>
      <c r="T2017" s="16">
        <f t="shared" ref="T2017:T2035" si="442">Q2017+S2017</f>
        <v>36661.184000000001</v>
      </c>
      <c r="U2017" s="16" t="s">
        <v>2424</v>
      </c>
      <c r="V2017" s="19">
        <v>46059</v>
      </c>
      <c r="W2017" s="142" t="s">
        <v>2610</v>
      </c>
    </row>
    <row r="2018" spans="1:23" ht="25.2" x14ac:dyDescent="0.3">
      <c r="A2018" s="1"/>
      <c r="B2018" s="1"/>
      <c r="C2018" s="1"/>
      <c r="D2018" s="1"/>
      <c r="E2018" s="16" t="s">
        <v>123</v>
      </c>
      <c r="F2018" s="39" t="s">
        <v>2094</v>
      </c>
      <c r="G2018" s="16">
        <v>100</v>
      </c>
      <c r="H2018" s="16" t="s">
        <v>111</v>
      </c>
      <c r="I2018" s="16">
        <v>190</v>
      </c>
      <c r="J2018" s="16">
        <f t="shared" si="439"/>
        <v>19000</v>
      </c>
      <c r="K2018" s="16"/>
      <c r="L2018" s="16"/>
      <c r="M2018" s="16"/>
      <c r="N2018" s="16"/>
      <c r="O2018" s="119">
        <v>53</v>
      </c>
      <c r="P2018" s="16">
        <v>190</v>
      </c>
      <c r="Q2018" s="16">
        <f t="shared" si="440"/>
        <v>10070</v>
      </c>
      <c r="R2018" s="18">
        <v>0.18</v>
      </c>
      <c r="S2018" s="16">
        <f t="shared" si="441"/>
        <v>1812.6</v>
      </c>
      <c r="T2018" s="16">
        <f t="shared" si="442"/>
        <v>11882.6</v>
      </c>
      <c r="U2018" s="16" t="s">
        <v>2424</v>
      </c>
      <c r="V2018" s="19">
        <v>46059</v>
      </c>
      <c r="W2018" s="142" t="s">
        <v>2610</v>
      </c>
    </row>
    <row r="2019" spans="1:23" ht="37.799999999999997" x14ac:dyDescent="0.3">
      <c r="A2019" s="1"/>
      <c r="B2019" s="1"/>
      <c r="C2019" s="1"/>
      <c r="D2019" s="1"/>
      <c r="E2019" s="16" t="s">
        <v>123</v>
      </c>
      <c r="F2019" s="39" t="s">
        <v>2095</v>
      </c>
      <c r="G2019" s="16">
        <v>1</v>
      </c>
      <c r="H2019" s="16" t="s">
        <v>28</v>
      </c>
      <c r="I2019" s="16">
        <v>15800</v>
      </c>
      <c r="J2019" s="16">
        <f t="shared" si="439"/>
        <v>15800</v>
      </c>
      <c r="K2019" s="16">
        <v>1</v>
      </c>
      <c r="L2019" s="16" t="s">
        <v>28</v>
      </c>
      <c r="M2019" s="16" t="s">
        <v>91</v>
      </c>
      <c r="N2019" s="16" t="s">
        <v>2392</v>
      </c>
      <c r="O2019" s="16">
        <v>1</v>
      </c>
      <c r="P2019" s="16">
        <v>15800</v>
      </c>
      <c r="Q2019" s="16">
        <f t="shared" si="440"/>
        <v>15800</v>
      </c>
      <c r="R2019" s="18">
        <v>0.18</v>
      </c>
      <c r="S2019" s="16">
        <f t="shared" si="441"/>
        <v>2844</v>
      </c>
      <c r="T2019" s="16">
        <f t="shared" si="442"/>
        <v>18644</v>
      </c>
      <c r="U2019" s="16" t="s">
        <v>2424</v>
      </c>
      <c r="V2019" s="19">
        <v>46059</v>
      </c>
      <c r="W2019" s="142" t="s">
        <v>2610</v>
      </c>
    </row>
    <row r="2020" spans="1:23" ht="25.2" x14ac:dyDescent="0.3">
      <c r="A2020" s="1"/>
      <c r="B2020" s="1"/>
      <c r="C2020" s="1"/>
      <c r="D2020" s="1"/>
      <c r="E2020" s="16" t="s">
        <v>123</v>
      </c>
      <c r="F2020" s="39" t="s">
        <v>2096</v>
      </c>
      <c r="G2020" s="16">
        <v>20</v>
      </c>
      <c r="H2020" s="16" t="s">
        <v>252</v>
      </c>
      <c r="I2020" s="16">
        <v>750</v>
      </c>
      <c r="J2020" s="16">
        <f t="shared" si="439"/>
        <v>15000</v>
      </c>
      <c r="K2020" s="16">
        <v>20</v>
      </c>
      <c r="L2020" s="16" t="s">
        <v>308</v>
      </c>
      <c r="M2020" s="16" t="s">
        <v>91</v>
      </c>
      <c r="N2020" s="16" t="s">
        <v>2142</v>
      </c>
      <c r="O2020" s="16">
        <v>20</v>
      </c>
      <c r="P2020" s="16">
        <v>750</v>
      </c>
      <c r="Q2020" s="16">
        <f t="shared" si="440"/>
        <v>15000</v>
      </c>
      <c r="R2020" s="18">
        <v>0.18</v>
      </c>
      <c r="S2020" s="16">
        <f t="shared" si="441"/>
        <v>2700</v>
      </c>
      <c r="T2020" s="16">
        <f t="shared" si="442"/>
        <v>17700</v>
      </c>
      <c r="U2020" s="16" t="s">
        <v>2424</v>
      </c>
      <c r="V2020" s="19">
        <v>46059</v>
      </c>
      <c r="W2020" s="142" t="s">
        <v>2610</v>
      </c>
    </row>
    <row r="2021" spans="1:23" x14ac:dyDescent="0.3">
      <c r="A2021" s="1"/>
      <c r="B2021" s="1"/>
      <c r="C2021" s="1"/>
      <c r="D2021" s="1"/>
      <c r="E2021" s="16" t="s">
        <v>123</v>
      </c>
      <c r="F2021" s="16" t="s">
        <v>2097</v>
      </c>
      <c r="G2021" s="16">
        <v>4</v>
      </c>
      <c r="H2021" s="16" t="s">
        <v>28</v>
      </c>
      <c r="I2021" s="16">
        <v>325</v>
      </c>
      <c r="J2021" s="16">
        <f t="shared" si="439"/>
        <v>1300</v>
      </c>
      <c r="K2021" s="16">
        <v>4</v>
      </c>
      <c r="L2021" s="16" t="s">
        <v>28</v>
      </c>
      <c r="M2021" s="16" t="s">
        <v>91</v>
      </c>
      <c r="N2021" s="16" t="s">
        <v>2142</v>
      </c>
      <c r="O2021" s="16">
        <v>4</v>
      </c>
      <c r="P2021" s="16">
        <v>325</v>
      </c>
      <c r="Q2021" s="16">
        <f t="shared" si="440"/>
        <v>1300</v>
      </c>
      <c r="R2021" s="18">
        <v>0.18</v>
      </c>
      <c r="S2021" s="16">
        <f t="shared" si="441"/>
        <v>234</v>
      </c>
      <c r="T2021" s="16">
        <f t="shared" si="442"/>
        <v>1534</v>
      </c>
      <c r="U2021" s="16" t="s">
        <v>2424</v>
      </c>
      <c r="V2021" s="19">
        <v>46059</v>
      </c>
      <c r="W2021" s="142" t="s">
        <v>2610</v>
      </c>
    </row>
    <row r="2022" spans="1:23" x14ac:dyDescent="0.3">
      <c r="A2022" s="1"/>
      <c r="B2022" s="1"/>
      <c r="C2022" s="1"/>
      <c r="D2022" s="1"/>
      <c r="E2022" s="16" t="s">
        <v>123</v>
      </c>
      <c r="F2022" s="16" t="s">
        <v>2098</v>
      </c>
      <c r="G2022" s="16">
        <v>4</v>
      </c>
      <c r="H2022" s="16" t="s">
        <v>28</v>
      </c>
      <c r="I2022" s="16">
        <v>325</v>
      </c>
      <c r="J2022" s="16">
        <f t="shared" si="439"/>
        <v>1300</v>
      </c>
      <c r="K2022" s="16"/>
      <c r="L2022" s="16"/>
      <c r="M2022" s="16" t="s">
        <v>91</v>
      </c>
      <c r="N2022" s="16" t="s">
        <v>2142</v>
      </c>
      <c r="O2022" s="16">
        <v>4</v>
      </c>
      <c r="P2022" s="16">
        <v>325</v>
      </c>
      <c r="Q2022" s="16">
        <f t="shared" si="440"/>
        <v>1300</v>
      </c>
      <c r="R2022" s="18">
        <v>0.18</v>
      </c>
      <c r="S2022" s="16">
        <f t="shared" si="441"/>
        <v>234</v>
      </c>
      <c r="T2022" s="16">
        <f t="shared" si="442"/>
        <v>1534</v>
      </c>
      <c r="U2022" s="16" t="s">
        <v>2424</v>
      </c>
      <c r="V2022" s="19">
        <v>46059</v>
      </c>
      <c r="W2022" s="142" t="s">
        <v>2610</v>
      </c>
    </row>
    <row r="2023" spans="1:23" x14ac:dyDescent="0.3">
      <c r="A2023" s="1"/>
      <c r="B2023" s="1"/>
      <c r="C2023" s="1"/>
      <c r="D2023" s="1"/>
      <c r="E2023" s="16" t="s">
        <v>123</v>
      </c>
      <c r="F2023" s="16" t="s">
        <v>2099</v>
      </c>
      <c r="G2023" s="16">
        <v>6</v>
      </c>
      <c r="H2023" s="16" t="s">
        <v>28</v>
      </c>
      <c r="I2023" s="16">
        <v>175</v>
      </c>
      <c r="J2023" s="16">
        <f t="shared" si="439"/>
        <v>1050</v>
      </c>
      <c r="K2023" s="16">
        <v>6</v>
      </c>
      <c r="L2023" s="16" t="s">
        <v>28</v>
      </c>
      <c r="M2023" s="16" t="s">
        <v>91</v>
      </c>
      <c r="N2023" s="16" t="s">
        <v>2142</v>
      </c>
      <c r="O2023" s="16">
        <v>6</v>
      </c>
      <c r="P2023" s="16">
        <v>175</v>
      </c>
      <c r="Q2023" s="16">
        <f t="shared" si="440"/>
        <v>1050</v>
      </c>
      <c r="R2023" s="18">
        <v>0.18</v>
      </c>
      <c r="S2023" s="16">
        <f t="shared" si="441"/>
        <v>189</v>
      </c>
      <c r="T2023" s="16">
        <f t="shared" si="442"/>
        <v>1239</v>
      </c>
      <c r="U2023" s="16" t="s">
        <v>2424</v>
      </c>
      <c r="V2023" s="19">
        <v>46059</v>
      </c>
      <c r="W2023" s="142" t="s">
        <v>2610</v>
      </c>
    </row>
    <row r="2024" spans="1:23" ht="37.799999999999997" x14ac:dyDescent="0.3">
      <c r="A2024" s="1"/>
      <c r="B2024" s="1"/>
      <c r="C2024" s="1"/>
      <c r="D2024" s="1"/>
      <c r="E2024" s="16" t="s">
        <v>123</v>
      </c>
      <c r="F2024" s="39" t="s">
        <v>2100</v>
      </c>
      <c r="G2024" s="16">
        <v>2</v>
      </c>
      <c r="H2024" s="16" t="s">
        <v>28</v>
      </c>
      <c r="I2024" s="16">
        <v>5000</v>
      </c>
      <c r="J2024" s="16">
        <f t="shared" si="439"/>
        <v>10000</v>
      </c>
      <c r="K2024" s="16">
        <v>2</v>
      </c>
      <c r="L2024" s="16" t="s">
        <v>28</v>
      </c>
      <c r="M2024" s="16" t="s">
        <v>91</v>
      </c>
      <c r="N2024" s="16" t="s">
        <v>2392</v>
      </c>
      <c r="O2024" s="16">
        <v>2</v>
      </c>
      <c r="P2024" s="16">
        <v>5000</v>
      </c>
      <c r="Q2024" s="16">
        <f t="shared" si="440"/>
        <v>10000</v>
      </c>
      <c r="R2024" s="18">
        <v>0.18</v>
      </c>
      <c r="S2024" s="16">
        <f t="shared" si="441"/>
        <v>1800</v>
      </c>
      <c r="T2024" s="16">
        <f t="shared" si="442"/>
        <v>11800</v>
      </c>
      <c r="U2024" s="16" t="s">
        <v>2424</v>
      </c>
      <c r="V2024" s="19">
        <v>46059</v>
      </c>
      <c r="W2024" s="142" t="s">
        <v>2610</v>
      </c>
    </row>
    <row r="2025" spans="1:23" x14ac:dyDescent="0.3">
      <c r="A2025" s="1"/>
      <c r="B2025" s="1"/>
      <c r="C2025" s="1"/>
      <c r="D2025" s="1"/>
      <c r="E2025" s="16" t="s">
        <v>123</v>
      </c>
      <c r="F2025" s="16" t="s">
        <v>2101</v>
      </c>
      <c r="G2025" s="16">
        <v>4</v>
      </c>
      <c r="H2025" s="16" t="s">
        <v>28</v>
      </c>
      <c r="I2025" s="16">
        <v>986</v>
      </c>
      <c r="J2025" s="16">
        <f t="shared" si="439"/>
        <v>3944</v>
      </c>
      <c r="K2025" s="16">
        <v>4</v>
      </c>
      <c r="L2025" s="16" t="s">
        <v>28</v>
      </c>
      <c r="M2025" s="16" t="s">
        <v>91</v>
      </c>
      <c r="N2025" s="16" t="s">
        <v>2392</v>
      </c>
      <c r="O2025" s="16">
        <v>4</v>
      </c>
      <c r="P2025" s="16">
        <v>986</v>
      </c>
      <c r="Q2025" s="16">
        <f t="shared" si="440"/>
        <v>3944</v>
      </c>
      <c r="R2025" s="18">
        <v>0.18</v>
      </c>
      <c r="S2025" s="16">
        <f t="shared" si="441"/>
        <v>709.92</v>
      </c>
      <c r="T2025" s="16">
        <f t="shared" si="442"/>
        <v>4653.92</v>
      </c>
      <c r="U2025" s="16" t="s">
        <v>2424</v>
      </c>
      <c r="V2025" s="19">
        <v>46059</v>
      </c>
      <c r="W2025" s="142" t="s">
        <v>2610</v>
      </c>
    </row>
    <row r="2026" spans="1:23" x14ac:dyDescent="0.3">
      <c r="A2026" s="1"/>
      <c r="B2026" s="1"/>
      <c r="C2026" s="1"/>
      <c r="D2026" s="1"/>
      <c r="E2026" s="16" t="s">
        <v>123</v>
      </c>
      <c r="F2026" s="16" t="s">
        <v>2102</v>
      </c>
      <c r="G2026" s="16">
        <v>3</v>
      </c>
      <c r="H2026" s="16" t="s">
        <v>28</v>
      </c>
      <c r="I2026" s="16">
        <v>910</v>
      </c>
      <c r="J2026" s="16">
        <f t="shared" si="439"/>
        <v>2730</v>
      </c>
      <c r="K2026" s="16">
        <v>4</v>
      </c>
      <c r="L2026" s="16" t="s">
        <v>28</v>
      </c>
      <c r="M2026" s="16" t="s">
        <v>91</v>
      </c>
      <c r="N2026" s="16" t="s">
        <v>2392</v>
      </c>
      <c r="O2026" s="16">
        <v>3</v>
      </c>
      <c r="P2026" s="16">
        <v>910</v>
      </c>
      <c r="Q2026" s="16">
        <f t="shared" si="440"/>
        <v>2730</v>
      </c>
      <c r="R2026" s="18">
        <v>0.18</v>
      </c>
      <c r="S2026" s="16">
        <f t="shared" si="441"/>
        <v>491.4</v>
      </c>
      <c r="T2026" s="16">
        <f t="shared" si="442"/>
        <v>3221.4</v>
      </c>
      <c r="U2026" s="16" t="s">
        <v>2424</v>
      </c>
      <c r="V2026" s="19">
        <v>46059</v>
      </c>
      <c r="W2026" s="142" t="s">
        <v>2610</v>
      </c>
    </row>
    <row r="2027" spans="1:23" x14ac:dyDescent="0.3">
      <c r="A2027" s="1"/>
      <c r="B2027" s="1"/>
      <c r="C2027" s="1"/>
      <c r="D2027" s="1"/>
      <c r="E2027" s="16" t="s">
        <v>123</v>
      </c>
      <c r="F2027" s="16" t="s">
        <v>2103</v>
      </c>
      <c r="G2027" s="16">
        <v>6</v>
      </c>
      <c r="H2027" s="16" t="s">
        <v>28</v>
      </c>
      <c r="I2027" s="16">
        <v>225</v>
      </c>
      <c r="J2027" s="16">
        <f t="shared" si="439"/>
        <v>1350</v>
      </c>
      <c r="K2027" s="16">
        <v>6</v>
      </c>
      <c r="L2027" s="16" t="s">
        <v>28</v>
      </c>
      <c r="M2027" s="16" t="s">
        <v>91</v>
      </c>
      <c r="N2027" s="16" t="s">
        <v>2392</v>
      </c>
      <c r="O2027" s="16">
        <v>6</v>
      </c>
      <c r="P2027" s="16">
        <v>225</v>
      </c>
      <c r="Q2027" s="16">
        <f t="shared" si="440"/>
        <v>1350</v>
      </c>
      <c r="R2027" s="18">
        <v>0.18</v>
      </c>
      <c r="S2027" s="16">
        <f t="shared" si="441"/>
        <v>243</v>
      </c>
      <c r="T2027" s="16">
        <f t="shared" si="442"/>
        <v>1593</v>
      </c>
      <c r="U2027" s="16" t="s">
        <v>2424</v>
      </c>
      <c r="V2027" s="19">
        <v>46059</v>
      </c>
      <c r="W2027" s="142" t="s">
        <v>2610</v>
      </c>
    </row>
    <row r="2028" spans="1:23" ht="25.2" x14ac:dyDescent="0.3">
      <c r="A2028" s="1"/>
      <c r="B2028" s="1"/>
      <c r="C2028" s="1"/>
      <c r="D2028" s="1"/>
      <c r="E2028" s="16" t="s">
        <v>123</v>
      </c>
      <c r="F2028" s="39" t="s">
        <v>2104</v>
      </c>
      <c r="G2028" s="16">
        <v>1</v>
      </c>
      <c r="H2028" s="16" t="s">
        <v>87</v>
      </c>
      <c r="I2028" s="16">
        <v>6500</v>
      </c>
      <c r="J2028" s="16">
        <f t="shared" si="439"/>
        <v>6500</v>
      </c>
      <c r="K2028" s="16"/>
      <c r="L2028" s="16"/>
      <c r="M2028" s="16"/>
      <c r="N2028" s="16"/>
      <c r="O2028" s="16">
        <v>1</v>
      </c>
      <c r="P2028" s="16">
        <v>6500</v>
      </c>
      <c r="Q2028" s="16">
        <f t="shared" si="440"/>
        <v>6500</v>
      </c>
      <c r="R2028" s="18">
        <v>0.18</v>
      </c>
      <c r="S2028" s="16">
        <f t="shared" si="441"/>
        <v>1170</v>
      </c>
      <c r="T2028" s="16">
        <f t="shared" si="442"/>
        <v>7670</v>
      </c>
      <c r="U2028" s="16" t="s">
        <v>2424</v>
      </c>
      <c r="V2028" s="19">
        <v>46059</v>
      </c>
      <c r="W2028" s="142" t="s">
        <v>2610</v>
      </c>
    </row>
    <row r="2029" spans="1:23" ht="25.2" x14ac:dyDescent="0.3">
      <c r="A2029" s="1"/>
      <c r="B2029" s="1"/>
      <c r="C2029" s="1"/>
      <c r="D2029" s="1"/>
      <c r="E2029" s="85" t="s">
        <v>123</v>
      </c>
      <c r="F2029" s="103" t="s">
        <v>2105</v>
      </c>
      <c r="G2029" s="85">
        <v>1</v>
      </c>
      <c r="H2029" s="85" t="s">
        <v>87</v>
      </c>
      <c r="I2029" s="85">
        <v>2500</v>
      </c>
      <c r="J2029" s="85">
        <f t="shared" si="439"/>
        <v>2500</v>
      </c>
      <c r="K2029" s="85"/>
      <c r="L2029" s="85"/>
      <c r="M2029" s="85"/>
      <c r="N2029" s="85"/>
      <c r="O2029" s="85"/>
      <c r="P2029" s="85">
        <v>2500</v>
      </c>
      <c r="Q2029" s="85">
        <f t="shared" si="440"/>
        <v>0</v>
      </c>
      <c r="R2029" s="104">
        <v>0.18</v>
      </c>
      <c r="S2029" s="85">
        <f t="shared" si="441"/>
        <v>0</v>
      </c>
      <c r="T2029" s="85">
        <f t="shared" si="442"/>
        <v>0</v>
      </c>
      <c r="U2029" s="85"/>
      <c r="V2029" s="94"/>
      <c r="W2029" s="142"/>
    </row>
    <row r="2030" spans="1:23" ht="25.2" x14ac:dyDescent="0.3">
      <c r="A2030" s="1"/>
      <c r="B2030" s="1"/>
      <c r="C2030" s="1"/>
      <c r="D2030" s="1"/>
      <c r="E2030" s="16" t="s">
        <v>123</v>
      </c>
      <c r="F2030" s="39" t="s">
        <v>2106</v>
      </c>
      <c r="G2030" s="16">
        <v>4</v>
      </c>
      <c r="H2030" s="16" t="s">
        <v>28</v>
      </c>
      <c r="I2030" s="16">
        <v>1180</v>
      </c>
      <c r="J2030" s="16">
        <f t="shared" si="439"/>
        <v>4720</v>
      </c>
      <c r="K2030" s="16">
        <v>4</v>
      </c>
      <c r="L2030" s="16" t="s">
        <v>28</v>
      </c>
      <c r="M2030" s="16" t="s">
        <v>91</v>
      </c>
      <c r="N2030" s="16" t="s">
        <v>2392</v>
      </c>
      <c r="O2030" s="16">
        <v>4</v>
      </c>
      <c r="P2030" s="16">
        <v>1180</v>
      </c>
      <c r="Q2030" s="16">
        <f t="shared" si="440"/>
        <v>4720</v>
      </c>
      <c r="R2030" s="18">
        <v>0.18</v>
      </c>
      <c r="S2030" s="16">
        <f t="shared" si="441"/>
        <v>849.6</v>
      </c>
      <c r="T2030" s="16">
        <f t="shared" si="442"/>
        <v>5569.6</v>
      </c>
      <c r="U2030" s="16" t="s">
        <v>2424</v>
      </c>
      <c r="V2030" s="19">
        <v>46059</v>
      </c>
      <c r="W2030" s="142" t="s">
        <v>2610</v>
      </c>
    </row>
    <row r="2031" spans="1:23" x14ac:dyDescent="0.3">
      <c r="A2031" s="1"/>
      <c r="B2031" s="1"/>
      <c r="C2031" s="1"/>
      <c r="D2031" s="1"/>
      <c r="E2031" s="16" t="s">
        <v>123</v>
      </c>
      <c r="F2031" s="39" t="s">
        <v>2107</v>
      </c>
      <c r="G2031" s="16">
        <v>1</v>
      </c>
      <c r="H2031" s="16" t="s">
        <v>87</v>
      </c>
      <c r="I2031" s="16">
        <v>4500</v>
      </c>
      <c r="J2031" s="16">
        <f t="shared" si="439"/>
        <v>4500</v>
      </c>
      <c r="K2031" s="16"/>
      <c r="L2031" s="16"/>
      <c r="M2031" s="16" t="s">
        <v>91</v>
      </c>
      <c r="N2031" s="16" t="s">
        <v>2392</v>
      </c>
      <c r="O2031" s="16">
        <v>1</v>
      </c>
      <c r="P2031" s="16">
        <v>4500</v>
      </c>
      <c r="Q2031" s="16">
        <f t="shared" si="440"/>
        <v>4500</v>
      </c>
      <c r="R2031" s="18">
        <v>0.18</v>
      </c>
      <c r="S2031" s="16">
        <f t="shared" si="441"/>
        <v>810</v>
      </c>
      <c r="T2031" s="16">
        <f t="shared" si="442"/>
        <v>5310</v>
      </c>
      <c r="U2031" s="16" t="s">
        <v>2424</v>
      </c>
      <c r="V2031" s="19">
        <v>46059</v>
      </c>
      <c r="W2031" s="142" t="s">
        <v>2610</v>
      </c>
    </row>
    <row r="2032" spans="1:23" ht="50.4" x14ac:dyDescent="0.3">
      <c r="A2032" s="1"/>
      <c r="B2032" s="1"/>
      <c r="C2032" s="1"/>
      <c r="D2032" s="1"/>
      <c r="E2032" s="85" t="s">
        <v>123</v>
      </c>
      <c r="F2032" s="103" t="s">
        <v>2108</v>
      </c>
      <c r="G2032" s="85">
        <v>60</v>
      </c>
      <c r="H2032" s="85" t="s">
        <v>111</v>
      </c>
      <c r="I2032" s="85">
        <v>375</v>
      </c>
      <c r="J2032" s="85">
        <f t="shared" si="439"/>
        <v>22500</v>
      </c>
      <c r="K2032" s="85"/>
      <c r="L2032" s="85"/>
      <c r="M2032" s="85"/>
      <c r="N2032" s="85"/>
      <c r="O2032" s="85"/>
      <c r="P2032" s="85">
        <v>375</v>
      </c>
      <c r="Q2032" s="85">
        <f t="shared" si="440"/>
        <v>0</v>
      </c>
      <c r="R2032" s="104">
        <v>0.18</v>
      </c>
      <c r="S2032" s="85">
        <f t="shared" si="441"/>
        <v>0</v>
      </c>
      <c r="T2032" s="85">
        <f t="shared" si="442"/>
        <v>0</v>
      </c>
      <c r="U2032" s="85"/>
      <c r="V2032" s="94"/>
      <c r="W2032" s="142"/>
    </row>
    <row r="2033" spans="1:23" x14ac:dyDescent="0.3">
      <c r="A2033" s="1"/>
      <c r="B2033" s="1"/>
      <c r="C2033" s="1"/>
      <c r="D2033" s="1"/>
      <c r="E2033" s="16" t="s">
        <v>123</v>
      </c>
      <c r="F2033" s="16" t="s">
        <v>2109</v>
      </c>
      <c r="G2033" s="16">
        <v>1</v>
      </c>
      <c r="H2033" s="16" t="s">
        <v>28</v>
      </c>
      <c r="I2033" s="16">
        <v>3200</v>
      </c>
      <c r="J2033" s="16">
        <f t="shared" si="439"/>
        <v>3200</v>
      </c>
      <c r="K2033" s="16">
        <v>1</v>
      </c>
      <c r="L2033" s="16" t="s">
        <v>28</v>
      </c>
      <c r="M2033" s="16" t="s">
        <v>91</v>
      </c>
      <c r="N2033" s="16" t="s">
        <v>2392</v>
      </c>
      <c r="O2033" s="16">
        <v>1</v>
      </c>
      <c r="P2033" s="16">
        <v>3200</v>
      </c>
      <c r="Q2033" s="16">
        <f t="shared" si="440"/>
        <v>3200</v>
      </c>
      <c r="R2033" s="18">
        <v>0.18</v>
      </c>
      <c r="S2033" s="16">
        <f t="shared" si="441"/>
        <v>576</v>
      </c>
      <c r="T2033" s="16">
        <f t="shared" si="442"/>
        <v>3776</v>
      </c>
      <c r="U2033" s="16" t="s">
        <v>2424</v>
      </c>
      <c r="V2033" s="19">
        <v>46059</v>
      </c>
      <c r="W2033" s="142" t="s">
        <v>2610</v>
      </c>
    </row>
    <row r="2034" spans="1:23" x14ac:dyDescent="0.3">
      <c r="A2034" s="1"/>
      <c r="B2034" s="1"/>
      <c r="C2034" s="1"/>
      <c r="D2034" s="1"/>
      <c r="E2034" s="16" t="s">
        <v>123</v>
      </c>
      <c r="F2034" s="16" t="s">
        <v>2110</v>
      </c>
      <c r="G2034" s="16">
        <v>1000</v>
      </c>
      <c r="H2034" s="16" t="s">
        <v>111</v>
      </c>
      <c r="I2034" s="16">
        <v>12</v>
      </c>
      <c r="J2034" s="16">
        <f t="shared" si="439"/>
        <v>12000</v>
      </c>
      <c r="K2034" s="16">
        <v>5</v>
      </c>
      <c r="L2034" s="16" t="s">
        <v>141</v>
      </c>
      <c r="M2034" s="16" t="s">
        <v>91</v>
      </c>
      <c r="N2034" s="16" t="s">
        <v>2392</v>
      </c>
      <c r="O2034" s="119">
        <v>114</v>
      </c>
      <c r="P2034" s="16">
        <v>12</v>
      </c>
      <c r="Q2034" s="16">
        <f t="shared" si="440"/>
        <v>1368</v>
      </c>
      <c r="R2034" s="18">
        <v>0.18</v>
      </c>
      <c r="S2034" s="16">
        <f t="shared" si="441"/>
        <v>246.23999999999998</v>
      </c>
      <c r="T2034" s="16">
        <f t="shared" si="442"/>
        <v>1614.24</v>
      </c>
      <c r="U2034" s="16" t="s">
        <v>2424</v>
      </c>
      <c r="V2034" s="19">
        <v>46059</v>
      </c>
      <c r="W2034" s="142" t="s">
        <v>2610</v>
      </c>
    </row>
    <row r="2035" spans="1:23" x14ac:dyDescent="0.3">
      <c r="A2035" s="1"/>
      <c r="B2035" s="1"/>
      <c r="C2035" s="1"/>
      <c r="D2035" s="1"/>
      <c r="E2035" s="16" t="s">
        <v>123</v>
      </c>
      <c r="F2035" s="16" t="s">
        <v>2111</v>
      </c>
      <c r="G2035" s="16">
        <v>1000</v>
      </c>
      <c r="H2035" s="16" t="s">
        <v>111</v>
      </c>
      <c r="I2035" s="16">
        <v>23</v>
      </c>
      <c r="J2035" s="16">
        <f t="shared" si="439"/>
        <v>23000</v>
      </c>
      <c r="K2035" s="16">
        <v>1</v>
      </c>
      <c r="L2035" s="16" t="s">
        <v>53</v>
      </c>
      <c r="M2035" s="16" t="s">
        <v>91</v>
      </c>
      <c r="N2035" s="16" t="s">
        <v>2392</v>
      </c>
      <c r="O2035" s="119">
        <v>725</v>
      </c>
      <c r="P2035" s="16">
        <v>23</v>
      </c>
      <c r="Q2035" s="16">
        <f t="shared" si="440"/>
        <v>16675</v>
      </c>
      <c r="R2035" s="18">
        <v>0.18</v>
      </c>
      <c r="S2035" s="16">
        <f t="shared" si="441"/>
        <v>3001.5</v>
      </c>
      <c r="T2035" s="16">
        <f t="shared" si="442"/>
        <v>19676.5</v>
      </c>
      <c r="U2035" s="16" t="s">
        <v>2424</v>
      </c>
      <c r="V2035" s="19">
        <v>46059</v>
      </c>
      <c r="W2035" s="142" t="s">
        <v>2610</v>
      </c>
    </row>
    <row r="2036" spans="1:23" x14ac:dyDescent="0.3">
      <c r="A2036" s="1"/>
      <c r="B2036" s="1"/>
      <c r="C2036" s="1"/>
      <c r="D2036" s="1"/>
      <c r="E2036" s="1"/>
      <c r="F2036" s="124" t="s">
        <v>39</v>
      </c>
      <c r="G2036" s="1"/>
      <c r="H2036" s="1"/>
      <c r="I2036" s="1"/>
      <c r="J2036" s="124">
        <f>SUM(J2016:J2035)</f>
        <v>283394</v>
      </c>
      <c r="K2036" s="1"/>
      <c r="L2036" s="1"/>
      <c r="M2036" s="1"/>
      <c r="N2036" s="1"/>
      <c r="O2036" s="1"/>
      <c r="P2036" s="1"/>
      <c r="Q2036" s="1"/>
      <c r="R2036" s="1"/>
      <c r="S2036" s="1"/>
      <c r="T2036" s="1"/>
      <c r="U2036" s="1"/>
      <c r="V2036" s="1"/>
      <c r="W2036" s="142"/>
    </row>
    <row r="2037" spans="1:23" x14ac:dyDescent="0.3">
      <c r="A2037" s="1"/>
      <c r="B2037" s="1"/>
      <c r="C2037" s="1"/>
      <c r="D2037" s="1"/>
      <c r="E2037" s="1"/>
      <c r="F2037" s="124" t="s">
        <v>187</v>
      </c>
      <c r="G2037" s="1"/>
      <c r="H2037" s="1"/>
      <c r="I2037" s="1"/>
      <c r="J2037" s="124">
        <f>J2036*18/100</f>
        <v>51010.92</v>
      </c>
      <c r="K2037" s="1"/>
      <c r="L2037" s="1"/>
      <c r="M2037" s="1"/>
      <c r="N2037" s="1"/>
      <c r="O2037" s="1"/>
      <c r="P2037" s="1"/>
      <c r="Q2037" s="1"/>
      <c r="R2037" s="1"/>
      <c r="S2037" s="1"/>
      <c r="T2037" s="1"/>
      <c r="U2037" s="1"/>
      <c r="V2037" s="1"/>
      <c r="W2037" s="142"/>
    </row>
    <row r="2038" spans="1:23" x14ac:dyDescent="0.3">
      <c r="A2038" s="1"/>
      <c r="B2038" s="1"/>
      <c r="C2038" s="1"/>
      <c r="D2038" s="1"/>
      <c r="E2038" s="1"/>
      <c r="F2038" s="124" t="s">
        <v>41</v>
      </c>
      <c r="G2038" s="1"/>
      <c r="H2038" s="1"/>
      <c r="I2038" s="1"/>
      <c r="J2038" s="124">
        <f>SUM(J2036:J2037)</f>
        <v>334404.92</v>
      </c>
      <c r="K2038" s="1"/>
      <c r="L2038" s="1"/>
      <c r="M2038" s="1"/>
      <c r="N2038" s="1"/>
      <c r="O2038" s="1"/>
      <c r="P2038" s="1"/>
      <c r="Q2038" s="1">
        <f>SUM(Q2016:Q2037)</f>
        <v>207015.8</v>
      </c>
      <c r="R2038" s="1"/>
      <c r="S2038" s="1"/>
      <c r="T2038" s="1">
        <f>SUM(T2016:T2037)</f>
        <v>244278.644</v>
      </c>
      <c r="U2038" s="1"/>
      <c r="V2038" s="1"/>
      <c r="W2038" s="142"/>
    </row>
    <row r="2039" spans="1:23" x14ac:dyDescent="0.3">
      <c r="A2039" s="1"/>
      <c r="B2039" s="1"/>
      <c r="C2039" s="1"/>
      <c r="D2039" s="1"/>
      <c r="E2039" s="1"/>
      <c r="F2039" s="1"/>
      <c r="G2039" s="1"/>
      <c r="H2039" s="1"/>
      <c r="I2039" s="1"/>
      <c r="J2039" s="1"/>
      <c r="K2039" s="1"/>
      <c r="L2039" s="1"/>
      <c r="M2039" s="1"/>
      <c r="N2039" s="1"/>
      <c r="O2039" s="1"/>
      <c r="P2039" s="1"/>
      <c r="Q2039" s="1"/>
      <c r="R2039" s="1"/>
      <c r="S2039" s="1"/>
      <c r="T2039" s="1"/>
      <c r="U2039" s="1"/>
      <c r="V2039" s="1"/>
      <c r="W2039" s="142"/>
    </row>
    <row r="2040" spans="1:23" ht="25.2" x14ac:dyDescent="0.3">
      <c r="A2040" s="16">
        <v>183</v>
      </c>
      <c r="B2040" s="16">
        <v>8100023444</v>
      </c>
      <c r="C2040" s="19">
        <v>45780</v>
      </c>
      <c r="D2040" s="16" t="s">
        <v>43</v>
      </c>
      <c r="E2040" s="16" t="s">
        <v>127</v>
      </c>
      <c r="F2040" s="39" t="s">
        <v>2112</v>
      </c>
      <c r="G2040" s="16">
        <v>3</v>
      </c>
      <c r="H2040" s="16" t="s">
        <v>28</v>
      </c>
      <c r="I2040" s="16">
        <v>44275</v>
      </c>
      <c r="J2040" s="16">
        <f t="shared" si="439"/>
        <v>132825</v>
      </c>
      <c r="K2040" s="16"/>
      <c r="L2040" s="16"/>
      <c r="M2040" s="16"/>
      <c r="N2040" s="16"/>
      <c r="O2040" s="16">
        <v>3</v>
      </c>
      <c r="P2040" s="16">
        <v>44275</v>
      </c>
      <c r="Q2040" s="16">
        <f>O2040*P2040</f>
        <v>132825</v>
      </c>
      <c r="R2040" s="18">
        <v>0</v>
      </c>
      <c r="S2040" s="16">
        <v>0</v>
      </c>
      <c r="T2040" s="16">
        <f>Q2040+S2040</f>
        <v>132825</v>
      </c>
      <c r="U2040" s="16" t="s">
        <v>2164</v>
      </c>
      <c r="V2040" s="19" t="s">
        <v>2157</v>
      </c>
      <c r="W2040" s="142" t="s">
        <v>2177</v>
      </c>
    </row>
    <row r="2041" spans="1:23" x14ac:dyDescent="0.3">
      <c r="A2041" s="1"/>
      <c r="B2041" s="1"/>
      <c r="C2041" s="1"/>
      <c r="D2041" s="1"/>
      <c r="E2041" s="16" t="s">
        <v>2124</v>
      </c>
      <c r="F2041" s="16" t="s">
        <v>2113</v>
      </c>
      <c r="G2041" s="16">
        <v>1</v>
      </c>
      <c r="H2041" s="16" t="s">
        <v>28</v>
      </c>
      <c r="I2041" s="16">
        <v>3500</v>
      </c>
      <c r="J2041" s="16">
        <f t="shared" si="439"/>
        <v>3500</v>
      </c>
      <c r="K2041" s="16"/>
      <c r="L2041" s="16"/>
      <c r="M2041" s="16"/>
      <c r="N2041" s="16"/>
      <c r="O2041" s="16">
        <v>1</v>
      </c>
      <c r="P2041" s="16">
        <v>3500</v>
      </c>
      <c r="Q2041" s="16">
        <f>O2041*P2041</f>
        <v>3500</v>
      </c>
      <c r="R2041" s="18">
        <v>0</v>
      </c>
      <c r="S2041" s="16">
        <v>0</v>
      </c>
      <c r="T2041" s="16">
        <f>Q2041+S2041</f>
        <v>3500</v>
      </c>
      <c r="U2041" s="97" t="s">
        <v>2183</v>
      </c>
      <c r="V2041" s="110" t="s">
        <v>2180</v>
      </c>
      <c r="W2041" s="142" t="s">
        <v>2231</v>
      </c>
    </row>
    <row r="2042" spans="1:23" x14ac:dyDescent="0.3">
      <c r="A2042" s="1"/>
      <c r="B2042" s="1"/>
      <c r="C2042" s="1"/>
      <c r="D2042" s="1"/>
      <c r="E2042" s="1"/>
      <c r="F2042" s="124" t="s">
        <v>39</v>
      </c>
      <c r="G2042" s="1"/>
      <c r="H2042" s="1"/>
      <c r="I2042" s="1"/>
      <c r="J2042" s="124">
        <f>SUM(J2040:J2041)</f>
        <v>136325</v>
      </c>
      <c r="K2042" s="1"/>
      <c r="L2042" s="1"/>
      <c r="M2042" s="1"/>
      <c r="N2042" s="1"/>
      <c r="O2042" s="1"/>
      <c r="P2042" s="1"/>
      <c r="Q2042" s="1"/>
      <c r="R2042" s="1"/>
      <c r="S2042" s="1"/>
      <c r="T2042" s="1"/>
      <c r="U2042" s="1"/>
      <c r="V2042" s="1"/>
      <c r="W2042" s="142"/>
    </row>
    <row r="2043" spans="1:23" x14ac:dyDescent="0.3">
      <c r="A2043" s="1"/>
      <c r="B2043" s="1"/>
      <c r="C2043" s="1"/>
      <c r="D2043" s="1"/>
      <c r="E2043" s="1"/>
      <c r="F2043" s="124" t="s">
        <v>599</v>
      </c>
      <c r="G2043" s="1"/>
      <c r="H2043" s="1"/>
      <c r="I2043" s="1"/>
      <c r="J2043" s="124">
        <f>J2042*0/100</f>
        <v>0</v>
      </c>
      <c r="K2043" s="1"/>
      <c r="L2043" s="1"/>
      <c r="M2043" s="1"/>
      <c r="N2043" s="1"/>
      <c r="O2043" s="1"/>
      <c r="P2043" s="1"/>
      <c r="Q2043" s="1"/>
      <c r="R2043" s="1"/>
      <c r="S2043" s="1"/>
      <c r="T2043" s="1"/>
      <c r="U2043" s="1"/>
      <c r="V2043" s="1"/>
      <c r="W2043" s="142"/>
    </row>
    <row r="2044" spans="1:23" x14ac:dyDescent="0.3">
      <c r="A2044" s="1"/>
      <c r="B2044" s="1"/>
      <c r="C2044" s="1"/>
      <c r="D2044" s="1"/>
      <c r="E2044" s="1"/>
      <c r="F2044" s="124" t="s">
        <v>41</v>
      </c>
      <c r="G2044" s="1"/>
      <c r="H2044" s="1"/>
      <c r="I2044" s="1"/>
      <c r="J2044" s="124">
        <f>SUM(J2042:J2043)</f>
        <v>136325</v>
      </c>
      <c r="K2044" s="1"/>
      <c r="L2044" s="1"/>
      <c r="M2044" s="1"/>
      <c r="N2044" s="1"/>
      <c r="O2044" s="1"/>
      <c r="P2044" s="1"/>
      <c r="Q2044" s="1"/>
      <c r="R2044" s="1"/>
      <c r="S2044" s="1"/>
      <c r="T2044" s="1">
        <f>SUM(T2040:T2043)</f>
        <v>136325</v>
      </c>
      <c r="U2044" s="1"/>
      <c r="V2044" s="1"/>
      <c r="W2044" s="142"/>
    </row>
    <row r="2045" spans="1:23" x14ac:dyDescent="0.3">
      <c r="A2045" s="1"/>
      <c r="B2045" s="1"/>
      <c r="C2045" s="1"/>
      <c r="D2045" s="1"/>
      <c r="E2045" s="1"/>
      <c r="F2045" s="1"/>
      <c r="G2045" s="1"/>
      <c r="H2045" s="1"/>
      <c r="I2045" s="1"/>
      <c r="J2045" s="1"/>
      <c r="K2045" s="1"/>
      <c r="L2045" s="1"/>
      <c r="M2045" s="1"/>
      <c r="N2045" s="1"/>
      <c r="O2045" s="1"/>
      <c r="P2045" s="1"/>
      <c r="Q2045" s="1"/>
      <c r="R2045" s="1"/>
      <c r="S2045" s="1"/>
      <c r="T2045" s="1"/>
      <c r="U2045" s="1"/>
      <c r="V2045" s="1"/>
      <c r="W2045" s="142"/>
    </row>
    <row r="2046" spans="1:23" ht="25.2" x14ac:dyDescent="0.3">
      <c r="A2046" s="1">
        <v>184</v>
      </c>
      <c r="B2046" s="1">
        <v>8600064697</v>
      </c>
      <c r="C2046" s="37">
        <v>46176</v>
      </c>
      <c r="D2046" s="22" t="s">
        <v>2114</v>
      </c>
      <c r="E2046" s="1" t="s">
        <v>127</v>
      </c>
      <c r="F2046" s="22" t="s">
        <v>2115</v>
      </c>
      <c r="G2046" s="1">
        <v>100</v>
      </c>
      <c r="H2046" s="1" t="s">
        <v>28</v>
      </c>
      <c r="I2046" s="1">
        <v>190</v>
      </c>
      <c r="J2046" s="1">
        <f t="shared" si="439"/>
        <v>19000</v>
      </c>
      <c r="K2046" s="1"/>
      <c r="L2046" s="1"/>
      <c r="M2046" s="1"/>
      <c r="N2046" s="1"/>
      <c r="O2046" s="1"/>
      <c r="P2046" s="1"/>
      <c r="Q2046" s="1"/>
      <c r="R2046" s="1"/>
      <c r="S2046" s="1"/>
      <c r="T2046" s="1"/>
      <c r="U2046" s="1"/>
      <c r="V2046" s="1"/>
      <c r="W2046" s="142"/>
    </row>
    <row r="2047" spans="1:23" ht="25.2" x14ac:dyDescent="0.3">
      <c r="A2047" s="1"/>
      <c r="B2047" s="1"/>
      <c r="C2047" s="1"/>
      <c r="D2047" s="1"/>
      <c r="E2047" s="1" t="s">
        <v>127</v>
      </c>
      <c r="F2047" s="22" t="s">
        <v>2116</v>
      </c>
      <c r="G2047" s="1">
        <v>4</v>
      </c>
      <c r="H2047" s="1" t="s">
        <v>28</v>
      </c>
      <c r="I2047" s="1">
        <v>1850</v>
      </c>
      <c r="J2047" s="1">
        <f t="shared" si="439"/>
        <v>7400</v>
      </c>
      <c r="K2047" s="1"/>
      <c r="L2047" s="1"/>
      <c r="M2047" s="1"/>
      <c r="N2047" s="1"/>
      <c r="O2047" s="1"/>
      <c r="P2047" s="1"/>
      <c r="Q2047" s="1"/>
      <c r="R2047" s="1"/>
      <c r="S2047" s="1"/>
      <c r="T2047" s="1"/>
      <c r="U2047" s="1"/>
      <c r="V2047" s="1"/>
      <c r="W2047" s="142"/>
    </row>
    <row r="2048" spans="1:23" ht="25.2" x14ac:dyDescent="0.3">
      <c r="A2048" s="1"/>
      <c r="B2048" s="1"/>
      <c r="C2048" s="1"/>
      <c r="D2048" s="1"/>
      <c r="E2048" s="16" t="s">
        <v>127</v>
      </c>
      <c r="F2048" s="39" t="s">
        <v>2117</v>
      </c>
      <c r="G2048" s="16">
        <v>8</v>
      </c>
      <c r="H2048" s="16" t="s">
        <v>28</v>
      </c>
      <c r="I2048" s="16">
        <v>2159</v>
      </c>
      <c r="J2048" s="16">
        <f t="shared" si="439"/>
        <v>17272</v>
      </c>
      <c r="K2048" s="16">
        <v>8</v>
      </c>
      <c r="L2048" s="16" t="s">
        <v>28</v>
      </c>
      <c r="M2048" s="16" t="s">
        <v>91</v>
      </c>
      <c r="N2048" s="16" t="s">
        <v>2361</v>
      </c>
      <c r="O2048" s="16">
        <v>8</v>
      </c>
      <c r="P2048" s="16">
        <v>2159</v>
      </c>
      <c r="Q2048" s="16">
        <f>O2048*P2048</f>
        <v>17272</v>
      </c>
      <c r="R2048" s="18">
        <v>0.18</v>
      </c>
      <c r="S2048" s="16">
        <f>Q2048*R2048</f>
        <v>3108.96</v>
      </c>
      <c r="T2048" s="16">
        <f>Q2048+S2048</f>
        <v>20380.96</v>
      </c>
      <c r="U2048" s="16" t="s">
        <v>2569</v>
      </c>
      <c r="V2048" s="16" t="s">
        <v>2557</v>
      </c>
      <c r="W2048" s="142"/>
    </row>
    <row r="2049" spans="1:23" x14ac:dyDescent="0.3">
      <c r="A2049" s="1"/>
      <c r="B2049" s="1"/>
      <c r="C2049" s="1"/>
      <c r="D2049" s="1"/>
      <c r="E2049" s="1"/>
      <c r="F2049" s="124" t="s">
        <v>39</v>
      </c>
      <c r="G2049" s="1"/>
      <c r="H2049" s="1"/>
      <c r="I2049" s="1"/>
      <c r="J2049" s="124">
        <f>SUM(J2046:J2048)</f>
        <v>43672</v>
      </c>
      <c r="K2049" s="1"/>
      <c r="L2049" s="1"/>
      <c r="M2049" s="1"/>
      <c r="N2049" s="1"/>
      <c r="O2049" s="1"/>
      <c r="P2049" s="1"/>
      <c r="Q2049" s="1"/>
      <c r="R2049" s="1"/>
      <c r="S2049" s="1"/>
      <c r="T2049" s="1"/>
      <c r="U2049" s="1"/>
      <c r="V2049" s="1"/>
      <c r="W2049" s="142"/>
    </row>
    <row r="2050" spans="1:23" x14ac:dyDescent="0.3">
      <c r="A2050" s="1"/>
      <c r="B2050" s="1"/>
      <c r="C2050" s="1"/>
      <c r="D2050" s="1"/>
      <c r="E2050" s="1"/>
      <c r="F2050" s="124" t="s">
        <v>187</v>
      </c>
      <c r="G2050" s="1"/>
      <c r="H2050" s="1"/>
      <c r="I2050" s="1"/>
      <c r="J2050" s="124">
        <f>J2049*18/100</f>
        <v>7860.96</v>
      </c>
      <c r="K2050" s="1"/>
      <c r="L2050" s="1"/>
      <c r="M2050" s="1"/>
      <c r="N2050" s="1"/>
      <c r="O2050" s="1"/>
      <c r="P2050" s="1"/>
      <c r="Q2050" s="1"/>
      <c r="R2050" s="1"/>
      <c r="S2050" s="1"/>
      <c r="T2050" s="1"/>
      <c r="U2050" s="1"/>
      <c r="V2050" s="1"/>
      <c r="W2050" s="142"/>
    </row>
    <row r="2051" spans="1:23" x14ac:dyDescent="0.3">
      <c r="A2051" s="1"/>
      <c r="B2051" s="1"/>
      <c r="C2051" s="1"/>
      <c r="D2051" s="1"/>
      <c r="E2051" s="1"/>
      <c r="F2051" s="124" t="s">
        <v>41</v>
      </c>
      <c r="G2051" s="1"/>
      <c r="H2051" s="1"/>
      <c r="I2051" s="1"/>
      <c r="J2051" s="124">
        <f>SUM(J2049:J2050)</f>
        <v>51532.959999999999</v>
      </c>
      <c r="K2051" s="1"/>
      <c r="L2051" s="1"/>
      <c r="M2051" s="1"/>
      <c r="N2051" s="1"/>
      <c r="O2051" s="1"/>
      <c r="P2051" s="1"/>
      <c r="Q2051" s="1"/>
      <c r="R2051" s="1"/>
      <c r="S2051" s="1"/>
      <c r="T2051" s="1"/>
      <c r="U2051" s="1"/>
      <c r="V2051" s="1"/>
      <c r="W2051" s="142"/>
    </row>
    <row r="2052" spans="1:23" x14ac:dyDescent="0.3">
      <c r="A2052" s="1"/>
      <c r="B2052" s="1"/>
      <c r="C2052" s="1"/>
      <c r="D2052" s="1"/>
      <c r="E2052" s="1"/>
      <c r="F2052" s="1"/>
      <c r="G2052" s="1"/>
      <c r="H2052" s="1"/>
      <c r="I2052" s="1"/>
      <c r="J2052" s="1"/>
      <c r="K2052" s="1"/>
      <c r="L2052" s="1"/>
      <c r="M2052" s="1"/>
      <c r="N2052" s="1"/>
      <c r="O2052" s="1"/>
      <c r="P2052" s="1"/>
      <c r="Q2052" s="1"/>
      <c r="R2052" s="1"/>
      <c r="S2052" s="1"/>
      <c r="T2052" s="1"/>
      <c r="U2052" s="1"/>
      <c r="V2052" s="1"/>
      <c r="W2052" s="142"/>
    </row>
    <row r="2053" spans="1:23" x14ac:dyDescent="0.3">
      <c r="A2053" s="16">
        <v>185</v>
      </c>
      <c r="B2053" s="16">
        <v>8600064728</v>
      </c>
      <c r="C2053" s="19">
        <v>46206</v>
      </c>
      <c r="D2053" s="16" t="s">
        <v>43</v>
      </c>
      <c r="E2053" s="16" t="s">
        <v>127</v>
      </c>
      <c r="F2053" s="39" t="s">
        <v>2118</v>
      </c>
      <c r="G2053" s="16">
        <v>2</v>
      </c>
      <c r="H2053" s="16" t="s">
        <v>28</v>
      </c>
      <c r="I2053" s="16">
        <v>20640</v>
      </c>
      <c r="J2053" s="16">
        <f t="shared" si="439"/>
        <v>41280</v>
      </c>
      <c r="K2053" s="16"/>
      <c r="L2053" s="16"/>
      <c r="M2053" s="16"/>
      <c r="N2053" s="16"/>
      <c r="O2053" s="16">
        <v>2</v>
      </c>
      <c r="P2053" s="16">
        <v>20640</v>
      </c>
      <c r="Q2053" s="16">
        <f>O2053*P2053</f>
        <v>41280</v>
      </c>
      <c r="R2053" s="18">
        <v>0.18</v>
      </c>
      <c r="S2053" s="16">
        <f>Q2053*R2053</f>
        <v>7430.4</v>
      </c>
      <c r="T2053" s="16">
        <f>Q2053+S2053</f>
        <v>48710.400000000001</v>
      </c>
      <c r="U2053" s="16" t="s">
        <v>2258</v>
      </c>
      <c r="V2053" s="16" t="s">
        <v>2257</v>
      </c>
      <c r="W2053" s="142" t="s">
        <v>2281</v>
      </c>
    </row>
    <row r="2054" spans="1:23" ht="25.2" x14ac:dyDescent="0.3">
      <c r="A2054" s="1"/>
      <c r="B2054" s="1"/>
      <c r="C2054" s="1"/>
      <c r="D2054" s="1"/>
      <c r="E2054" s="16" t="s">
        <v>127</v>
      </c>
      <c r="F2054" s="39" t="s">
        <v>2119</v>
      </c>
      <c r="G2054" s="16">
        <v>2</v>
      </c>
      <c r="H2054" s="16" t="s">
        <v>28</v>
      </c>
      <c r="I2054" s="16">
        <v>65293</v>
      </c>
      <c r="J2054" s="16">
        <f t="shared" si="439"/>
        <v>130586</v>
      </c>
      <c r="K2054" s="16"/>
      <c r="L2054" s="16"/>
      <c r="M2054" s="16"/>
      <c r="N2054" s="16"/>
      <c r="O2054" s="16">
        <v>2</v>
      </c>
      <c r="P2054" s="16">
        <v>65293</v>
      </c>
      <c r="Q2054" s="16">
        <f t="shared" ref="Q2054:Q2055" si="443">O2054*P2054</f>
        <v>130586</v>
      </c>
      <c r="R2054" s="18">
        <v>0.18</v>
      </c>
      <c r="S2054" s="16">
        <f t="shared" ref="S2054:S2055" si="444">Q2054*R2054</f>
        <v>23505.48</v>
      </c>
      <c r="T2054" s="16">
        <f t="shared" ref="T2054:T2055" si="445">Q2054+S2054</f>
        <v>154091.48000000001</v>
      </c>
      <c r="U2054" s="16" t="s">
        <v>2258</v>
      </c>
      <c r="V2054" s="16" t="s">
        <v>2257</v>
      </c>
      <c r="W2054" s="142" t="s">
        <v>2281</v>
      </c>
    </row>
    <row r="2055" spans="1:23" ht="25.2" x14ac:dyDescent="0.3">
      <c r="A2055" s="1"/>
      <c r="B2055" s="1"/>
      <c r="C2055" s="1"/>
      <c r="D2055" s="1"/>
      <c r="E2055" s="16" t="s">
        <v>127</v>
      </c>
      <c r="F2055" s="39" t="s">
        <v>2120</v>
      </c>
      <c r="G2055" s="16">
        <v>1</v>
      </c>
      <c r="H2055" s="16" t="s">
        <v>28</v>
      </c>
      <c r="I2055" s="16">
        <v>239414</v>
      </c>
      <c r="J2055" s="16">
        <f t="shared" si="439"/>
        <v>239414</v>
      </c>
      <c r="K2055" s="16"/>
      <c r="L2055" s="16"/>
      <c r="M2055" s="16"/>
      <c r="N2055" s="16"/>
      <c r="O2055" s="16">
        <v>1</v>
      </c>
      <c r="P2055" s="16">
        <v>239414</v>
      </c>
      <c r="Q2055" s="16">
        <f t="shared" si="443"/>
        <v>239414</v>
      </c>
      <c r="R2055" s="18">
        <v>0.18</v>
      </c>
      <c r="S2055" s="16">
        <f t="shared" si="444"/>
        <v>43094.52</v>
      </c>
      <c r="T2055" s="16">
        <f t="shared" si="445"/>
        <v>282508.52</v>
      </c>
      <c r="U2055" s="16" t="s">
        <v>2258</v>
      </c>
      <c r="V2055" s="16" t="s">
        <v>2257</v>
      </c>
      <c r="W2055" s="142" t="s">
        <v>2281</v>
      </c>
    </row>
    <row r="2056" spans="1:23" x14ac:dyDescent="0.3">
      <c r="A2056" s="1"/>
      <c r="B2056" s="1"/>
      <c r="C2056" s="1"/>
      <c r="D2056" s="1"/>
      <c r="E2056" s="1"/>
      <c r="F2056" s="124" t="s">
        <v>39</v>
      </c>
      <c r="G2056" s="1"/>
      <c r="H2056" s="1"/>
      <c r="I2056" s="1"/>
      <c r="J2056" s="124">
        <f>SUM(J2053:J2055)</f>
        <v>411280</v>
      </c>
      <c r="K2056" s="1"/>
      <c r="L2056" s="1"/>
      <c r="M2056" s="1"/>
      <c r="N2056" s="1"/>
      <c r="O2056" s="1"/>
      <c r="P2056" s="1"/>
      <c r="Q2056" s="1"/>
      <c r="R2056" s="1"/>
      <c r="S2056" s="1"/>
      <c r="T2056" s="1"/>
      <c r="U2056" s="1"/>
      <c r="V2056" s="1"/>
      <c r="W2056" s="142"/>
    </row>
    <row r="2057" spans="1:23" x14ac:dyDescent="0.3">
      <c r="A2057" s="1"/>
      <c r="B2057" s="1"/>
      <c r="C2057" s="1"/>
      <c r="D2057" s="1"/>
      <c r="E2057" s="1"/>
      <c r="F2057" s="124" t="s">
        <v>187</v>
      </c>
      <c r="G2057" s="1"/>
      <c r="H2057" s="1"/>
      <c r="I2057" s="1"/>
      <c r="J2057" s="124">
        <f>J2056*18/100</f>
        <v>74030.399999999994</v>
      </c>
      <c r="K2057" s="1"/>
      <c r="L2057" s="1"/>
      <c r="M2057" s="1"/>
      <c r="N2057" s="1"/>
      <c r="O2057" s="1"/>
      <c r="P2057" s="1"/>
      <c r="Q2057" s="1"/>
      <c r="R2057" s="1"/>
      <c r="S2057" s="1"/>
      <c r="T2057" s="1"/>
      <c r="U2057" s="1"/>
      <c r="V2057" s="1"/>
      <c r="W2057" s="142"/>
    </row>
    <row r="2058" spans="1:23" x14ac:dyDescent="0.3">
      <c r="A2058" s="1"/>
      <c r="B2058" s="1"/>
      <c r="C2058" s="1"/>
      <c r="D2058" s="1"/>
      <c r="E2058" s="1"/>
      <c r="F2058" s="124" t="s">
        <v>41</v>
      </c>
      <c r="G2058" s="1"/>
      <c r="H2058" s="1"/>
      <c r="I2058" s="1"/>
      <c r="J2058" s="124">
        <f>SUM(J2056:J2057)</f>
        <v>485310.4</v>
      </c>
      <c r="K2058" s="1"/>
      <c r="L2058" s="1"/>
      <c r="M2058" s="1"/>
      <c r="N2058" s="1"/>
      <c r="O2058" s="1"/>
      <c r="P2058" s="1"/>
      <c r="Q2058" s="1"/>
      <c r="R2058" s="1"/>
      <c r="S2058" s="1"/>
      <c r="T2058" s="1">
        <f>SUM(T2053:T2057)</f>
        <v>485310.4</v>
      </c>
      <c r="U2058" s="1"/>
      <c r="V2058" s="1"/>
      <c r="W2058" s="142"/>
    </row>
    <row r="2059" spans="1:23" x14ac:dyDescent="0.3">
      <c r="A2059" s="1"/>
      <c r="B2059" s="2"/>
      <c r="C2059" s="2"/>
      <c r="D2059" s="2"/>
      <c r="E2059" s="2"/>
      <c r="F2059" s="2"/>
      <c r="G2059" s="2"/>
      <c r="H2059" s="2"/>
      <c r="I2059" s="2"/>
      <c r="J2059" s="1"/>
      <c r="K2059" s="2"/>
      <c r="L2059" s="2"/>
      <c r="M2059" s="2"/>
      <c r="N2059" s="2"/>
      <c r="O2059" s="2"/>
      <c r="P2059" s="2"/>
      <c r="Q2059" s="2"/>
      <c r="R2059" s="2"/>
      <c r="S2059" s="2"/>
      <c r="T2059" s="2"/>
      <c r="U2059" s="2"/>
      <c r="V2059" s="2"/>
      <c r="W2059" s="142"/>
    </row>
    <row r="2060" spans="1:23" ht="25.2" x14ac:dyDescent="0.3">
      <c r="A2060" s="16">
        <v>186</v>
      </c>
      <c r="B2060" s="16">
        <v>9200160105</v>
      </c>
      <c r="C2060" s="19">
        <v>46329</v>
      </c>
      <c r="D2060" s="39" t="s">
        <v>43</v>
      </c>
      <c r="E2060" s="16" t="s">
        <v>123</v>
      </c>
      <c r="F2060" s="39" t="s">
        <v>2127</v>
      </c>
      <c r="G2060" s="16">
        <v>400</v>
      </c>
      <c r="H2060" s="16" t="s">
        <v>60</v>
      </c>
      <c r="I2060" s="16">
        <v>109</v>
      </c>
      <c r="J2060" s="16">
        <f>G2060*I2060</f>
        <v>43600</v>
      </c>
      <c r="K2060" s="16">
        <v>400</v>
      </c>
      <c r="L2060" s="16" t="s">
        <v>60</v>
      </c>
      <c r="M2060" s="16" t="s">
        <v>91</v>
      </c>
      <c r="N2060" s="16" t="s">
        <v>2165</v>
      </c>
      <c r="O2060" s="16">
        <v>280</v>
      </c>
      <c r="P2060" s="16">
        <v>109</v>
      </c>
      <c r="Q2060" s="16">
        <f>O2060*P2060</f>
        <v>30520</v>
      </c>
      <c r="R2060" s="18">
        <v>0.18</v>
      </c>
      <c r="S2060" s="16">
        <f>Q2060*R2060</f>
        <v>5493.5999999999995</v>
      </c>
      <c r="T2060" s="16">
        <f>Q2060+S2060</f>
        <v>36013.599999999999</v>
      </c>
      <c r="U2060" s="16" t="s">
        <v>2269</v>
      </c>
      <c r="V2060" s="16" t="s">
        <v>2270</v>
      </c>
      <c r="W2060" s="142" t="s">
        <v>2396</v>
      </c>
    </row>
    <row r="2061" spans="1:23" x14ac:dyDescent="0.3">
      <c r="A2061" s="1"/>
      <c r="B2061" s="1"/>
      <c r="C2061" s="1"/>
      <c r="D2061" s="1"/>
      <c r="E2061" s="16" t="s">
        <v>123</v>
      </c>
      <c r="F2061" s="39" t="s">
        <v>2192</v>
      </c>
      <c r="G2061" s="16">
        <v>200</v>
      </c>
      <c r="H2061" s="16" t="s">
        <v>60</v>
      </c>
      <c r="I2061" s="16">
        <v>50</v>
      </c>
      <c r="J2061" s="16">
        <f t="shared" ref="J2061:J2080" si="446">G2061*I2061</f>
        <v>10000</v>
      </c>
      <c r="K2061" s="16">
        <v>200</v>
      </c>
      <c r="L2061" s="16" t="s">
        <v>60</v>
      </c>
      <c r="M2061" s="16" t="s">
        <v>91</v>
      </c>
      <c r="N2061" s="16" t="s">
        <v>2165</v>
      </c>
      <c r="O2061" s="16">
        <v>200</v>
      </c>
      <c r="P2061" s="16">
        <v>50</v>
      </c>
      <c r="Q2061" s="16">
        <f t="shared" ref="Q2061:Q2066" si="447">O2061*P2061</f>
        <v>10000</v>
      </c>
      <c r="R2061" s="18">
        <v>0.18</v>
      </c>
      <c r="S2061" s="16">
        <f t="shared" ref="S2061:S2066" si="448">Q2061*R2061</f>
        <v>1800</v>
      </c>
      <c r="T2061" s="16">
        <f t="shared" ref="T2061:T2066" si="449">Q2061+S2061</f>
        <v>11800</v>
      </c>
      <c r="U2061" s="16" t="s">
        <v>2269</v>
      </c>
      <c r="V2061" s="16" t="s">
        <v>2270</v>
      </c>
      <c r="W2061" s="142" t="s">
        <v>2396</v>
      </c>
    </row>
    <row r="2062" spans="1:23" x14ac:dyDescent="0.3">
      <c r="A2062" s="1"/>
      <c r="B2062" s="1"/>
      <c r="C2062" s="1"/>
      <c r="D2062" s="1"/>
      <c r="E2062" s="16" t="s">
        <v>123</v>
      </c>
      <c r="F2062" s="16" t="s">
        <v>2129</v>
      </c>
      <c r="G2062" s="16">
        <v>42</v>
      </c>
      <c r="H2062" s="16" t="s">
        <v>28</v>
      </c>
      <c r="I2062" s="16">
        <v>175</v>
      </c>
      <c r="J2062" s="16">
        <f t="shared" si="446"/>
        <v>7350</v>
      </c>
      <c r="K2062" s="16">
        <v>42</v>
      </c>
      <c r="L2062" s="16" t="s">
        <v>28</v>
      </c>
      <c r="M2062" s="16" t="s">
        <v>91</v>
      </c>
      <c r="N2062" s="16" t="s">
        <v>2165</v>
      </c>
      <c r="O2062" s="16">
        <v>42</v>
      </c>
      <c r="P2062" s="16">
        <v>175</v>
      </c>
      <c r="Q2062" s="16">
        <f t="shared" si="447"/>
        <v>7350</v>
      </c>
      <c r="R2062" s="18">
        <v>0.18</v>
      </c>
      <c r="S2062" s="16">
        <f t="shared" si="448"/>
        <v>1323</v>
      </c>
      <c r="T2062" s="16">
        <f t="shared" si="449"/>
        <v>8673</v>
      </c>
      <c r="U2062" s="16" t="s">
        <v>2269</v>
      </c>
      <c r="V2062" s="16" t="s">
        <v>2270</v>
      </c>
      <c r="W2062" s="142" t="s">
        <v>2396</v>
      </c>
    </row>
    <row r="2063" spans="1:23" x14ac:dyDescent="0.3">
      <c r="A2063" s="1"/>
      <c r="B2063" s="1"/>
      <c r="C2063" s="1"/>
      <c r="D2063" s="1"/>
      <c r="E2063" s="16" t="s">
        <v>123</v>
      </c>
      <c r="F2063" s="16" t="s">
        <v>2130</v>
      </c>
      <c r="G2063" s="16">
        <v>42</v>
      </c>
      <c r="H2063" s="16" t="s">
        <v>28</v>
      </c>
      <c r="I2063" s="16">
        <v>460</v>
      </c>
      <c r="J2063" s="16">
        <f t="shared" si="446"/>
        <v>19320</v>
      </c>
      <c r="K2063" s="16">
        <v>42</v>
      </c>
      <c r="L2063" s="16" t="s">
        <v>28</v>
      </c>
      <c r="M2063" s="16" t="s">
        <v>91</v>
      </c>
      <c r="N2063" s="16" t="s">
        <v>2165</v>
      </c>
      <c r="O2063" s="16">
        <v>42</v>
      </c>
      <c r="P2063" s="16">
        <v>460</v>
      </c>
      <c r="Q2063" s="16">
        <f t="shared" si="447"/>
        <v>19320</v>
      </c>
      <c r="R2063" s="18">
        <v>0.18</v>
      </c>
      <c r="S2063" s="16">
        <f t="shared" si="448"/>
        <v>3477.6</v>
      </c>
      <c r="T2063" s="16">
        <f t="shared" si="449"/>
        <v>22797.599999999999</v>
      </c>
      <c r="U2063" s="16" t="s">
        <v>2269</v>
      </c>
      <c r="V2063" s="16" t="s">
        <v>2270</v>
      </c>
      <c r="W2063" s="142" t="s">
        <v>2396</v>
      </c>
    </row>
    <row r="2064" spans="1:23" x14ac:dyDescent="0.3">
      <c r="A2064" s="1"/>
      <c r="B2064" s="1"/>
      <c r="C2064" s="1"/>
      <c r="D2064" s="1"/>
      <c r="E2064" s="16" t="s">
        <v>123</v>
      </c>
      <c r="F2064" s="16" t="s">
        <v>2131</v>
      </c>
      <c r="G2064" s="16">
        <v>40</v>
      </c>
      <c r="H2064" s="16" t="s">
        <v>28</v>
      </c>
      <c r="I2064" s="16">
        <v>70</v>
      </c>
      <c r="J2064" s="16">
        <f t="shared" si="446"/>
        <v>2800</v>
      </c>
      <c r="K2064" s="16">
        <v>40</v>
      </c>
      <c r="L2064" s="16" t="s">
        <v>28</v>
      </c>
      <c r="M2064" s="16" t="s">
        <v>91</v>
      </c>
      <c r="N2064" s="16" t="s">
        <v>2165</v>
      </c>
      <c r="O2064" s="16">
        <v>25</v>
      </c>
      <c r="P2064" s="16">
        <v>70</v>
      </c>
      <c r="Q2064" s="16">
        <f t="shared" si="447"/>
        <v>1750</v>
      </c>
      <c r="R2064" s="18">
        <v>0.18</v>
      </c>
      <c r="S2064" s="16">
        <f t="shared" si="448"/>
        <v>315</v>
      </c>
      <c r="T2064" s="16">
        <f t="shared" si="449"/>
        <v>2065</v>
      </c>
      <c r="U2064" s="16" t="s">
        <v>2269</v>
      </c>
      <c r="V2064" s="16" t="s">
        <v>2270</v>
      </c>
      <c r="W2064" s="142" t="s">
        <v>2396</v>
      </c>
    </row>
    <row r="2065" spans="1:23" x14ac:dyDescent="0.3">
      <c r="A2065" s="1"/>
      <c r="B2065" s="1"/>
      <c r="C2065" s="1"/>
      <c r="D2065" s="1"/>
      <c r="E2065" s="16" t="s">
        <v>123</v>
      </c>
      <c r="F2065" s="16" t="s">
        <v>2132</v>
      </c>
      <c r="G2065" s="16">
        <v>25</v>
      </c>
      <c r="H2065" s="16" t="s">
        <v>28</v>
      </c>
      <c r="I2065" s="16">
        <v>265</v>
      </c>
      <c r="J2065" s="16">
        <f t="shared" si="446"/>
        <v>6625</v>
      </c>
      <c r="K2065" s="16">
        <v>25</v>
      </c>
      <c r="L2065" s="16" t="s">
        <v>28</v>
      </c>
      <c r="M2065" s="16" t="s">
        <v>91</v>
      </c>
      <c r="N2065" s="16" t="s">
        <v>2165</v>
      </c>
      <c r="O2065" s="16">
        <v>25</v>
      </c>
      <c r="P2065" s="16">
        <v>265</v>
      </c>
      <c r="Q2065" s="16">
        <f t="shared" si="447"/>
        <v>6625</v>
      </c>
      <c r="R2065" s="18">
        <v>0.18</v>
      </c>
      <c r="S2065" s="16">
        <f t="shared" si="448"/>
        <v>1192.5</v>
      </c>
      <c r="T2065" s="16">
        <f t="shared" si="449"/>
        <v>7817.5</v>
      </c>
      <c r="U2065" s="16" t="s">
        <v>2269</v>
      </c>
      <c r="V2065" s="16" t="s">
        <v>2270</v>
      </c>
      <c r="W2065" s="142" t="s">
        <v>2396</v>
      </c>
    </row>
    <row r="2066" spans="1:23" x14ac:dyDescent="0.3">
      <c r="A2066" s="1"/>
      <c r="B2066" s="1"/>
      <c r="C2066" s="1"/>
      <c r="D2066" s="1"/>
      <c r="E2066" s="16" t="s">
        <v>123</v>
      </c>
      <c r="F2066" s="16" t="s">
        <v>2133</v>
      </c>
      <c r="G2066" s="16">
        <v>6</v>
      </c>
      <c r="H2066" s="16" t="s">
        <v>28</v>
      </c>
      <c r="I2066" s="16">
        <v>1000</v>
      </c>
      <c r="J2066" s="16">
        <f t="shared" si="446"/>
        <v>6000</v>
      </c>
      <c r="K2066" s="16"/>
      <c r="L2066" s="16"/>
      <c r="M2066" s="16"/>
      <c r="N2066" s="16"/>
      <c r="O2066" s="16">
        <v>6</v>
      </c>
      <c r="P2066" s="16">
        <v>1000</v>
      </c>
      <c r="Q2066" s="16">
        <f t="shared" si="447"/>
        <v>6000</v>
      </c>
      <c r="R2066" s="18">
        <v>0.18</v>
      </c>
      <c r="S2066" s="16">
        <f t="shared" si="448"/>
        <v>1080</v>
      </c>
      <c r="T2066" s="16">
        <f t="shared" si="449"/>
        <v>7080</v>
      </c>
      <c r="U2066" s="16" t="s">
        <v>2269</v>
      </c>
      <c r="V2066" s="16" t="s">
        <v>2270</v>
      </c>
      <c r="W2066" s="142" t="s">
        <v>2396</v>
      </c>
    </row>
    <row r="2067" spans="1:23" x14ac:dyDescent="0.3">
      <c r="A2067" s="1"/>
      <c r="B2067" s="1"/>
      <c r="C2067" s="1"/>
      <c r="D2067" s="1"/>
      <c r="E2067" s="1"/>
      <c r="F2067" s="124" t="s">
        <v>39</v>
      </c>
      <c r="G2067" s="1"/>
      <c r="H2067" s="1"/>
      <c r="I2067" s="1"/>
      <c r="J2067" s="124">
        <f>SUM(J2060:J2066)</f>
        <v>95695</v>
      </c>
      <c r="K2067" s="1"/>
      <c r="L2067" s="1"/>
      <c r="M2067" s="1"/>
      <c r="N2067" s="1"/>
      <c r="O2067" s="1"/>
      <c r="P2067" s="1"/>
      <c r="Q2067" s="1"/>
      <c r="R2067" s="1"/>
      <c r="S2067" s="1"/>
      <c r="T2067" s="1"/>
      <c r="U2067" s="1"/>
      <c r="V2067" s="1"/>
      <c r="W2067" s="142"/>
    </row>
    <row r="2068" spans="1:23" x14ac:dyDescent="0.3">
      <c r="A2068" s="1"/>
      <c r="B2068" s="1"/>
      <c r="C2068" s="1"/>
      <c r="D2068" s="1"/>
      <c r="E2068" s="1"/>
      <c r="F2068" s="124" t="s">
        <v>187</v>
      </c>
      <c r="G2068" s="1"/>
      <c r="H2068" s="1"/>
      <c r="I2068" s="1"/>
      <c r="J2068" s="124">
        <f>J2067*18/100</f>
        <v>17225.099999999999</v>
      </c>
      <c r="K2068" s="1"/>
      <c r="L2068" s="1"/>
      <c r="M2068" s="1"/>
      <c r="N2068" s="1"/>
      <c r="O2068" s="1"/>
      <c r="P2068" s="1"/>
      <c r="Q2068" s="1">
        <f>SUM(Q2060:Q2067)</f>
        <v>81565</v>
      </c>
      <c r="R2068" s="1"/>
      <c r="S2068" s="1"/>
      <c r="T2068" s="1"/>
      <c r="U2068" s="1"/>
      <c r="V2068" s="1"/>
      <c r="W2068" s="142"/>
    </row>
    <row r="2069" spans="1:23" x14ac:dyDescent="0.3">
      <c r="A2069" s="1"/>
      <c r="B2069" s="1"/>
      <c r="C2069" s="1"/>
      <c r="D2069" s="1"/>
      <c r="E2069" s="1"/>
      <c r="F2069" s="124" t="s">
        <v>41</v>
      </c>
      <c r="G2069" s="1"/>
      <c r="H2069" s="1"/>
      <c r="I2069" s="1"/>
      <c r="J2069" s="124">
        <f>SUM(J2067:J2068)</f>
        <v>112920.1</v>
      </c>
      <c r="K2069" s="1"/>
      <c r="L2069" s="1"/>
      <c r="M2069" s="1"/>
      <c r="N2069" s="1"/>
      <c r="O2069" s="1"/>
      <c r="P2069" s="1"/>
      <c r="Q2069" s="1"/>
      <c r="R2069" s="1"/>
      <c r="S2069" s="1"/>
      <c r="T2069" s="1">
        <f>SUM(T2060:T2068)</f>
        <v>96246.7</v>
      </c>
      <c r="U2069" s="1"/>
      <c r="V2069" s="1"/>
      <c r="W2069" s="142"/>
    </row>
    <row r="2070" spans="1:23" x14ac:dyDescent="0.3">
      <c r="A2070" s="1"/>
      <c r="B2070" s="1"/>
      <c r="C2070" s="1"/>
      <c r="D2070" s="1"/>
      <c r="E2070" s="1"/>
      <c r="F2070" s="1"/>
      <c r="G2070" s="1"/>
      <c r="H2070" s="1"/>
      <c r="I2070" s="1"/>
      <c r="J2070" s="1"/>
      <c r="K2070" s="1"/>
      <c r="L2070" s="1"/>
      <c r="M2070" s="1"/>
      <c r="N2070" s="1"/>
      <c r="O2070" s="1"/>
      <c r="P2070" s="1"/>
      <c r="Q2070" s="1"/>
      <c r="R2070" s="1"/>
      <c r="S2070" s="1"/>
      <c r="T2070" s="1"/>
      <c r="U2070" s="1"/>
      <c r="V2070" s="1"/>
      <c r="W2070" s="142"/>
    </row>
    <row r="2071" spans="1:23" x14ac:dyDescent="0.3">
      <c r="A2071" s="16">
        <v>187</v>
      </c>
      <c r="B2071" s="16">
        <v>8600064861</v>
      </c>
      <c r="C2071" s="19" t="s">
        <v>2167</v>
      </c>
      <c r="D2071" s="16" t="s">
        <v>43</v>
      </c>
      <c r="E2071" s="16" t="s">
        <v>127</v>
      </c>
      <c r="F2071" s="39" t="s">
        <v>2140</v>
      </c>
      <c r="G2071" s="16">
        <v>44</v>
      </c>
      <c r="H2071" s="16" t="s">
        <v>28</v>
      </c>
      <c r="I2071" s="16">
        <v>1395</v>
      </c>
      <c r="J2071" s="16">
        <f t="shared" si="446"/>
        <v>61380</v>
      </c>
      <c r="K2071" s="16"/>
      <c r="L2071" s="16"/>
      <c r="M2071" s="16"/>
      <c r="N2071" s="16"/>
      <c r="O2071" s="16">
        <v>44</v>
      </c>
      <c r="P2071" s="16">
        <v>1395</v>
      </c>
      <c r="Q2071" s="16">
        <f>O2071*P2071</f>
        <v>61380</v>
      </c>
      <c r="R2071" s="18">
        <v>0.18</v>
      </c>
      <c r="S2071" s="16">
        <f>Q2071*R2071</f>
        <v>11048.4</v>
      </c>
      <c r="T2071" s="16">
        <f>Q2071+S2071</f>
        <v>72428.399999999994</v>
      </c>
      <c r="U2071" s="16" t="s">
        <v>2168</v>
      </c>
      <c r="V2071" s="19" t="s">
        <v>2167</v>
      </c>
      <c r="W2071" s="142" t="s">
        <v>2199</v>
      </c>
    </row>
    <row r="2072" spans="1:23" x14ac:dyDescent="0.3">
      <c r="A2072" s="1"/>
      <c r="B2072" s="1"/>
      <c r="C2072" s="1" t="s">
        <v>326</v>
      </c>
      <c r="D2072" s="1"/>
      <c r="E2072" s="16" t="s">
        <v>127</v>
      </c>
      <c r="F2072" s="16" t="s">
        <v>2141</v>
      </c>
      <c r="G2072" s="16">
        <v>21</v>
      </c>
      <c r="H2072" s="16" t="s">
        <v>28</v>
      </c>
      <c r="I2072" s="16">
        <v>680</v>
      </c>
      <c r="J2072" s="16">
        <f t="shared" si="446"/>
        <v>14280</v>
      </c>
      <c r="K2072" s="16"/>
      <c r="L2072" s="16"/>
      <c r="M2072" s="16"/>
      <c r="N2072" s="16"/>
      <c r="O2072" s="16">
        <v>21</v>
      </c>
      <c r="P2072" s="16">
        <v>680</v>
      </c>
      <c r="Q2072" s="16">
        <f>O2072*P2072</f>
        <v>14280</v>
      </c>
      <c r="R2072" s="18">
        <v>0.18</v>
      </c>
      <c r="S2072" s="16">
        <f>Q2072*R2072</f>
        <v>2570.4</v>
      </c>
      <c r="T2072" s="16">
        <f>Q2072+S2072</f>
        <v>16850.400000000001</v>
      </c>
      <c r="U2072" s="16" t="s">
        <v>2168</v>
      </c>
      <c r="V2072" s="19" t="s">
        <v>2167</v>
      </c>
      <c r="W2072" s="142" t="s">
        <v>2199</v>
      </c>
    </row>
    <row r="2073" spans="1:23" x14ac:dyDescent="0.3">
      <c r="A2073" s="1"/>
      <c r="B2073" s="1"/>
      <c r="C2073" s="1"/>
      <c r="D2073" s="1"/>
      <c r="E2073" s="1"/>
      <c r="F2073" s="124" t="s">
        <v>39</v>
      </c>
      <c r="G2073" s="1"/>
      <c r="H2073" s="1"/>
      <c r="I2073" s="1"/>
      <c r="J2073" s="124">
        <f>SUM(J2071:J2072)</f>
        <v>75660</v>
      </c>
      <c r="K2073" s="1"/>
      <c r="L2073" s="1"/>
      <c r="M2073" s="1"/>
      <c r="N2073" s="1"/>
      <c r="O2073" s="1"/>
      <c r="P2073" s="1"/>
      <c r="Q2073" s="1"/>
      <c r="R2073" s="1"/>
      <c r="S2073" s="1"/>
      <c r="T2073" s="1"/>
      <c r="U2073" s="1"/>
      <c r="V2073" s="1"/>
      <c r="W2073" s="142"/>
    </row>
    <row r="2074" spans="1:23" x14ac:dyDescent="0.3">
      <c r="A2074" s="1"/>
      <c r="B2074" s="1"/>
      <c r="C2074" s="1"/>
      <c r="D2074" s="1"/>
      <c r="E2074" s="1"/>
      <c r="F2074" s="124" t="s">
        <v>187</v>
      </c>
      <c r="G2074" s="1"/>
      <c r="H2074" s="1"/>
      <c r="I2074" s="1"/>
      <c r="J2074" s="124">
        <f>J2073*18/100</f>
        <v>13618.8</v>
      </c>
      <c r="K2074" s="1"/>
      <c r="L2074" s="1"/>
      <c r="M2074" s="1"/>
      <c r="N2074" s="1"/>
      <c r="O2074" s="1"/>
      <c r="P2074" s="1"/>
      <c r="Q2074" s="1"/>
      <c r="R2074" s="1"/>
      <c r="S2074" s="1"/>
      <c r="T2074" s="1"/>
      <c r="U2074" s="1"/>
      <c r="V2074" s="1"/>
      <c r="W2074" s="142"/>
    </row>
    <row r="2075" spans="1:23" x14ac:dyDescent="0.3">
      <c r="A2075" s="1"/>
      <c r="B2075" s="1"/>
      <c r="C2075" s="1"/>
      <c r="D2075" s="1"/>
      <c r="E2075" s="1"/>
      <c r="F2075" s="124" t="s">
        <v>41</v>
      </c>
      <c r="G2075" s="1"/>
      <c r="H2075" s="1"/>
      <c r="I2075" s="1"/>
      <c r="J2075" s="124">
        <f>SUM(J2073:J2074)</f>
        <v>89278.8</v>
      </c>
      <c r="K2075" s="1"/>
      <c r="L2075" s="1"/>
      <c r="M2075" s="1"/>
      <c r="N2075" s="1"/>
      <c r="O2075" s="1"/>
      <c r="P2075" s="1"/>
      <c r="Q2075" s="1"/>
      <c r="R2075" s="1"/>
      <c r="S2075" s="1"/>
      <c r="T2075" s="1">
        <f>SUM(T2071:T2074)</f>
        <v>89278.799999999988</v>
      </c>
      <c r="U2075" s="1"/>
      <c r="V2075" s="1"/>
      <c r="W2075" s="142"/>
    </row>
    <row r="2076" spans="1:23" x14ac:dyDescent="0.3">
      <c r="A2076" s="1"/>
      <c r="B2076" s="1"/>
      <c r="C2076" s="1"/>
      <c r="D2076" s="1"/>
      <c r="E2076" s="1"/>
      <c r="F2076" s="1"/>
      <c r="G2076" s="1"/>
      <c r="H2076" s="1"/>
      <c r="I2076" s="1"/>
      <c r="J2076" s="1"/>
      <c r="K2076" s="1"/>
      <c r="L2076" s="1"/>
      <c r="M2076" s="1"/>
      <c r="N2076" s="1"/>
      <c r="O2076" s="1"/>
      <c r="P2076" s="1"/>
      <c r="Q2076" s="1"/>
      <c r="R2076" s="1"/>
      <c r="S2076" s="1"/>
      <c r="T2076" s="1"/>
      <c r="U2076" s="1"/>
      <c r="V2076" s="1"/>
      <c r="W2076" s="142"/>
    </row>
    <row r="2077" spans="1:23" x14ac:dyDescent="0.3">
      <c r="A2077" s="16">
        <v>188</v>
      </c>
      <c r="B2077" s="16">
        <v>9200160318</v>
      </c>
      <c r="C2077" s="16" t="s">
        <v>2157</v>
      </c>
      <c r="D2077" s="16" t="s">
        <v>43</v>
      </c>
      <c r="E2077" s="16" t="s">
        <v>123</v>
      </c>
      <c r="F2077" s="39" t="s">
        <v>2146</v>
      </c>
      <c r="G2077" s="16">
        <v>3</v>
      </c>
      <c r="H2077" s="16" t="s">
        <v>28</v>
      </c>
      <c r="I2077" s="16">
        <v>3000</v>
      </c>
      <c r="J2077" s="16">
        <f t="shared" si="446"/>
        <v>9000</v>
      </c>
      <c r="K2077" s="16"/>
      <c r="L2077" s="16"/>
      <c r="M2077" s="16"/>
      <c r="N2077" s="16"/>
      <c r="O2077" s="16">
        <v>3</v>
      </c>
      <c r="P2077" s="16">
        <v>3000</v>
      </c>
      <c r="Q2077" s="16">
        <f>O2077*P2077</f>
        <v>9000</v>
      </c>
      <c r="R2077" s="18">
        <v>0</v>
      </c>
      <c r="S2077" s="16">
        <f>Q2077*R2077</f>
        <v>0</v>
      </c>
      <c r="T2077" s="16">
        <f>Q2077+S2077</f>
        <v>9000</v>
      </c>
      <c r="U2077" s="16" t="s">
        <v>2421</v>
      </c>
      <c r="V2077" s="19">
        <v>46059</v>
      </c>
      <c r="W2077" s="143" t="s">
        <v>2465</v>
      </c>
    </row>
    <row r="2078" spans="1:23" ht="25.2" x14ac:dyDescent="0.3">
      <c r="A2078" s="1"/>
      <c r="B2078" s="1" t="s">
        <v>2158</v>
      </c>
      <c r="C2078" s="1"/>
      <c r="D2078" s="1"/>
      <c r="E2078" s="16" t="s">
        <v>123</v>
      </c>
      <c r="F2078" s="39" t="s">
        <v>2149</v>
      </c>
      <c r="G2078" s="16">
        <v>3</v>
      </c>
      <c r="H2078" s="16" t="s">
        <v>87</v>
      </c>
      <c r="I2078" s="16">
        <v>6000</v>
      </c>
      <c r="J2078" s="16">
        <f t="shared" si="446"/>
        <v>18000</v>
      </c>
      <c r="K2078" s="16">
        <v>1</v>
      </c>
      <c r="L2078" s="16" t="s">
        <v>28</v>
      </c>
      <c r="M2078" s="16" t="s">
        <v>91</v>
      </c>
      <c r="N2078" s="16" t="s">
        <v>2411</v>
      </c>
      <c r="O2078" s="16">
        <v>3</v>
      </c>
      <c r="P2078" s="16">
        <v>6000</v>
      </c>
      <c r="Q2078" s="16">
        <f t="shared" ref="Q2078:Q2080" si="450">O2078*P2078</f>
        <v>18000</v>
      </c>
      <c r="R2078" s="18">
        <v>0</v>
      </c>
      <c r="S2078" s="16">
        <f t="shared" ref="S2078:S2080" si="451">Q2078*R2078</f>
        <v>0</v>
      </c>
      <c r="T2078" s="16">
        <f t="shared" ref="T2078:T2080" si="452">Q2078+S2078</f>
        <v>18000</v>
      </c>
      <c r="U2078" s="16" t="s">
        <v>2421</v>
      </c>
      <c r="V2078" s="19">
        <v>46059</v>
      </c>
      <c r="W2078" s="143" t="s">
        <v>2465</v>
      </c>
    </row>
    <row r="2079" spans="1:23" ht="25.2" x14ac:dyDescent="0.3">
      <c r="A2079" s="62"/>
      <c r="B2079" s="62"/>
      <c r="C2079" s="62"/>
      <c r="D2079" s="62"/>
      <c r="E2079" s="16" t="s">
        <v>123</v>
      </c>
      <c r="F2079" s="39" t="s">
        <v>2147</v>
      </c>
      <c r="G2079" s="16">
        <v>150</v>
      </c>
      <c r="H2079" s="16" t="s">
        <v>60</v>
      </c>
      <c r="I2079" s="16">
        <v>180</v>
      </c>
      <c r="J2079" s="16">
        <f t="shared" si="446"/>
        <v>27000</v>
      </c>
      <c r="K2079" s="16">
        <v>150</v>
      </c>
      <c r="L2079" s="16" t="s">
        <v>60</v>
      </c>
      <c r="M2079" s="16" t="s">
        <v>91</v>
      </c>
      <c r="N2079" s="16" t="s">
        <v>2202</v>
      </c>
      <c r="O2079" s="16">
        <v>150</v>
      </c>
      <c r="P2079" s="16">
        <v>180</v>
      </c>
      <c r="Q2079" s="16">
        <f t="shared" si="450"/>
        <v>27000</v>
      </c>
      <c r="R2079" s="18">
        <v>0</v>
      </c>
      <c r="S2079" s="16">
        <f t="shared" si="451"/>
        <v>0</v>
      </c>
      <c r="T2079" s="16">
        <f t="shared" si="452"/>
        <v>27000</v>
      </c>
      <c r="U2079" s="16" t="s">
        <v>2421</v>
      </c>
      <c r="V2079" s="19">
        <v>46059</v>
      </c>
      <c r="W2079" s="143" t="s">
        <v>2465</v>
      </c>
    </row>
    <row r="2080" spans="1:23" x14ac:dyDescent="0.3">
      <c r="A2080" s="62"/>
      <c r="B2080" s="62"/>
      <c r="C2080" s="62"/>
      <c r="D2080" s="62"/>
      <c r="E2080" s="16" t="s">
        <v>123</v>
      </c>
      <c r="F2080" s="16" t="s">
        <v>2148</v>
      </c>
      <c r="G2080" s="16">
        <v>150</v>
      </c>
      <c r="H2080" s="16" t="s">
        <v>60</v>
      </c>
      <c r="I2080" s="16">
        <v>45</v>
      </c>
      <c r="J2080" s="16">
        <f t="shared" si="446"/>
        <v>6750</v>
      </c>
      <c r="K2080" s="16">
        <v>150</v>
      </c>
      <c r="L2080" s="16" t="s">
        <v>60</v>
      </c>
      <c r="M2080" s="16" t="s">
        <v>91</v>
      </c>
      <c r="N2080" s="16" t="s">
        <v>2411</v>
      </c>
      <c r="O2080" s="16">
        <v>150</v>
      </c>
      <c r="P2080" s="16">
        <v>45</v>
      </c>
      <c r="Q2080" s="16">
        <f t="shared" si="450"/>
        <v>6750</v>
      </c>
      <c r="R2080" s="18">
        <v>0</v>
      </c>
      <c r="S2080" s="16">
        <f t="shared" si="451"/>
        <v>0</v>
      </c>
      <c r="T2080" s="16">
        <f t="shared" si="452"/>
        <v>6750</v>
      </c>
      <c r="U2080" s="16" t="s">
        <v>2421</v>
      </c>
      <c r="V2080" s="19">
        <v>46059</v>
      </c>
      <c r="W2080" s="143" t="s">
        <v>2465</v>
      </c>
    </row>
    <row r="2081" spans="1:23" x14ac:dyDescent="0.3">
      <c r="A2081" s="1"/>
      <c r="B2081" s="1"/>
      <c r="C2081" s="1"/>
      <c r="D2081" s="1"/>
      <c r="E2081" s="1"/>
      <c r="F2081" s="124" t="s">
        <v>39</v>
      </c>
      <c r="G2081" s="1"/>
      <c r="H2081" s="1"/>
      <c r="I2081" s="1"/>
      <c r="J2081" s="124">
        <f>SUM(J2077:J2080)</f>
        <v>60750</v>
      </c>
      <c r="K2081" s="1"/>
      <c r="L2081" s="1"/>
      <c r="M2081" s="1"/>
      <c r="N2081" s="1"/>
      <c r="O2081" s="1"/>
      <c r="P2081" s="1"/>
      <c r="Q2081" s="1"/>
      <c r="R2081" s="1"/>
      <c r="S2081" s="1"/>
      <c r="T2081" s="1"/>
      <c r="U2081" s="1"/>
      <c r="V2081" s="1"/>
      <c r="W2081" s="143"/>
    </row>
    <row r="2082" spans="1:23" x14ac:dyDescent="0.3">
      <c r="A2082" s="1"/>
      <c r="B2082" s="1"/>
      <c r="C2082" s="1"/>
      <c r="D2082" s="1"/>
      <c r="E2082" s="1"/>
      <c r="F2082" s="124" t="s">
        <v>599</v>
      </c>
      <c r="G2082" s="1"/>
      <c r="H2082" s="1"/>
      <c r="I2082" s="1"/>
      <c r="J2082" s="124">
        <f>J2081*0/100</f>
        <v>0</v>
      </c>
      <c r="K2082" s="1"/>
      <c r="L2082" s="1"/>
      <c r="M2082" s="1"/>
      <c r="N2082" s="1"/>
      <c r="O2082" s="1"/>
      <c r="P2082" s="1"/>
      <c r="Q2082" s="1"/>
      <c r="R2082" s="1"/>
      <c r="S2082" s="1"/>
      <c r="T2082" s="1"/>
      <c r="U2082" s="1"/>
      <c r="V2082" s="1"/>
      <c r="W2082" s="143"/>
    </row>
    <row r="2083" spans="1:23" x14ac:dyDescent="0.3">
      <c r="A2083" s="1"/>
      <c r="B2083" s="1"/>
      <c r="C2083" s="1"/>
      <c r="D2083" s="1"/>
      <c r="E2083" s="1"/>
      <c r="F2083" s="124" t="s">
        <v>41</v>
      </c>
      <c r="G2083" s="1"/>
      <c r="H2083" s="1"/>
      <c r="I2083" s="1"/>
      <c r="J2083" s="124">
        <f>SUM(J2081:J2082)</f>
        <v>60750</v>
      </c>
      <c r="K2083" s="1"/>
      <c r="L2083" s="1"/>
      <c r="M2083" s="1"/>
      <c r="N2083" s="1"/>
      <c r="O2083" s="1"/>
      <c r="P2083" s="1"/>
      <c r="Q2083" s="1"/>
      <c r="R2083" s="1"/>
      <c r="S2083" s="1"/>
      <c r="T2083" s="1">
        <f>SUM(T2077:T2082)</f>
        <v>60750</v>
      </c>
      <c r="U2083" s="1"/>
      <c r="V2083" s="1"/>
      <c r="W2083" s="143"/>
    </row>
    <row r="2084" spans="1:23" x14ac:dyDescent="0.3">
      <c r="A2084" s="62"/>
      <c r="B2084" s="62"/>
      <c r="C2084" s="62"/>
      <c r="D2084" s="62"/>
      <c r="E2084" s="1"/>
      <c r="F2084" s="1"/>
      <c r="G2084" s="1"/>
      <c r="H2084" s="1"/>
      <c r="I2084" s="1"/>
      <c r="J2084" s="1"/>
      <c r="K2084" s="62"/>
      <c r="L2084" s="62"/>
      <c r="M2084" s="62"/>
      <c r="N2084" s="62"/>
      <c r="O2084" s="62"/>
      <c r="P2084" s="62"/>
      <c r="Q2084" s="62"/>
      <c r="R2084" s="62"/>
      <c r="S2084" s="62"/>
      <c r="T2084" s="62"/>
      <c r="U2084" s="62"/>
      <c r="V2084" s="62"/>
      <c r="W2084" s="142"/>
    </row>
    <row r="2085" spans="1:23" ht="25.2" x14ac:dyDescent="0.3">
      <c r="A2085" s="16">
        <v>189</v>
      </c>
      <c r="B2085" s="16">
        <v>9200160448</v>
      </c>
      <c r="C2085" s="19" t="s">
        <v>2155</v>
      </c>
      <c r="D2085" s="16" t="s">
        <v>1502</v>
      </c>
      <c r="E2085" s="16" t="s">
        <v>123</v>
      </c>
      <c r="F2085" s="39" t="s">
        <v>1971</v>
      </c>
      <c r="G2085" s="16">
        <v>225</v>
      </c>
      <c r="H2085" s="16" t="s">
        <v>60</v>
      </c>
      <c r="I2085" s="16">
        <v>180</v>
      </c>
      <c r="J2085" s="16">
        <f t="shared" ref="J2085:J2087" si="453">G2085*I2085</f>
        <v>40500</v>
      </c>
      <c r="K2085" s="16">
        <v>225</v>
      </c>
      <c r="L2085" s="16" t="s">
        <v>60</v>
      </c>
      <c r="M2085" s="16" t="s">
        <v>91</v>
      </c>
      <c r="N2085" s="30" t="s">
        <v>2134</v>
      </c>
      <c r="O2085" s="30">
        <v>225</v>
      </c>
      <c r="P2085" s="30">
        <v>180</v>
      </c>
      <c r="Q2085" s="30">
        <f>O2085*P2085</f>
        <v>40500</v>
      </c>
      <c r="R2085" s="52">
        <v>0</v>
      </c>
      <c r="S2085" s="30">
        <f>Q2085*R2085</f>
        <v>0</v>
      </c>
      <c r="T2085" s="30">
        <f>Q2085+S2085</f>
        <v>40500</v>
      </c>
      <c r="U2085" s="30" t="s">
        <v>2179</v>
      </c>
      <c r="V2085" s="31" t="s">
        <v>2180</v>
      </c>
      <c r="W2085" s="142" t="s">
        <v>2193</v>
      </c>
    </row>
    <row r="2086" spans="1:23" ht="25.2" x14ac:dyDescent="0.3">
      <c r="A2086" s="62"/>
      <c r="B2086" s="26"/>
      <c r="C2086" s="1"/>
      <c r="D2086" s="1"/>
      <c r="E2086" s="16" t="s">
        <v>123</v>
      </c>
      <c r="F2086" s="39" t="s">
        <v>1972</v>
      </c>
      <c r="G2086" s="16">
        <v>5</v>
      </c>
      <c r="H2086" s="16" t="s">
        <v>28</v>
      </c>
      <c r="I2086" s="16">
        <v>980</v>
      </c>
      <c r="J2086" s="16">
        <f t="shared" si="453"/>
        <v>4900</v>
      </c>
      <c r="K2086" s="16">
        <v>5</v>
      </c>
      <c r="L2086" s="16" t="s">
        <v>181</v>
      </c>
      <c r="M2086" s="16" t="s">
        <v>91</v>
      </c>
      <c r="N2086" s="30" t="s">
        <v>2134</v>
      </c>
      <c r="O2086" s="30">
        <v>5</v>
      </c>
      <c r="P2086" s="30">
        <v>980</v>
      </c>
      <c r="Q2086" s="30">
        <f t="shared" ref="Q2086:Q2087" si="454">O2086*P2086</f>
        <v>4900</v>
      </c>
      <c r="R2086" s="52">
        <v>0</v>
      </c>
      <c r="S2086" s="30">
        <f t="shared" ref="S2086:S2087" si="455">Q2086*R2086</f>
        <v>0</v>
      </c>
      <c r="T2086" s="30">
        <f t="shared" ref="T2086:T2087" si="456">Q2086+S2086</f>
        <v>4900</v>
      </c>
      <c r="U2086" s="30" t="s">
        <v>2179</v>
      </c>
      <c r="V2086" s="31" t="s">
        <v>2180</v>
      </c>
      <c r="W2086" s="142" t="s">
        <v>2193</v>
      </c>
    </row>
    <row r="2087" spans="1:23" ht="25.2" x14ac:dyDescent="0.3">
      <c r="A2087" s="62"/>
      <c r="B2087" s="1"/>
      <c r="C2087" s="1"/>
      <c r="D2087" s="1"/>
      <c r="E2087" s="16" t="s">
        <v>123</v>
      </c>
      <c r="F2087" s="39" t="s">
        <v>1973</v>
      </c>
      <c r="G2087" s="16">
        <v>5</v>
      </c>
      <c r="H2087" s="16" t="s">
        <v>28</v>
      </c>
      <c r="I2087" s="16">
        <v>180</v>
      </c>
      <c r="J2087" s="16">
        <f t="shared" si="453"/>
        <v>900</v>
      </c>
      <c r="K2087" s="16">
        <v>5</v>
      </c>
      <c r="L2087" s="16" t="s">
        <v>28</v>
      </c>
      <c r="M2087" s="16" t="s">
        <v>91</v>
      </c>
      <c r="N2087" s="30" t="s">
        <v>2134</v>
      </c>
      <c r="O2087" s="30">
        <v>5</v>
      </c>
      <c r="P2087" s="30">
        <v>180</v>
      </c>
      <c r="Q2087" s="30">
        <f t="shared" si="454"/>
        <v>900</v>
      </c>
      <c r="R2087" s="52">
        <v>0</v>
      </c>
      <c r="S2087" s="30">
        <f t="shared" si="455"/>
        <v>0</v>
      </c>
      <c r="T2087" s="30">
        <f t="shared" si="456"/>
        <v>900</v>
      </c>
      <c r="U2087" s="30" t="s">
        <v>2179</v>
      </c>
      <c r="V2087" s="31" t="s">
        <v>2180</v>
      </c>
      <c r="W2087" s="142" t="s">
        <v>2193</v>
      </c>
    </row>
    <row r="2088" spans="1:23" x14ac:dyDescent="0.3">
      <c r="A2088" s="62"/>
      <c r="B2088" s="1"/>
      <c r="C2088" s="1"/>
      <c r="D2088" s="1"/>
      <c r="E2088" s="1"/>
      <c r="F2088" s="124" t="s">
        <v>39</v>
      </c>
      <c r="G2088" s="1"/>
      <c r="H2088" s="1"/>
      <c r="I2088" s="1"/>
      <c r="J2088" s="124">
        <f>SUM(J2085:J2087)</f>
        <v>46300</v>
      </c>
      <c r="K2088" s="1"/>
      <c r="L2088" s="1"/>
      <c r="M2088" s="1"/>
      <c r="N2088" s="1"/>
      <c r="O2088" s="62"/>
      <c r="P2088" s="62"/>
      <c r="Q2088" s="62"/>
      <c r="R2088" s="62"/>
      <c r="S2088" s="62"/>
      <c r="T2088" s="62"/>
      <c r="U2088" s="62"/>
      <c r="V2088" s="62"/>
      <c r="W2088" s="142"/>
    </row>
    <row r="2089" spans="1:23" x14ac:dyDescent="0.3">
      <c r="A2089" s="62"/>
      <c r="B2089" s="1"/>
      <c r="C2089" s="1"/>
      <c r="D2089" s="1"/>
      <c r="E2089" s="1"/>
      <c r="F2089" s="124" t="s">
        <v>187</v>
      </c>
      <c r="G2089" s="1"/>
      <c r="H2089" s="1"/>
      <c r="I2089" s="1"/>
      <c r="J2089" s="124">
        <f>J2088*0/100</f>
        <v>0</v>
      </c>
      <c r="K2089" s="1"/>
      <c r="L2089" s="1"/>
      <c r="M2089" s="1"/>
      <c r="N2089" s="1"/>
      <c r="O2089" s="62"/>
      <c r="P2089" s="62"/>
      <c r="Q2089" s="62"/>
      <c r="R2089" s="62"/>
      <c r="S2089" s="62"/>
      <c r="T2089" s="62"/>
      <c r="U2089" s="62"/>
      <c r="V2089" s="62"/>
      <c r="W2089" s="142"/>
    </row>
    <row r="2090" spans="1:23" x14ac:dyDescent="0.3">
      <c r="A2090" s="62"/>
      <c r="B2090" s="1"/>
      <c r="C2090" s="1"/>
      <c r="D2090" s="1"/>
      <c r="E2090" s="1"/>
      <c r="F2090" s="124" t="s">
        <v>41</v>
      </c>
      <c r="G2090" s="1"/>
      <c r="H2090" s="1"/>
      <c r="I2090" s="1"/>
      <c r="J2090" s="124">
        <f>SUM(J2088:J2089)</f>
        <v>46300</v>
      </c>
      <c r="K2090" s="1"/>
      <c r="L2090" s="1"/>
      <c r="M2090" s="1"/>
      <c r="N2090" s="1"/>
      <c r="O2090" s="62"/>
      <c r="P2090" s="62"/>
      <c r="Q2090" s="62"/>
      <c r="R2090" s="62"/>
      <c r="S2090" s="62"/>
      <c r="T2090" s="62">
        <f>SUM(T2085:T2089)</f>
        <v>46300</v>
      </c>
      <c r="U2090" s="62"/>
      <c r="V2090" s="62"/>
      <c r="W2090" s="142"/>
    </row>
    <row r="2091" spans="1:23" x14ac:dyDescent="0.3">
      <c r="A2091" s="62"/>
      <c r="B2091" s="62"/>
      <c r="C2091" s="62"/>
      <c r="D2091" s="62"/>
      <c r="E2091" s="1"/>
      <c r="F2091" s="1"/>
      <c r="G2091" s="1"/>
      <c r="H2091" s="1"/>
      <c r="I2091" s="1"/>
      <c r="J2091" s="1"/>
      <c r="K2091" s="62"/>
      <c r="L2091" s="62"/>
      <c r="M2091" s="62"/>
      <c r="N2091" s="62"/>
      <c r="O2091" s="62"/>
      <c r="P2091" s="62"/>
      <c r="Q2091" s="62"/>
      <c r="R2091" s="62"/>
      <c r="S2091" s="62"/>
      <c r="T2091" s="62"/>
      <c r="U2091" s="62"/>
      <c r="V2091" s="62"/>
      <c r="W2091" s="142"/>
    </row>
    <row r="2092" spans="1:23" ht="75.599999999999994" x14ac:dyDescent="0.3">
      <c r="A2092" s="16">
        <v>190</v>
      </c>
      <c r="B2092" s="16">
        <v>9200160624</v>
      </c>
      <c r="C2092" s="16" t="s">
        <v>2159</v>
      </c>
      <c r="D2092" s="16" t="s">
        <v>43</v>
      </c>
      <c r="E2092" s="16" t="s">
        <v>123</v>
      </c>
      <c r="F2092" s="39" t="s">
        <v>2160</v>
      </c>
      <c r="G2092" s="16">
        <v>66</v>
      </c>
      <c r="H2092" s="16" t="s">
        <v>28</v>
      </c>
      <c r="I2092" s="16">
        <v>17250</v>
      </c>
      <c r="J2092" s="16">
        <f>G2092*I2092</f>
        <v>1138500</v>
      </c>
      <c r="K2092" s="16">
        <v>66</v>
      </c>
      <c r="L2092" s="16" t="s">
        <v>28</v>
      </c>
      <c r="M2092" s="16" t="s">
        <v>91</v>
      </c>
      <c r="N2092" s="16" t="s">
        <v>2264</v>
      </c>
      <c r="O2092" s="16">
        <v>66</v>
      </c>
      <c r="P2092" s="16">
        <v>17250</v>
      </c>
      <c r="Q2092" s="16">
        <f>O2092*P2092</f>
        <v>1138500</v>
      </c>
      <c r="R2092" s="18">
        <v>0</v>
      </c>
      <c r="S2092" s="16">
        <f>Q2092*R2092</f>
        <v>0</v>
      </c>
      <c r="T2092" s="16">
        <f>Q2092+S2092</f>
        <v>1138500</v>
      </c>
      <c r="U2092" s="16" t="s">
        <v>2390</v>
      </c>
      <c r="V2092" s="16" t="s">
        <v>2391</v>
      </c>
      <c r="W2092" s="142" t="s">
        <v>2414</v>
      </c>
    </row>
    <row r="2093" spans="1:23" x14ac:dyDescent="0.3">
      <c r="A2093" s="62"/>
      <c r="B2093" s="1"/>
      <c r="C2093" s="1"/>
      <c r="D2093" s="1"/>
      <c r="E2093" s="1"/>
      <c r="F2093" s="124" t="s">
        <v>39</v>
      </c>
      <c r="G2093" s="1"/>
      <c r="H2093" s="1"/>
      <c r="I2093" s="1"/>
      <c r="J2093" s="124">
        <f>SUM(J2092)</f>
        <v>1138500</v>
      </c>
      <c r="K2093" s="1"/>
      <c r="L2093" s="1"/>
      <c r="M2093" s="1"/>
      <c r="N2093" s="1"/>
      <c r="O2093" s="1"/>
      <c r="P2093" s="1"/>
      <c r="Q2093" s="1"/>
      <c r="R2093" s="1"/>
      <c r="S2093" s="1"/>
      <c r="T2093" s="1"/>
      <c r="U2093" s="1"/>
      <c r="V2093" s="1"/>
    </row>
    <row r="2094" spans="1:23" x14ac:dyDescent="0.3">
      <c r="A2094" s="62"/>
      <c r="B2094" s="1"/>
      <c r="C2094" s="1"/>
      <c r="D2094" s="1"/>
      <c r="E2094" s="1"/>
      <c r="F2094" s="124" t="s">
        <v>599</v>
      </c>
      <c r="G2094" s="1"/>
      <c r="H2094" s="1"/>
      <c r="I2094" s="1"/>
      <c r="J2094" s="124">
        <f>J2093*0/100</f>
        <v>0</v>
      </c>
      <c r="K2094" s="1"/>
      <c r="L2094" s="1"/>
      <c r="M2094" s="1"/>
      <c r="N2094" s="1"/>
      <c r="O2094" s="1"/>
      <c r="P2094" s="1"/>
      <c r="Q2094" s="1"/>
      <c r="R2094" s="1"/>
      <c r="S2094" s="1"/>
      <c r="T2094" s="1"/>
      <c r="U2094" s="1"/>
      <c r="V2094" s="1"/>
    </row>
    <row r="2095" spans="1:23" x14ac:dyDescent="0.3">
      <c r="A2095" s="62"/>
      <c r="B2095" s="1"/>
      <c r="C2095" s="1"/>
      <c r="D2095" s="1"/>
      <c r="E2095" s="1"/>
      <c r="F2095" s="124" t="s">
        <v>41</v>
      </c>
      <c r="G2095" s="1"/>
      <c r="H2095" s="1"/>
      <c r="I2095" s="1"/>
      <c r="J2095" s="124">
        <f>SUM(J2093:J2094)</f>
        <v>1138500</v>
      </c>
      <c r="K2095" s="1"/>
      <c r="L2095" s="1"/>
      <c r="M2095" s="1"/>
      <c r="N2095" s="1"/>
      <c r="O2095" s="1"/>
      <c r="P2095" s="1"/>
      <c r="Q2095" s="1"/>
      <c r="R2095" s="1"/>
      <c r="S2095" s="1"/>
      <c r="T2095" s="1"/>
      <c r="U2095" s="1"/>
      <c r="V2095" s="1"/>
    </row>
    <row r="2096" spans="1:23" x14ac:dyDescent="0.3">
      <c r="A2096" s="1"/>
      <c r="B2096" s="1"/>
      <c r="C2096" s="1"/>
      <c r="D2096" s="1"/>
      <c r="E2096" s="1"/>
      <c r="F2096" s="1"/>
      <c r="G2096" s="1"/>
      <c r="H2096" s="1"/>
      <c r="I2096" s="1"/>
      <c r="J2096" s="1"/>
      <c r="K2096" s="1"/>
      <c r="L2096" s="1"/>
      <c r="M2096" s="1"/>
      <c r="N2096" s="1"/>
      <c r="O2096" s="1"/>
      <c r="P2096" s="1"/>
      <c r="Q2096" s="1"/>
      <c r="R2096" s="1"/>
      <c r="S2096" s="1"/>
      <c r="T2096" s="1"/>
      <c r="U2096" s="1"/>
      <c r="V2096" s="1"/>
    </row>
    <row r="2097" spans="1:23" x14ac:dyDescent="0.3">
      <c r="A2097" s="16">
        <v>191</v>
      </c>
      <c r="B2097" s="16">
        <v>8100023875</v>
      </c>
      <c r="C2097" s="16" t="s">
        <v>2187</v>
      </c>
      <c r="D2097" s="16" t="s">
        <v>1429</v>
      </c>
      <c r="E2097" s="16" t="s">
        <v>127</v>
      </c>
      <c r="F2097" s="16" t="s">
        <v>2188</v>
      </c>
      <c r="G2097" s="16">
        <v>100</v>
      </c>
      <c r="H2097" s="16" t="s">
        <v>60</v>
      </c>
      <c r="I2097" s="16">
        <v>160</v>
      </c>
      <c r="J2097" s="16">
        <f t="shared" ref="J2097:J2475" si="457">G2097*I2097</f>
        <v>16000</v>
      </c>
      <c r="K2097" s="16"/>
      <c r="L2097" s="16"/>
      <c r="M2097" s="16"/>
      <c r="N2097" s="16"/>
      <c r="O2097" s="16">
        <v>100</v>
      </c>
      <c r="P2097" s="16">
        <v>160</v>
      </c>
      <c r="Q2097" s="16">
        <f>O2097*P2097</f>
        <v>16000</v>
      </c>
      <c r="R2097" s="18">
        <v>0</v>
      </c>
      <c r="S2097" s="16">
        <f>Q2097*R2097</f>
        <v>0</v>
      </c>
      <c r="T2097" s="16">
        <f>Q2097+S2097</f>
        <v>16000</v>
      </c>
      <c r="U2097" s="16" t="s">
        <v>2203</v>
      </c>
      <c r="V2097" s="19" t="s">
        <v>2204</v>
      </c>
      <c r="W2097" s="136" t="s">
        <v>2206</v>
      </c>
    </row>
    <row r="2098" spans="1:23" ht="25.2" x14ac:dyDescent="0.3">
      <c r="A2098" s="1"/>
      <c r="B2098" s="1"/>
      <c r="C2098" s="1"/>
      <c r="D2098" s="1"/>
      <c r="E2098" s="16" t="s">
        <v>123</v>
      </c>
      <c r="F2098" s="39" t="s">
        <v>2201</v>
      </c>
      <c r="G2098" s="16">
        <v>3</v>
      </c>
      <c r="H2098" s="16" t="s">
        <v>181</v>
      </c>
      <c r="I2098" s="16">
        <v>1300</v>
      </c>
      <c r="J2098" s="16">
        <f t="shared" si="457"/>
        <v>3900</v>
      </c>
      <c r="K2098" s="16">
        <v>3</v>
      </c>
      <c r="L2098" s="16" t="s">
        <v>181</v>
      </c>
      <c r="M2098" s="16" t="s">
        <v>91</v>
      </c>
      <c r="N2098" s="16" t="s">
        <v>2205</v>
      </c>
      <c r="O2098" s="16">
        <v>3</v>
      </c>
      <c r="P2098" s="16">
        <v>1300</v>
      </c>
      <c r="Q2098" s="16">
        <f t="shared" ref="Q2098:Q2101" si="458">O2098*P2098</f>
        <v>3900</v>
      </c>
      <c r="R2098" s="18">
        <v>0</v>
      </c>
      <c r="S2098" s="16">
        <f t="shared" ref="S2098:S2101" si="459">Q2098*R2098</f>
        <v>0</v>
      </c>
      <c r="T2098" s="16">
        <f t="shared" ref="T2098:T2101" si="460">Q2098+S2098</f>
        <v>3900</v>
      </c>
      <c r="U2098" s="121" t="s">
        <v>2234</v>
      </c>
      <c r="V2098" s="123">
        <v>46207</v>
      </c>
      <c r="W2098" s="136" t="s">
        <v>2263</v>
      </c>
    </row>
    <row r="2099" spans="1:23" ht="25.2" x14ac:dyDescent="0.3">
      <c r="A2099" s="1"/>
      <c r="B2099" s="1"/>
      <c r="C2099" s="1"/>
      <c r="D2099" s="1"/>
      <c r="E2099" s="16" t="s">
        <v>123</v>
      </c>
      <c r="F2099" s="39" t="s">
        <v>2189</v>
      </c>
      <c r="G2099" s="16">
        <v>2</v>
      </c>
      <c r="H2099" s="16" t="s">
        <v>181</v>
      </c>
      <c r="I2099" s="16">
        <v>2550</v>
      </c>
      <c r="J2099" s="16">
        <f t="shared" si="457"/>
        <v>5100</v>
      </c>
      <c r="K2099" s="16">
        <v>3</v>
      </c>
      <c r="L2099" s="16" t="s">
        <v>181</v>
      </c>
      <c r="M2099" s="16" t="s">
        <v>91</v>
      </c>
      <c r="N2099" s="16" t="s">
        <v>2205</v>
      </c>
      <c r="O2099" s="16">
        <v>2</v>
      </c>
      <c r="P2099" s="16">
        <v>2550</v>
      </c>
      <c r="Q2099" s="16">
        <f t="shared" si="458"/>
        <v>5100</v>
      </c>
      <c r="R2099" s="18">
        <v>0</v>
      </c>
      <c r="S2099" s="16">
        <f t="shared" si="459"/>
        <v>0</v>
      </c>
      <c r="T2099" s="16">
        <f t="shared" si="460"/>
        <v>5100</v>
      </c>
      <c r="U2099" s="121" t="s">
        <v>2234</v>
      </c>
      <c r="V2099" s="123">
        <v>46207</v>
      </c>
      <c r="W2099" s="136" t="s">
        <v>2263</v>
      </c>
    </row>
    <row r="2100" spans="1:23" x14ac:dyDescent="0.3">
      <c r="A2100" s="1"/>
      <c r="B2100" s="1"/>
      <c r="C2100" s="1"/>
      <c r="D2100" s="1"/>
      <c r="E2100" s="16" t="s">
        <v>123</v>
      </c>
      <c r="F2100" s="16" t="s">
        <v>2190</v>
      </c>
      <c r="G2100" s="16">
        <v>100</v>
      </c>
      <c r="H2100" s="16" t="s">
        <v>60</v>
      </c>
      <c r="I2100" s="16">
        <v>75</v>
      </c>
      <c r="J2100" s="16">
        <f t="shared" si="457"/>
        <v>7500</v>
      </c>
      <c r="K2100" s="16"/>
      <c r="L2100" s="16"/>
      <c r="M2100" s="16"/>
      <c r="N2100" s="16"/>
      <c r="O2100" s="16">
        <v>40</v>
      </c>
      <c r="P2100" s="16">
        <v>75</v>
      </c>
      <c r="Q2100" s="16">
        <f t="shared" si="458"/>
        <v>3000</v>
      </c>
      <c r="R2100" s="18">
        <v>0</v>
      </c>
      <c r="S2100" s="16">
        <f t="shared" si="459"/>
        <v>0</v>
      </c>
      <c r="T2100" s="16">
        <f t="shared" si="460"/>
        <v>3000</v>
      </c>
      <c r="U2100" s="121" t="s">
        <v>2234</v>
      </c>
      <c r="V2100" s="123">
        <v>46207</v>
      </c>
      <c r="W2100" s="136" t="s">
        <v>2263</v>
      </c>
    </row>
    <row r="2101" spans="1:23" x14ac:dyDescent="0.3">
      <c r="A2101" s="1"/>
      <c r="B2101" s="1"/>
      <c r="C2101" s="1"/>
      <c r="D2101" s="1"/>
      <c r="E2101" s="16" t="s">
        <v>123</v>
      </c>
      <c r="F2101" s="16" t="s">
        <v>2191</v>
      </c>
      <c r="G2101" s="16">
        <v>10</v>
      </c>
      <c r="H2101" s="16" t="s">
        <v>87</v>
      </c>
      <c r="I2101" s="16">
        <v>690</v>
      </c>
      <c r="J2101" s="16">
        <f t="shared" si="457"/>
        <v>6900</v>
      </c>
      <c r="K2101" s="16"/>
      <c r="L2101" s="16"/>
      <c r="M2101" s="16"/>
      <c r="N2101" s="16"/>
      <c r="O2101" s="16">
        <v>10</v>
      </c>
      <c r="P2101" s="16">
        <v>690</v>
      </c>
      <c r="Q2101" s="16">
        <f t="shared" si="458"/>
        <v>6900</v>
      </c>
      <c r="R2101" s="18">
        <v>0</v>
      </c>
      <c r="S2101" s="16">
        <f t="shared" si="459"/>
        <v>0</v>
      </c>
      <c r="T2101" s="16">
        <f t="shared" si="460"/>
        <v>6900</v>
      </c>
      <c r="U2101" s="121" t="s">
        <v>2234</v>
      </c>
      <c r="V2101" s="123">
        <v>46207</v>
      </c>
      <c r="W2101" s="136" t="s">
        <v>2263</v>
      </c>
    </row>
    <row r="2102" spans="1:23" x14ac:dyDescent="0.3">
      <c r="A2102" s="62"/>
      <c r="B2102" s="1"/>
      <c r="C2102" s="1"/>
      <c r="D2102" s="1"/>
      <c r="E2102" s="1"/>
      <c r="F2102" s="124" t="s">
        <v>39</v>
      </c>
      <c r="G2102" s="1"/>
      <c r="H2102" s="1"/>
      <c r="I2102" s="1"/>
      <c r="J2102" s="124">
        <f>SUM(J2097:J2101)</f>
        <v>39400</v>
      </c>
      <c r="K2102" s="1"/>
      <c r="L2102" s="1"/>
      <c r="M2102" s="1"/>
      <c r="N2102" s="1"/>
      <c r="O2102" s="1"/>
      <c r="P2102" s="1"/>
      <c r="Q2102" s="1"/>
      <c r="R2102" s="1"/>
      <c r="S2102" s="1"/>
      <c r="T2102" s="1"/>
      <c r="U2102" s="1"/>
      <c r="V2102" s="1"/>
    </row>
    <row r="2103" spans="1:23" x14ac:dyDescent="0.3">
      <c r="A2103" s="62"/>
      <c r="B2103" s="1"/>
      <c r="C2103" s="1"/>
      <c r="D2103" s="1"/>
      <c r="E2103" s="1"/>
      <c r="F2103" s="124" t="s">
        <v>599</v>
      </c>
      <c r="G2103" s="1"/>
      <c r="H2103" s="1"/>
      <c r="I2103" s="1"/>
      <c r="J2103" s="124">
        <f>J2102*0/100</f>
        <v>0</v>
      </c>
      <c r="K2103" s="1"/>
      <c r="L2103" s="1"/>
      <c r="M2103" s="1"/>
      <c r="N2103" s="1"/>
      <c r="O2103" s="1"/>
      <c r="P2103" s="1"/>
      <c r="Q2103" s="1"/>
      <c r="R2103" s="1"/>
      <c r="S2103" s="1"/>
      <c r="T2103" s="1"/>
      <c r="U2103" s="1"/>
      <c r="V2103" s="1"/>
    </row>
    <row r="2104" spans="1:23" x14ac:dyDescent="0.3">
      <c r="A2104" s="62"/>
      <c r="B2104" s="1"/>
      <c r="C2104" s="1"/>
      <c r="D2104" s="1"/>
      <c r="E2104" s="1"/>
      <c r="F2104" s="124" t="s">
        <v>41</v>
      </c>
      <c r="G2104" s="1"/>
      <c r="H2104" s="1"/>
      <c r="I2104" s="1"/>
      <c r="J2104" s="124">
        <f>SUM(J2102:J2103)</f>
        <v>39400</v>
      </c>
      <c r="K2104" s="1"/>
      <c r="L2104" s="1"/>
      <c r="M2104" s="1"/>
      <c r="N2104" s="1"/>
      <c r="O2104" s="1"/>
      <c r="P2104" s="1"/>
      <c r="Q2104" s="1"/>
      <c r="R2104" s="1"/>
      <c r="S2104" s="1"/>
      <c r="T2104" s="1">
        <f>SUM(T2097:T2103)</f>
        <v>34900</v>
      </c>
      <c r="U2104" s="1"/>
      <c r="V2104" s="1"/>
    </row>
    <row r="2105" spans="1:23" x14ac:dyDescent="0.3">
      <c r="A2105" s="1"/>
      <c r="B2105" s="1"/>
      <c r="C2105" s="1"/>
      <c r="D2105" s="1"/>
      <c r="E2105" s="1"/>
      <c r="F2105" s="1"/>
      <c r="G2105" s="1"/>
      <c r="H2105" s="1"/>
      <c r="I2105" s="1"/>
      <c r="J2105" s="1"/>
      <c r="K2105" s="1"/>
      <c r="L2105" s="1"/>
      <c r="M2105" s="1"/>
      <c r="N2105" s="1"/>
      <c r="O2105" s="1"/>
      <c r="P2105" s="1"/>
      <c r="Q2105" s="1"/>
      <c r="R2105" s="1"/>
      <c r="S2105" s="1"/>
      <c r="T2105" s="1"/>
      <c r="U2105" s="1"/>
      <c r="V2105" s="1"/>
    </row>
    <row r="2106" spans="1:23" x14ac:dyDescent="0.3">
      <c r="A2106" s="16">
        <v>192</v>
      </c>
      <c r="B2106" s="16">
        <v>9200162322</v>
      </c>
      <c r="C2106" s="19">
        <v>42404</v>
      </c>
      <c r="D2106" s="16" t="s">
        <v>43</v>
      </c>
      <c r="E2106" s="16" t="s">
        <v>123</v>
      </c>
      <c r="F2106" s="16" t="s">
        <v>2208</v>
      </c>
      <c r="G2106" s="16">
        <v>1</v>
      </c>
      <c r="H2106" s="16" t="s">
        <v>28</v>
      </c>
      <c r="I2106" s="16">
        <v>840</v>
      </c>
      <c r="J2106" s="16">
        <f t="shared" si="457"/>
        <v>840</v>
      </c>
      <c r="K2106" s="16">
        <v>1</v>
      </c>
      <c r="L2106" s="16" t="s">
        <v>28</v>
      </c>
      <c r="M2106" s="16" t="s">
        <v>1570</v>
      </c>
      <c r="N2106" s="16" t="s">
        <v>2265</v>
      </c>
      <c r="O2106" s="16">
        <v>1</v>
      </c>
      <c r="P2106" s="16">
        <v>840</v>
      </c>
      <c r="Q2106" s="16">
        <f>O2106*P2106</f>
        <v>840</v>
      </c>
      <c r="R2106" s="18">
        <v>0</v>
      </c>
      <c r="S2106" s="16">
        <f>Q2106*R2106</f>
        <v>0</v>
      </c>
      <c r="T2106" s="16">
        <f>Q2106+S2106</f>
        <v>840</v>
      </c>
      <c r="U2106" s="16" t="s">
        <v>2567</v>
      </c>
      <c r="V2106" s="16" t="s">
        <v>2568</v>
      </c>
    </row>
    <row r="2107" spans="1:23" x14ac:dyDescent="0.3">
      <c r="A2107" s="1"/>
      <c r="B2107" s="1"/>
      <c r="C2107" s="1"/>
      <c r="D2107" s="1"/>
      <c r="E2107" s="16" t="s">
        <v>123</v>
      </c>
      <c r="F2107" s="16" t="s">
        <v>2209</v>
      </c>
      <c r="G2107" s="16">
        <v>2</v>
      </c>
      <c r="H2107" s="16" t="s">
        <v>28</v>
      </c>
      <c r="I2107" s="16">
        <v>840</v>
      </c>
      <c r="J2107" s="16">
        <f t="shared" si="457"/>
        <v>1680</v>
      </c>
      <c r="K2107" s="16">
        <v>2</v>
      </c>
      <c r="L2107" s="16" t="s">
        <v>28</v>
      </c>
      <c r="M2107" s="16" t="s">
        <v>1570</v>
      </c>
      <c r="N2107" s="16" t="s">
        <v>2265</v>
      </c>
      <c r="O2107" s="16">
        <v>2</v>
      </c>
      <c r="P2107" s="16">
        <v>840</v>
      </c>
      <c r="Q2107" s="16">
        <f t="shared" ref="Q2107:Q2126" si="461">O2107*P2107</f>
        <v>1680</v>
      </c>
      <c r="R2107" s="18">
        <v>0</v>
      </c>
      <c r="S2107" s="16">
        <f t="shared" ref="S2107:S2126" si="462">Q2107*R2107</f>
        <v>0</v>
      </c>
      <c r="T2107" s="16">
        <f t="shared" ref="T2107:T2126" si="463">Q2107+S2107</f>
        <v>1680</v>
      </c>
      <c r="U2107" s="16" t="s">
        <v>2567</v>
      </c>
      <c r="V2107" s="16" t="s">
        <v>2568</v>
      </c>
    </row>
    <row r="2108" spans="1:23" x14ac:dyDescent="0.3">
      <c r="A2108" s="1"/>
      <c r="B2108" s="1"/>
      <c r="C2108" s="1"/>
      <c r="D2108" s="1"/>
      <c r="E2108" s="16" t="s">
        <v>123</v>
      </c>
      <c r="F2108" s="16" t="s">
        <v>2210</v>
      </c>
      <c r="G2108" s="16">
        <v>2</v>
      </c>
      <c r="H2108" s="16" t="s">
        <v>28</v>
      </c>
      <c r="I2108" s="16">
        <v>5000</v>
      </c>
      <c r="J2108" s="16">
        <f t="shared" si="457"/>
        <v>10000</v>
      </c>
      <c r="K2108" s="16">
        <v>2</v>
      </c>
      <c r="L2108" s="16" t="s">
        <v>28</v>
      </c>
      <c r="M2108" s="16" t="s">
        <v>1570</v>
      </c>
      <c r="N2108" s="16" t="s">
        <v>2265</v>
      </c>
      <c r="O2108" s="16">
        <v>2</v>
      </c>
      <c r="P2108" s="16">
        <v>5000</v>
      </c>
      <c r="Q2108" s="16">
        <f t="shared" si="461"/>
        <v>10000</v>
      </c>
      <c r="R2108" s="18">
        <v>0</v>
      </c>
      <c r="S2108" s="16">
        <f t="shared" si="462"/>
        <v>0</v>
      </c>
      <c r="T2108" s="16">
        <f t="shared" si="463"/>
        <v>10000</v>
      </c>
      <c r="U2108" s="16" t="s">
        <v>2567</v>
      </c>
      <c r="V2108" s="16" t="s">
        <v>2568</v>
      </c>
    </row>
    <row r="2109" spans="1:23" x14ac:dyDescent="0.3">
      <c r="A2109" s="1"/>
      <c r="B2109" s="1"/>
      <c r="C2109" s="1"/>
      <c r="D2109" s="1"/>
      <c r="E2109" s="16" t="s">
        <v>123</v>
      </c>
      <c r="F2109" s="16" t="s">
        <v>2211</v>
      </c>
      <c r="G2109" s="16">
        <v>2</v>
      </c>
      <c r="H2109" s="16" t="s">
        <v>28</v>
      </c>
      <c r="I2109" s="16">
        <v>6300</v>
      </c>
      <c r="J2109" s="16">
        <f t="shared" si="457"/>
        <v>12600</v>
      </c>
      <c r="K2109" s="16">
        <v>2</v>
      </c>
      <c r="L2109" s="16" t="s">
        <v>28</v>
      </c>
      <c r="M2109" s="16" t="s">
        <v>1570</v>
      </c>
      <c r="N2109" s="16" t="s">
        <v>2265</v>
      </c>
      <c r="O2109" s="16">
        <v>2</v>
      </c>
      <c r="P2109" s="16">
        <v>6300</v>
      </c>
      <c r="Q2109" s="16">
        <f t="shared" si="461"/>
        <v>12600</v>
      </c>
      <c r="R2109" s="18">
        <v>0</v>
      </c>
      <c r="S2109" s="16">
        <f t="shared" si="462"/>
        <v>0</v>
      </c>
      <c r="T2109" s="16">
        <f t="shared" si="463"/>
        <v>12600</v>
      </c>
      <c r="U2109" s="16" t="s">
        <v>2567</v>
      </c>
      <c r="V2109" s="16" t="s">
        <v>2568</v>
      </c>
    </row>
    <row r="2110" spans="1:23" x14ac:dyDescent="0.3">
      <c r="A2110" s="1"/>
      <c r="B2110" s="1"/>
      <c r="C2110" s="1"/>
      <c r="D2110" s="1"/>
      <c r="E2110" s="16" t="s">
        <v>123</v>
      </c>
      <c r="F2110" s="16" t="s">
        <v>2212</v>
      </c>
      <c r="G2110" s="16">
        <v>1</v>
      </c>
      <c r="H2110" s="16" t="s">
        <v>28</v>
      </c>
      <c r="I2110" s="16">
        <v>17850</v>
      </c>
      <c r="J2110" s="16">
        <f t="shared" si="457"/>
        <v>17850</v>
      </c>
      <c r="K2110" s="16">
        <v>1</v>
      </c>
      <c r="L2110" s="16" t="s">
        <v>28</v>
      </c>
      <c r="M2110" s="16" t="s">
        <v>1570</v>
      </c>
      <c r="N2110" s="16" t="s">
        <v>2265</v>
      </c>
      <c r="O2110" s="16">
        <v>1</v>
      </c>
      <c r="P2110" s="16">
        <v>17850</v>
      </c>
      <c r="Q2110" s="16">
        <f t="shared" si="461"/>
        <v>17850</v>
      </c>
      <c r="R2110" s="18">
        <v>0</v>
      </c>
      <c r="S2110" s="16">
        <f t="shared" si="462"/>
        <v>0</v>
      </c>
      <c r="T2110" s="16">
        <f t="shared" si="463"/>
        <v>17850</v>
      </c>
      <c r="U2110" s="16" t="s">
        <v>2567</v>
      </c>
      <c r="V2110" s="16" t="s">
        <v>2568</v>
      </c>
    </row>
    <row r="2111" spans="1:23" x14ac:dyDescent="0.3">
      <c r="A2111" s="1"/>
      <c r="B2111" s="1"/>
      <c r="C2111" s="1"/>
      <c r="D2111" s="1"/>
      <c r="E2111" s="16" t="s">
        <v>123</v>
      </c>
      <c r="F2111" s="16" t="s">
        <v>2213</v>
      </c>
      <c r="G2111" s="16">
        <v>4</v>
      </c>
      <c r="H2111" s="16" t="s">
        <v>28</v>
      </c>
      <c r="I2111" s="16">
        <v>2400</v>
      </c>
      <c r="J2111" s="16">
        <f t="shared" si="457"/>
        <v>9600</v>
      </c>
      <c r="K2111" s="16">
        <v>4</v>
      </c>
      <c r="L2111" s="16" t="s">
        <v>28</v>
      </c>
      <c r="M2111" s="16" t="s">
        <v>1570</v>
      </c>
      <c r="N2111" s="16" t="s">
        <v>2265</v>
      </c>
      <c r="O2111" s="16">
        <v>4</v>
      </c>
      <c r="P2111" s="16">
        <v>2400</v>
      </c>
      <c r="Q2111" s="16">
        <f t="shared" si="461"/>
        <v>9600</v>
      </c>
      <c r="R2111" s="18">
        <v>0</v>
      </c>
      <c r="S2111" s="16">
        <f t="shared" si="462"/>
        <v>0</v>
      </c>
      <c r="T2111" s="16">
        <f t="shared" si="463"/>
        <v>9600</v>
      </c>
      <c r="U2111" s="16" t="s">
        <v>2567</v>
      </c>
      <c r="V2111" s="16" t="s">
        <v>2568</v>
      </c>
    </row>
    <row r="2112" spans="1:23" x14ac:dyDescent="0.3">
      <c r="A2112" s="1"/>
      <c r="B2112" s="1"/>
      <c r="C2112" s="1"/>
      <c r="D2112" s="1"/>
      <c r="E2112" s="16" t="s">
        <v>123</v>
      </c>
      <c r="F2112" s="16" t="s">
        <v>2214</v>
      </c>
      <c r="G2112" s="16">
        <v>1</v>
      </c>
      <c r="H2112" s="16" t="s">
        <v>28</v>
      </c>
      <c r="I2112" s="16">
        <v>21000</v>
      </c>
      <c r="J2112" s="16">
        <f t="shared" si="457"/>
        <v>21000</v>
      </c>
      <c r="K2112" s="16">
        <v>1</v>
      </c>
      <c r="L2112" s="16" t="s">
        <v>28</v>
      </c>
      <c r="M2112" s="16" t="s">
        <v>91</v>
      </c>
      <c r="N2112" s="16" t="s">
        <v>2463</v>
      </c>
      <c r="O2112" s="16">
        <v>1</v>
      </c>
      <c r="P2112" s="16">
        <v>21000</v>
      </c>
      <c r="Q2112" s="16">
        <f t="shared" si="461"/>
        <v>21000</v>
      </c>
      <c r="R2112" s="18">
        <v>0</v>
      </c>
      <c r="S2112" s="16">
        <f t="shared" si="462"/>
        <v>0</v>
      </c>
      <c r="T2112" s="16">
        <f t="shared" si="463"/>
        <v>21000</v>
      </c>
      <c r="U2112" s="16" t="s">
        <v>2567</v>
      </c>
      <c r="V2112" s="16" t="s">
        <v>2568</v>
      </c>
    </row>
    <row r="2113" spans="1:22" ht="25.2" x14ac:dyDescent="0.3">
      <c r="A2113" s="1"/>
      <c r="B2113" s="1"/>
      <c r="C2113" s="1"/>
      <c r="D2113" s="1"/>
      <c r="E2113" s="16" t="s">
        <v>123</v>
      </c>
      <c r="F2113" s="39" t="s">
        <v>2215</v>
      </c>
      <c r="G2113" s="16">
        <v>6</v>
      </c>
      <c r="H2113" s="16" t="s">
        <v>181</v>
      </c>
      <c r="I2113" s="16">
        <v>4950</v>
      </c>
      <c r="J2113" s="16">
        <f t="shared" si="457"/>
        <v>29700</v>
      </c>
      <c r="K2113" s="16"/>
      <c r="L2113" s="16"/>
      <c r="M2113" s="16"/>
      <c r="N2113" s="16"/>
      <c r="O2113" s="16">
        <v>6</v>
      </c>
      <c r="P2113" s="16">
        <v>4950</v>
      </c>
      <c r="Q2113" s="16">
        <f t="shared" si="461"/>
        <v>29700</v>
      </c>
      <c r="R2113" s="18">
        <v>0</v>
      </c>
      <c r="S2113" s="16">
        <f t="shared" si="462"/>
        <v>0</v>
      </c>
      <c r="T2113" s="16">
        <f t="shared" si="463"/>
        <v>29700</v>
      </c>
      <c r="U2113" s="16" t="s">
        <v>2567</v>
      </c>
      <c r="V2113" s="16" t="s">
        <v>2568</v>
      </c>
    </row>
    <row r="2114" spans="1:22" x14ac:dyDescent="0.3">
      <c r="A2114" s="1"/>
      <c r="B2114" s="1"/>
      <c r="C2114" s="1"/>
      <c r="D2114" s="1"/>
      <c r="E2114" s="16" t="s">
        <v>123</v>
      </c>
      <c r="F2114" s="16" t="s">
        <v>2216</v>
      </c>
      <c r="G2114" s="16">
        <v>200</v>
      </c>
      <c r="H2114" s="16" t="s">
        <v>308</v>
      </c>
      <c r="I2114" s="16">
        <v>215</v>
      </c>
      <c r="J2114" s="16">
        <f t="shared" si="457"/>
        <v>43000</v>
      </c>
      <c r="K2114" s="16">
        <v>200</v>
      </c>
      <c r="L2114" s="16" t="s">
        <v>308</v>
      </c>
      <c r="M2114" s="16" t="s">
        <v>1570</v>
      </c>
      <c r="N2114" s="16" t="s">
        <v>2265</v>
      </c>
      <c r="O2114" s="16">
        <v>200</v>
      </c>
      <c r="P2114" s="16">
        <v>215</v>
      </c>
      <c r="Q2114" s="16">
        <f t="shared" si="461"/>
        <v>43000</v>
      </c>
      <c r="R2114" s="18">
        <v>0</v>
      </c>
      <c r="S2114" s="16">
        <f t="shared" si="462"/>
        <v>0</v>
      </c>
      <c r="T2114" s="16">
        <f t="shared" si="463"/>
        <v>43000</v>
      </c>
      <c r="U2114" s="16" t="s">
        <v>2567</v>
      </c>
      <c r="V2114" s="16" t="s">
        <v>2568</v>
      </c>
    </row>
    <row r="2115" spans="1:22" x14ac:dyDescent="0.3">
      <c r="A2115" s="1"/>
      <c r="B2115" s="1"/>
      <c r="C2115" s="1"/>
      <c r="D2115" s="1"/>
      <c r="E2115" s="16" t="s">
        <v>123</v>
      </c>
      <c r="F2115" s="16" t="s">
        <v>2217</v>
      </c>
      <c r="G2115" s="16">
        <v>15</v>
      </c>
      <c r="H2115" s="16" t="s">
        <v>28</v>
      </c>
      <c r="I2115" s="16">
        <v>210</v>
      </c>
      <c r="J2115" s="16">
        <f t="shared" si="457"/>
        <v>3150</v>
      </c>
      <c r="K2115" s="16">
        <v>15</v>
      </c>
      <c r="L2115" s="16" t="s">
        <v>28</v>
      </c>
      <c r="M2115" s="16" t="s">
        <v>1570</v>
      </c>
      <c r="N2115" s="16" t="s">
        <v>2265</v>
      </c>
      <c r="O2115" s="16">
        <v>15</v>
      </c>
      <c r="P2115" s="16">
        <v>210</v>
      </c>
      <c r="Q2115" s="16">
        <f t="shared" si="461"/>
        <v>3150</v>
      </c>
      <c r="R2115" s="18">
        <v>0</v>
      </c>
      <c r="S2115" s="16">
        <f t="shared" si="462"/>
        <v>0</v>
      </c>
      <c r="T2115" s="16">
        <f t="shared" si="463"/>
        <v>3150</v>
      </c>
      <c r="U2115" s="16" t="s">
        <v>2567</v>
      </c>
      <c r="V2115" s="16" t="s">
        <v>2568</v>
      </c>
    </row>
    <row r="2116" spans="1:22" x14ac:dyDescent="0.3">
      <c r="A2116" s="1"/>
      <c r="B2116" s="1"/>
      <c r="C2116" s="1"/>
      <c r="D2116" s="1"/>
      <c r="E2116" s="16" t="s">
        <v>123</v>
      </c>
      <c r="F2116" s="16" t="s">
        <v>2218</v>
      </c>
      <c r="G2116" s="16">
        <v>12</v>
      </c>
      <c r="H2116" s="16" t="s">
        <v>28</v>
      </c>
      <c r="I2116" s="16">
        <v>410</v>
      </c>
      <c r="J2116" s="16">
        <f t="shared" si="457"/>
        <v>4920</v>
      </c>
      <c r="K2116" s="16">
        <v>22</v>
      </c>
      <c r="L2116" s="16" t="s">
        <v>28</v>
      </c>
      <c r="M2116" s="16" t="s">
        <v>1570</v>
      </c>
      <c r="N2116" s="16" t="s">
        <v>2355</v>
      </c>
      <c r="O2116" s="16">
        <v>12</v>
      </c>
      <c r="P2116" s="16">
        <v>410</v>
      </c>
      <c r="Q2116" s="16">
        <f t="shared" si="461"/>
        <v>4920</v>
      </c>
      <c r="R2116" s="18">
        <v>0</v>
      </c>
      <c r="S2116" s="16">
        <f t="shared" si="462"/>
        <v>0</v>
      </c>
      <c r="T2116" s="16">
        <f t="shared" si="463"/>
        <v>4920</v>
      </c>
      <c r="U2116" s="16" t="s">
        <v>2567</v>
      </c>
      <c r="V2116" s="16" t="s">
        <v>2568</v>
      </c>
    </row>
    <row r="2117" spans="1:22" x14ac:dyDescent="0.3">
      <c r="A2117" s="1"/>
      <c r="B2117" s="1"/>
      <c r="C2117" s="1"/>
      <c r="D2117" s="1"/>
      <c r="E2117" s="16" t="s">
        <v>123</v>
      </c>
      <c r="F2117" s="16" t="s">
        <v>2219</v>
      </c>
      <c r="G2117" s="16">
        <v>2</v>
      </c>
      <c r="H2117" s="16" t="s">
        <v>28</v>
      </c>
      <c r="I2117" s="16">
        <v>585</v>
      </c>
      <c r="J2117" s="16">
        <f t="shared" si="457"/>
        <v>1170</v>
      </c>
      <c r="K2117" s="16">
        <v>2</v>
      </c>
      <c r="L2117" s="16" t="s">
        <v>28</v>
      </c>
      <c r="M2117" s="16" t="s">
        <v>1570</v>
      </c>
      <c r="N2117" s="16" t="s">
        <v>2265</v>
      </c>
      <c r="O2117" s="16">
        <v>2</v>
      </c>
      <c r="P2117" s="16">
        <v>585</v>
      </c>
      <c r="Q2117" s="16">
        <f t="shared" si="461"/>
        <v>1170</v>
      </c>
      <c r="R2117" s="18">
        <v>0</v>
      </c>
      <c r="S2117" s="16">
        <f t="shared" si="462"/>
        <v>0</v>
      </c>
      <c r="T2117" s="16">
        <f t="shared" si="463"/>
        <v>1170</v>
      </c>
      <c r="U2117" s="16" t="s">
        <v>2567</v>
      </c>
      <c r="V2117" s="16" t="s">
        <v>2568</v>
      </c>
    </row>
    <row r="2118" spans="1:22" x14ac:dyDescent="0.3">
      <c r="A2118" s="1"/>
      <c r="B2118" s="1"/>
      <c r="C2118" s="1"/>
      <c r="D2118" s="1"/>
      <c r="E2118" s="16" t="s">
        <v>123</v>
      </c>
      <c r="F2118" s="16" t="s">
        <v>2220</v>
      </c>
      <c r="G2118" s="16">
        <v>8</v>
      </c>
      <c r="H2118" s="16" t="s">
        <v>28</v>
      </c>
      <c r="I2118" s="16">
        <v>235</v>
      </c>
      <c r="J2118" s="16">
        <f t="shared" si="457"/>
        <v>1880</v>
      </c>
      <c r="K2118" s="16">
        <v>8</v>
      </c>
      <c r="L2118" s="16" t="s">
        <v>28</v>
      </c>
      <c r="M2118" s="16" t="s">
        <v>1570</v>
      </c>
      <c r="N2118" s="16" t="s">
        <v>2265</v>
      </c>
      <c r="O2118" s="16">
        <v>8</v>
      </c>
      <c r="P2118" s="16">
        <v>235</v>
      </c>
      <c r="Q2118" s="16">
        <f t="shared" si="461"/>
        <v>1880</v>
      </c>
      <c r="R2118" s="18">
        <v>0</v>
      </c>
      <c r="S2118" s="16">
        <f t="shared" si="462"/>
        <v>0</v>
      </c>
      <c r="T2118" s="16">
        <f t="shared" si="463"/>
        <v>1880</v>
      </c>
      <c r="U2118" s="16" t="s">
        <v>2567</v>
      </c>
      <c r="V2118" s="16" t="s">
        <v>2568</v>
      </c>
    </row>
    <row r="2119" spans="1:22" x14ac:dyDescent="0.3">
      <c r="A2119" s="1"/>
      <c r="B2119" s="1"/>
      <c r="C2119" s="1"/>
      <c r="D2119" s="1"/>
      <c r="E2119" s="16" t="s">
        <v>123</v>
      </c>
      <c r="F2119" s="16" t="s">
        <v>2221</v>
      </c>
      <c r="G2119" s="16">
        <v>7</v>
      </c>
      <c r="H2119" s="16" t="s">
        <v>28</v>
      </c>
      <c r="I2119" s="16">
        <v>380</v>
      </c>
      <c r="J2119" s="16">
        <f t="shared" si="457"/>
        <v>2660</v>
      </c>
      <c r="K2119" s="16">
        <v>7</v>
      </c>
      <c r="L2119" s="16" t="s">
        <v>28</v>
      </c>
      <c r="M2119" s="16" t="s">
        <v>1570</v>
      </c>
      <c r="N2119" s="16" t="s">
        <v>2265</v>
      </c>
      <c r="O2119" s="16">
        <v>7</v>
      </c>
      <c r="P2119" s="16">
        <v>380</v>
      </c>
      <c r="Q2119" s="16">
        <f t="shared" si="461"/>
        <v>2660</v>
      </c>
      <c r="R2119" s="18">
        <v>0</v>
      </c>
      <c r="S2119" s="16">
        <f t="shared" si="462"/>
        <v>0</v>
      </c>
      <c r="T2119" s="16">
        <f t="shared" si="463"/>
        <v>2660</v>
      </c>
      <c r="U2119" s="16" t="s">
        <v>2567</v>
      </c>
      <c r="V2119" s="16" t="s">
        <v>2568</v>
      </c>
    </row>
    <row r="2120" spans="1:22" x14ac:dyDescent="0.3">
      <c r="A2120" s="1"/>
      <c r="B2120" s="1"/>
      <c r="C2120" s="1"/>
      <c r="D2120" s="1"/>
      <c r="E2120" s="16" t="s">
        <v>123</v>
      </c>
      <c r="F2120" s="16" t="s">
        <v>2222</v>
      </c>
      <c r="G2120" s="16">
        <v>4</v>
      </c>
      <c r="H2120" s="16" t="s">
        <v>28</v>
      </c>
      <c r="I2120" s="16">
        <v>3750</v>
      </c>
      <c r="J2120" s="16">
        <f t="shared" si="457"/>
        <v>15000</v>
      </c>
      <c r="K2120" s="16">
        <v>4</v>
      </c>
      <c r="L2120" s="16" t="s">
        <v>28</v>
      </c>
      <c r="M2120" s="16" t="s">
        <v>1570</v>
      </c>
      <c r="N2120" s="16" t="s">
        <v>2265</v>
      </c>
      <c r="O2120" s="16">
        <v>4</v>
      </c>
      <c r="P2120" s="16">
        <v>3750</v>
      </c>
      <c r="Q2120" s="16">
        <f t="shared" si="461"/>
        <v>15000</v>
      </c>
      <c r="R2120" s="18">
        <v>0</v>
      </c>
      <c r="S2120" s="16">
        <f t="shared" si="462"/>
        <v>0</v>
      </c>
      <c r="T2120" s="16">
        <f t="shared" si="463"/>
        <v>15000</v>
      </c>
      <c r="U2120" s="16" t="s">
        <v>2567</v>
      </c>
      <c r="V2120" s="16" t="s">
        <v>2568</v>
      </c>
    </row>
    <row r="2121" spans="1:22" x14ac:dyDescent="0.3">
      <c r="A2121" s="1"/>
      <c r="B2121" s="1"/>
      <c r="C2121" s="1"/>
      <c r="D2121" s="1"/>
      <c r="E2121" s="16" t="s">
        <v>123</v>
      </c>
      <c r="F2121" s="16" t="s">
        <v>2223</v>
      </c>
      <c r="G2121" s="16">
        <v>8</v>
      </c>
      <c r="H2121" s="16" t="s">
        <v>28</v>
      </c>
      <c r="I2121" s="16">
        <v>425</v>
      </c>
      <c r="J2121" s="16">
        <f t="shared" si="457"/>
        <v>3400</v>
      </c>
      <c r="K2121" s="16">
        <v>8</v>
      </c>
      <c r="L2121" s="16" t="s">
        <v>28</v>
      </c>
      <c r="M2121" s="16" t="s">
        <v>1570</v>
      </c>
      <c r="N2121" s="16" t="s">
        <v>2265</v>
      </c>
      <c r="O2121" s="16">
        <v>8</v>
      </c>
      <c r="P2121" s="16">
        <v>425</v>
      </c>
      <c r="Q2121" s="16">
        <f t="shared" si="461"/>
        <v>3400</v>
      </c>
      <c r="R2121" s="18">
        <v>0</v>
      </c>
      <c r="S2121" s="16">
        <f t="shared" si="462"/>
        <v>0</v>
      </c>
      <c r="T2121" s="16">
        <f t="shared" si="463"/>
        <v>3400</v>
      </c>
      <c r="U2121" s="16" t="s">
        <v>2567</v>
      </c>
      <c r="V2121" s="16" t="s">
        <v>2568</v>
      </c>
    </row>
    <row r="2122" spans="1:22" x14ac:dyDescent="0.3">
      <c r="A2122" s="1"/>
      <c r="B2122" s="1"/>
      <c r="C2122" s="1"/>
      <c r="D2122" s="1"/>
      <c r="E2122" s="16" t="s">
        <v>123</v>
      </c>
      <c r="F2122" s="16" t="s">
        <v>2224</v>
      </c>
      <c r="G2122" s="16">
        <v>170</v>
      </c>
      <c r="H2122" s="16" t="s">
        <v>252</v>
      </c>
      <c r="I2122" s="16">
        <v>450</v>
      </c>
      <c r="J2122" s="16">
        <f t="shared" si="457"/>
        <v>76500</v>
      </c>
      <c r="K2122" s="16"/>
      <c r="L2122" s="16"/>
      <c r="M2122" s="16"/>
      <c r="N2122" s="16"/>
      <c r="O2122" s="16">
        <v>170</v>
      </c>
      <c r="P2122" s="16">
        <v>450</v>
      </c>
      <c r="Q2122" s="16">
        <f t="shared" si="461"/>
        <v>76500</v>
      </c>
      <c r="R2122" s="18">
        <v>0</v>
      </c>
      <c r="S2122" s="16">
        <f t="shared" si="462"/>
        <v>0</v>
      </c>
      <c r="T2122" s="16">
        <f t="shared" si="463"/>
        <v>76500</v>
      </c>
      <c r="U2122" s="16" t="s">
        <v>2567</v>
      </c>
      <c r="V2122" s="16" t="s">
        <v>2568</v>
      </c>
    </row>
    <row r="2123" spans="1:22" ht="25.2" x14ac:dyDescent="0.3">
      <c r="A2123" s="1"/>
      <c r="B2123" s="1"/>
      <c r="C2123" s="1"/>
      <c r="D2123" s="1"/>
      <c r="E2123" s="16" t="s">
        <v>123</v>
      </c>
      <c r="F2123" s="39" t="s">
        <v>2225</v>
      </c>
      <c r="G2123" s="16">
        <v>170</v>
      </c>
      <c r="H2123" s="16" t="s">
        <v>252</v>
      </c>
      <c r="I2123" s="16">
        <v>250</v>
      </c>
      <c r="J2123" s="16">
        <f t="shared" si="457"/>
        <v>42500</v>
      </c>
      <c r="K2123" s="16"/>
      <c r="L2123" s="16"/>
      <c r="M2123" s="16"/>
      <c r="N2123" s="16"/>
      <c r="O2123" s="16">
        <v>170</v>
      </c>
      <c r="P2123" s="16">
        <v>250</v>
      </c>
      <c r="Q2123" s="16">
        <f t="shared" si="461"/>
        <v>42500</v>
      </c>
      <c r="R2123" s="18">
        <v>0</v>
      </c>
      <c r="S2123" s="16">
        <f t="shared" si="462"/>
        <v>0</v>
      </c>
      <c r="T2123" s="16">
        <f t="shared" si="463"/>
        <v>42500</v>
      </c>
      <c r="U2123" s="16" t="s">
        <v>2567</v>
      </c>
      <c r="V2123" s="16" t="s">
        <v>2568</v>
      </c>
    </row>
    <row r="2124" spans="1:22" x14ac:dyDescent="0.3">
      <c r="A2124" s="1"/>
      <c r="B2124" s="1"/>
      <c r="C2124" s="1"/>
      <c r="D2124" s="1"/>
      <c r="E2124" s="16" t="s">
        <v>123</v>
      </c>
      <c r="F2124" s="16" t="s">
        <v>2226</v>
      </c>
      <c r="G2124" s="16">
        <v>2</v>
      </c>
      <c r="H2124" s="16" t="s">
        <v>28</v>
      </c>
      <c r="I2124" s="16">
        <v>5000</v>
      </c>
      <c r="J2124" s="16">
        <f t="shared" si="457"/>
        <v>10000</v>
      </c>
      <c r="K2124" s="16"/>
      <c r="L2124" s="16"/>
      <c r="M2124" s="16"/>
      <c r="N2124" s="16"/>
      <c r="O2124" s="16">
        <v>2</v>
      </c>
      <c r="P2124" s="16">
        <v>5000</v>
      </c>
      <c r="Q2124" s="16">
        <f t="shared" si="461"/>
        <v>10000</v>
      </c>
      <c r="R2124" s="18">
        <v>0</v>
      </c>
      <c r="S2124" s="16">
        <f t="shared" si="462"/>
        <v>0</v>
      </c>
      <c r="T2124" s="16">
        <f t="shared" si="463"/>
        <v>10000</v>
      </c>
      <c r="U2124" s="16" t="s">
        <v>2567</v>
      </c>
      <c r="V2124" s="16" t="s">
        <v>2568</v>
      </c>
    </row>
    <row r="2125" spans="1:22" x14ac:dyDescent="0.3">
      <c r="A2125" s="1"/>
      <c r="B2125" s="1"/>
      <c r="C2125" s="1"/>
      <c r="D2125" s="1"/>
      <c r="E2125" s="16" t="s">
        <v>123</v>
      </c>
      <c r="F2125" s="16" t="s">
        <v>2214</v>
      </c>
      <c r="G2125" s="16">
        <v>2</v>
      </c>
      <c r="H2125" s="16" t="s">
        <v>28</v>
      </c>
      <c r="I2125" s="16">
        <v>21000</v>
      </c>
      <c r="J2125" s="16">
        <f t="shared" si="457"/>
        <v>42000</v>
      </c>
      <c r="K2125" s="16">
        <v>2</v>
      </c>
      <c r="L2125" s="16" t="s">
        <v>28</v>
      </c>
      <c r="M2125" s="16" t="s">
        <v>91</v>
      </c>
      <c r="N2125" s="16" t="s">
        <v>2463</v>
      </c>
      <c r="O2125" s="16">
        <v>2</v>
      </c>
      <c r="P2125" s="16">
        <v>21000</v>
      </c>
      <c r="Q2125" s="16">
        <f t="shared" si="461"/>
        <v>42000</v>
      </c>
      <c r="R2125" s="18">
        <v>0</v>
      </c>
      <c r="S2125" s="16">
        <f t="shared" si="462"/>
        <v>0</v>
      </c>
      <c r="T2125" s="16">
        <f t="shared" si="463"/>
        <v>42000</v>
      </c>
      <c r="U2125" s="16" t="s">
        <v>2567</v>
      </c>
      <c r="V2125" s="16" t="s">
        <v>2568</v>
      </c>
    </row>
    <row r="2126" spans="1:22" x14ac:dyDescent="0.3">
      <c r="A2126" s="1"/>
      <c r="B2126" s="1"/>
      <c r="C2126" s="1"/>
      <c r="D2126" s="1"/>
      <c r="E2126" s="16" t="s">
        <v>123</v>
      </c>
      <c r="F2126" s="16" t="s">
        <v>2227</v>
      </c>
      <c r="G2126" s="16">
        <v>5</v>
      </c>
      <c r="H2126" s="16" t="s">
        <v>141</v>
      </c>
      <c r="I2126" s="16">
        <v>110</v>
      </c>
      <c r="J2126" s="16">
        <f t="shared" si="457"/>
        <v>550</v>
      </c>
      <c r="K2126" s="16">
        <v>5</v>
      </c>
      <c r="L2126" s="16" t="s">
        <v>141</v>
      </c>
      <c r="M2126" s="16" t="s">
        <v>1570</v>
      </c>
      <c r="N2126" s="16" t="s">
        <v>2265</v>
      </c>
      <c r="O2126" s="16">
        <v>5</v>
      </c>
      <c r="P2126" s="16">
        <v>110</v>
      </c>
      <c r="Q2126" s="16">
        <f t="shared" si="461"/>
        <v>550</v>
      </c>
      <c r="R2126" s="18">
        <v>0</v>
      </c>
      <c r="S2126" s="16">
        <f t="shared" si="462"/>
        <v>0</v>
      </c>
      <c r="T2126" s="16">
        <f t="shared" si="463"/>
        <v>550</v>
      </c>
      <c r="U2126" s="16" t="s">
        <v>2567</v>
      </c>
      <c r="V2126" s="16" t="s">
        <v>2568</v>
      </c>
    </row>
    <row r="2127" spans="1:22" x14ac:dyDescent="0.3">
      <c r="A2127" s="62"/>
      <c r="B2127" s="1"/>
      <c r="C2127" s="1"/>
      <c r="D2127" s="1"/>
      <c r="E2127" s="1"/>
      <c r="F2127" s="124" t="s">
        <v>39</v>
      </c>
      <c r="G2127" s="1"/>
      <c r="H2127" s="1"/>
      <c r="I2127" s="1"/>
      <c r="J2127" s="124">
        <f>SUM(J2106:J2126)</f>
        <v>350000</v>
      </c>
      <c r="K2127" s="1"/>
      <c r="L2127" s="1"/>
      <c r="M2127" s="1"/>
      <c r="N2127" s="1"/>
      <c r="O2127" s="1"/>
      <c r="P2127" s="1"/>
      <c r="Q2127" s="1"/>
      <c r="R2127" s="1"/>
      <c r="S2127" s="1"/>
      <c r="T2127" s="1"/>
      <c r="U2127" s="1"/>
      <c r="V2127" s="1"/>
    </row>
    <row r="2128" spans="1:22" x14ac:dyDescent="0.3">
      <c r="A2128" s="62"/>
      <c r="B2128" s="1"/>
      <c r="C2128" s="1"/>
      <c r="D2128" s="1"/>
      <c r="E2128" s="1"/>
      <c r="F2128" s="124" t="s">
        <v>599</v>
      </c>
      <c r="G2128" s="1"/>
      <c r="H2128" s="1"/>
      <c r="I2128" s="1"/>
      <c r="J2128" s="124">
        <f>J2127*0/100</f>
        <v>0</v>
      </c>
      <c r="K2128" s="1"/>
      <c r="L2128" s="1"/>
      <c r="M2128" s="1"/>
      <c r="N2128" s="1"/>
      <c r="O2128" s="1"/>
      <c r="P2128" s="1"/>
      <c r="Q2128" s="1"/>
      <c r="R2128" s="1"/>
      <c r="S2128" s="1"/>
      <c r="T2128" s="1"/>
      <c r="U2128" s="1"/>
      <c r="V2128" s="1"/>
    </row>
    <row r="2129" spans="1:23" x14ac:dyDescent="0.3">
      <c r="A2129" s="62"/>
      <c r="B2129" s="1"/>
      <c r="C2129" s="1"/>
      <c r="D2129" s="1"/>
      <c r="E2129" s="1"/>
      <c r="F2129" s="124" t="s">
        <v>41</v>
      </c>
      <c r="G2129" s="1"/>
      <c r="H2129" s="1"/>
      <c r="I2129" s="1"/>
      <c r="J2129" s="124">
        <f>SUM(J2127:J2128)</f>
        <v>350000</v>
      </c>
      <c r="K2129" s="1"/>
      <c r="L2129" s="1"/>
      <c r="M2129" s="1"/>
      <c r="N2129" s="1"/>
      <c r="O2129" s="1"/>
      <c r="P2129" s="1"/>
      <c r="Q2129" s="1"/>
      <c r="R2129" s="1"/>
      <c r="S2129" s="1"/>
      <c r="T2129" s="1">
        <f>SUM(T2106:T2128)</f>
        <v>350000</v>
      </c>
      <c r="U2129" s="1"/>
      <c r="V2129" s="1"/>
    </row>
    <row r="2130" spans="1:23" x14ac:dyDescent="0.3">
      <c r="A2130" s="1"/>
      <c r="B2130" s="1"/>
      <c r="C2130" s="1"/>
      <c r="D2130" s="1"/>
      <c r="E2130" s="1"/>
      <c r="F2130" s="1"/>
      <c r="G2130" s="1"/>
      <c r="H2130" s="1"/>
      <c r="I2130" s="1"/>
      <c r="J2130" s="1">
        <f t="shared" si="457"/>
        <v>0</v>
      </c>
      <c r="K2130" s="1"/>
      <c r="L2130" s="1"/>
      <c r="M2130" s="1"/>
      <c r="N2130" s="1"/>
      <c r="O2130" s="1"/>
      <c r="P2130" s="1"/>
      <c r="Q2130" s="1"/>
      <c r="R2130" s="1"/>
      <c r="S2130" s="1"/>
      <c r="T2130" s="1"/>
      <c r="U2130" s="1"/>
      <c r="V2130" s="1"/>
    </row>
    <row r="2131" spans="1:23" ht="25.2" x14ac:dyDescent="0.3">
      <c r="A2131" s="16">
        <v>193</v>
      </c>
      <c r="B2131" s="16">
        <v>8500040684</v>
      </c>
      <c r="C2131" s="19">
        <v>46057</v>
      </c>
      <c r="D2131" s="16" t="s">
        <v>43</v>
      </c>
      <c r="E2131" s="16" t="s">
        <v>127</v>
      </c>
      <c r="F2131" s="39" t="s">
        <v>2232</v>
      </c>
      <c r="G2131" s="16">
        <v>1</v>
      </c>
      <c r="H2131" s="16" t="s">
        <v>28</v>
      </c>
      <c r="I2131" s="16">
        <v>8500</v>
      </c>
      <c r="J2131" s="16">
        <f t="shared" si="457"/>
        <v>8500</v>
      </c>
      <c r="K2131" s="16"/>
      <c r="L2131" s="16"/>
      <c r="M2131" s="16"/>
      <c r="N2131" s="16"/>
      <c r="O2131" s="16">
        <v>1</v>
      </c>
      <c r="P2131" s="16">
        <v>8500</v>
      </c>
      <c r="Q2131" s="16">
        <f>O2131*P2131</f>
        <v>8500</v>
      </c>
      <c r="R2131" s="18">
        <v>0</v>
      </c>
      <c r="S2131" s="16">
        <f>Q2131*R2131</f>
        <v>0</v>
      </c>
      <c r="T2131" s="16">
        <f>Q2131+S2131</f>
        <v>8500</v>
      </c>
      <c r="U2131" s="16" t="s">
        <v>2272</v>
      </c>
      <c r="V2131" s="16" t="s">
        <v>2270</v>
      </c>
      <c r="W2131" s="136" t="s">
        <v>2279</v>
      </c>
    </row>
    <row r="2132" spans="1:23" x14ac:dyDescent="0.3">
      <c r="A2132" s="62"/>
      <c r="B2132" s="1"/>
      <c r="C2132" s="1"/>
      <c r="D2132" s="1"/>
      <c r="E2132" s="1"/>
      <c r="F2132" s="124" t="s">
        <v>39</v>
      </c>
      <c r="G2132" s="1"/>
      <c r="H2132" s="1"/>
      <c r="I2132" s="1"/>
      <c r="J2132" s="124">
        <f>SUM(J2131)</f>
        <v>8500</v>
      </c>
      <c r="K2132" s="1"/>
      <c r="L2132" s="1"/>
      <c r="M2132" s="1"/>
      <c r="N2132" s="1"/>
      <c r="O2132" s="1"/>
      <c r="P2132" s="1"/>
      <c r="Q2132" s="1"/>
      <c r="R2132" s="1"/>
      <c r="S2132" s="1"/>
      <c r="T2132" s="1"/>
      <c r="U2132" s="1"/>
      <c r="V2132" s="1"/>
    </row>
    <row r="2133" spans="1:23" x14ac:dyDescent="0.3">
      <c r="A2133" s="62"/>
      <c r="B2133" s="1"/>
      <c r="C2133" s="1"/>
      <c r="D2133" s="1"/>
      <c r="E2133" s="1"/>
      <c r="F2133" s="124" t="s">
        <v>599</v>
      </c>
      <c r="G2133" s="1"/>
      <c r="H2133" s="1"/>
      <c r="I2133" s="1"/>
      <c r="J2133" s="124">
        <f>J2132*0/100</f>
        <v>0</v>
      </c>
      <c r="K2133" s="1"/>
      <c r="L2133" s="1"/>
      <c r="M2133" s="1"/>
      <c r="N2133" s="1"/>
      <c r="O2133" s="1"/>
      <c r="P2133" s="1"/>
      <c r="Q2133" s="1"/>
      <c r="R2133" s="1"/>
      <c r="S2133" s="1"/>
      <c r="T2133" s="1"/>
      <c r="U2133" s="1"/>
      <c r="V2133" s="1"/>
    </row>
    <row r="2134" spans="1:23" x14ac:dyDescent="0.3">
      <c r="A2134" s="62"/>
      <c r="B2134" s="1"/>
      <c r="C2134" s="1"/>
      <c r="D2134" s="1"/>
      <c r="E2134" s="1"/>
      <c r="F2134" s="124" t="s">
        <v>41</v>
      </c>
      <c r="G2134" s="1"/>
      <c r="H2134" s="1"/>
      <c r="I2134" s="1"/>
      <c r="J2134" s="124">
        <f>SUM(J2132:J2133)</f>
        <v>8500</v>
      </c>
      <c r="K2134" s="1"/>
      <c r="L2134" s="1"/>
      <c r="M2134" s="1"/>
      <c r="N2134" s="1"/>
      <c r="O2134" s="1"/>
      <c r="P2134" s="1"/>
      <c r="Q2134" s="1"/>
      <c r="R2134" s="1"/>
      <c r="S2134" s="1"/>
      <c r="T2134" s="1">
        <f>SUM(T2131:T2133)</f>
        <v>8500</v>
      </c>
      <c r="U2134" s="1"/>
      <c r="V2134" s="1"/>
    </row>
    <row r="2135" spans="1:23" x14ac:dyDescent="0.3">
      <c r="A2135" s="1"/>
      <c r="B2135" s="1"/>
      <c r="C2135" s="1"/>
      <c r="D2135" s="1"/>
      <c r="E2135" s="1"/>
      <c r="F2135" s="1"/>
      <c r="G2135" s="1"/>
      <c r="H2135" s="1"/>
      <c r="I2135" s="1"/>
      <c r="J2135" s="1">
        <f t="shared" si="457"/>
        <v>0</v>
      </c>
      <c r="K2135" s="1"/>
      <c r="L2135" s="1"/>
      <c r="M2135" s="1"/>
      <c r="N2135" s="1"/>
      <c r="O2135" s="1"/>
      <c r="P2135" s="1"/>
      <c r="Q2135" s="1"/>
      <c r="R2135" s="1"/>
      <c r="S2135" s="1"/>
      <c r="T2135" s="1"/>
      <c r="U2135" s="1"/>
      <c r="V2135" s="1"/>
    </row>
    <row r="2136" spans="1:23" ht="25.2" x14ac:dyDescent="0.3">
      <c r="A2136" s="16">
        <v>194</v>
      </c>
      <c r="B2136" s="16">
        <v>9200163068</v>
      </c>
      <c r="C2136" s="19">
        <v>42617</v>
      </c>
      <c r="D2136" s="16" t="s">
        <v>43</v>
      </c>
      <c r="E2136" s="16" t="s">
        <v>123</v>
      </c>
      <c r="F2136" s="39" t="s">
        <v>2235</v>
      </c>
      <c r="G2136" s="16">
        <v>2</v>
      </c>
      <c r="H2136" s="16" t="s">
        <v>28</v>
      </c>
      <c r="I2136" s="16">
        <v>4500</v>
      </c>
      <c r="J2136" s="16">
        <f t="shared" si="457"/>
        <v>9000</v>
      </c>
      <c r="K2136" s="16">
        <v>2</v>
      </c>
      <c r="L2136" s="16" t="s">
        <v>28</v>
      </c>
      <c r="M2136" s="16" t="s">
        <v>91</v>
      </c>
      <c r="N2136" s="16" t="s">
        <v>2330</v>
      </c>
      <c r="O2136" s="16">
        <v>2</v>
      </c>
      <c r="P2136" s="16">
        <v>4500</v>
      </c>
      <c r="Q2136" s="16">
        <f>O2136*P2136</f>
        <v>9000</v>
      </c>
      <c r="R2136" s="18">
        <v>0</v>
      </c>
      <c r="S2136" s="16">
        <f>Q2136*R2136</f>
        <v>0</v>
      </c>
      <c r="T2136" s="16">
        <f>Q2136+S2136</f>
        <v>9000</v>
      </c>
      <c r="U2136" s="16" t="s">
        <v>2429</v>
      </c>
      <c r="V2136" s="19">
        <v>46059</v>
      </c>
      <c r="W2136" s="136" t="s">
        <v>2465</v>
      </c>
    </row>
    <row r="2137" spans="1:23" ht="25.2" x14ac:dyDescent="0.3">
      <c r="A2137" s="1"/>
      <c r="B2137" s="1"/>
      <c r="C2137" s="1"/>
      <c r="D2137" s="1"/>
      <c r="E2137" s="16" t="s">
        <v>123</v>
      </c>
      <c r="F2137" s="39" t="s">
        <v>2236</v>
      </c>
      <c r="G2137" s="16">
        <v>2</v>
      </c>
      <c r="H2137" s="16" t="s">
        <v>28</v>
      </c>
      <c r="I2137" s="16">
        <v>7600</v>
      </c>
      <c r="J2137" s="16">
        <f t="shared" si="457"/>
        <v>15200</v>
      </c>
      <c r="K2137" s="16">
        <v>2</v>
      </c>
      <c r="L2137" s="16" t="s">
        <v>28</v>
      </c>
      <c r="M2137" s="16" t="s">
        <v>91</v>
      </c>
      <c r="N2137" s="16" t="s">
        <v>2331</v>
      </c>
      <c r="O2137" s="16">
        <v>2</v>
      </c>
      <c r="P2137" s="16">
        <v>7600</v>
      </c>
      <c r="Q2137" s="16">
        <f t="shared" ref="Q2137:Q2147" si="464">O2137*P2137</f>
        <v>15200</v>
      </c>
      <c r="R2137" s="18">
        <v>0</v>
      </c>
      <c r="S2137" s="16">
        <f t="shared" ref="S2137:S2147" si="465">Q2137*R2137</f>
        <v>0</v>
      </c>
      <c r="T2137" s="16">
        <f t="shared" ref="T2137:T2147" si="466">Q2137+S2137</f>
        <v>15200</v>
      </c>
      <c r="U2137" s="16" t="s">
        <v>2429</v>
      </c>
      <c r="V2137" s="19">
        <v>46059</v>
      </c>
      <c r="W2137" s="136" t="s">
        <v>2465</v>
      </c>
    </row>
    <row r="2138" spans="1:23" ht="37.799999999999997" x14ac:dyDescent="0.3">
      <c r="A2138" s="1"/>
      <c r="B2138" s="1"/>
      <c r="C2138" s="1"/>
      <c r="D2138" s="1"/>
      <c r="E2138" s="16" t="s">
        <v>123</v>
      </c>
      <c r="F2138" s="39" t="s">
        <v>2237</v>
      </c>
      <c r="G2138" s="16">
        <v>2</v>
      </c>
      <c r="H2138" s="16" t="s">
        <v>28</v>
      </c>
      <c r="I2138" s="16">
        <v>23800</v>
      </c>
      <c r="J2138" s="16">
        <f t="shared" si="457"/>
        <v>47600</v>
      </c>
      <c r="K2138" s="16">
        <v>2</v>
      </c>
      <c r="L2138" s="16" t="s">
        <v>28</v>
      </c>
      <c r="M2138" s="16" t="s">
        <v>91</v>
      </c>
      <c r="N2138" s="16" t="s">
        <v>2330</v>
      </c>
      <c r="O2138" s="16">
        <v>2</v>
      </c>
      <c r="P2138" s="16">
        <v>23800</v>
      </c>
      <c r="Q2138" s="16">
        <f t="shared" si="464"/>
        <v>47600</v>
      </c>
      <c r="R2138" s="18">
        <v>0</v>
      </c>
      <c r="S2138" s="16">
        <f t="shared" si="465"/>
        <v>0</v>
      </c>
      <c r="T2138" s="16">
        <f t="shared" si="466"/>
        <v>47600</v>
      </c>
      <c r="U2138" s="16" t="s">
        <v>2429</v>
      </c>
      <c r="V2138" s="19">
        <v>46059</v>
      </c>
      <c r="W2138" s="136" t="s">
        <v>2465</v>
      </c>
    </row>
    <row r="2139" spans="1:23" x14ac:dyDescent="0.3">
      <c r="A2139" s="1"/>
      <c r="B2139" s="1"/>
      <c r="C2139" s="1"/>
      <c r="D2139" s="1"/>
      <c r="E2139" s="16" t="s">
        <v>123</v>
      </c>
      <c r="F2139" s="16" t="s">
        <v>2238</v>
      </c>
      <c r="G2139" s="16">
        <v>2</v>
      </c>
      <c r="H2139" s="16" t="s">
        <v>87</v>
      </c>
      <c r="I2139" s="16">
        <v>2500</v>
      </c>
      <c r="J2139" s="16">
        <f t="shared" si="457"/>
        <v>5000</v>
      </c>
      <c r="K2139" s="16"/>
      <c r="L2139" s="16"/>
      <c r="M2139" s="16"/>
      <c r="N2139" s="16"/>
      <c r="O2139" s="16">
        <v>2</v>
      </c>
      <c r="P2139" s="16">
        <v>2500</v>
      </c>
      <c r="Q2139" s="16">
        <f t="shared" si="464"/>
        <v>5000</v>
      </c>
      <c r="R2139" s="18">
        <v>0</v>
      </c>
      <c r="S2139" s="16">
        <f t="shared" si="465"/>
        <v>0</v>
      </c>
      <c r="T2139" s="16">
        <f t="shared" si="466"/>
        <v>5000</v>
      </c>
      <c r="U2139" s="16" t="s">
        <v>2429</v>
      </c>
      <c r="V2139" s="19">
        <v>46059</v>
      </c>
      <c r="W2139" s="136" t="s">
        <v>2465</v>
      </c>
    </row>
    <row r="2140" spans="1:23" ht="25.2" x14ac:dyDescent="0.3">
      <c r="A2140" s="1"/>
      <c r="B2140" s="1"/>
      <c r="C2140" s="1"/>
      <c r="D2140" s="1"/>
      <c r="E2140" s="16" t="s">
        <v>123</v>
      </c>
      <c r="F2140" s="39" t="s">
        <v>2239</v>
      </c>
      <c r="G2140" s="16">
        <v>2</v>
      </c>
      <c r="H2140" s="16" t="s">
        <v>87</v>
      </c>
      <c r="I2140" s="16">
        <v>7600</v>
      </c>
      <c r="J2140" s="16">
        <f t="shared" si="457"/>
        <v>15200</v>
      </c>
      <c r="K2140" s="16" t="s">
        <v>2369</v>
      </c>
      <c r="L2140" s="16" t="s">
        <v>28</v>
      </c>
      <c r="M2140" s="16" t="s">
        <v>91</v>
      </c>
      <c r="N2140" s="16" t="s">
        <v>2368</v>
      </c>
      <c r="O2140" s="16">
        <v>2</v>
      </c>
      <c r="P2140" s="16">
        <v>7600</v>
      </c>
      <c r="Q2140" s="16">
        <f t="shared" si="464"/>
        <v>15200</v>
      </c>
      <c r="R2140" s="18">
        <v>0</v>
      </c>
      <c r="S2140" s="16">
        <f t="shared" si="465"/>
        <v>0</v>
      </c>
      <c r="T2140" s="16">
        <f t="shared" si="466"/>
        <v>15200</v>
      </c>
      <c r="U2140" s="16" t="s">
        <v>2429</v>
      </c>
      <c r="V2140" s="19">
        <v>46059</v>
      </c>
      <c r="W2140" s="136" t="s">
        <v>2465</v>
      </c>
    </row>
    <row r="2141" spans="1:23" x14ac:dyDescent="0.3">
      <c r="A2141" s="1"/>
      <c r="B2141" s="1"/>
      <c r="C2141" s="1"/>
      <c r="D2141" s="1"/>
      <c r="E2141" s="16" t="s">
        <v>123</v>
      </c>
      <c r="F2141" s="16" t="s">
        <v>2240</v>
      </c>
      <c r="G2141" s="16">
        <v>2</v>
      </c>
      <c r="H2141" s="16" t="s">
        <v>28</v>
      </c>
      <c r="I2141" s="16">
        <v>15000</v>
      </c>
      <c r="J2141" s="16">
        <f t="shared" si="457"/>
        <v>30000</v>
      </c>
      <c r="K2141" s="16">
        <v>2</v>
      </c>
      <c r="L2141" s="16" t="s">
        <v>28</v>
      </c>
      <c r="M2141" s="16" t="s">
        <v>91</v>
      </c>
      <c r="N2141" s="16" t="s">
        <v>2412</v>
      </c>
      <c r="O2141" s="16">
        <v>2</v>
      </c>
      <c r="P2141" s="16">
        <v>15000</v>
      </c>
      <c r="Q2141" s="16">
        <f t="shared" si="464"/>
        <v>30000</v>
      </c>
      <c r="R2141" s="18">
        <v>0</v>
      </c>
      <c r="S2141" s="16">
        <f t="shared" si="465"/>
        <v>0</v>
      </c>
      <c r="T2141" s="16">
        <f t="shared" si="466"/>
        <v>30000</v>
      </c>
      <c r="U2141" s="16" t="s">
        <v>2429</v>
      </c>
      <c r="V2141" s="19">
        <v>46059</v>
      </c>
      <c r="W2141" s="136" t="s">
        <v>2465</v>
      </c>
    </row>
    <row r="2142" spans="1:23" x14ac:dyDescent="0.3">
      <c r="A2142" s="1"/>
      <c r="B2142" s="1"/>
      <c r="C2142" s="1"/>
      <c r="D2142" s="1"/>
      <c r="E2142" s="16" t="s">
        <v>123</v>
      </c>
      <c r="F2142" s="16" t="s">
        <v>2241</v>
      </c>
      <c r="G2142" s="16">
        <v>60</v>
      </c>
      <c r="H2142" s="16" t="s">
        <v>308</v>
      </c>
      <c r="I2142" s="16">
        <v>140</v>
      </c>
      <c r="J2142" s="16">
        <f t="shared" si="457"/>
        <v>8400</v>
      </c>
      <c r="K2142" s="16">
        <v>40</v>
      </c>
      <c r="L2142" s="16" t="s">
        <v>308</v>
      </c>
      <c r="M2142" s="16" t="s">
        <v>91</v>
      </c>
      <c r="N2142" s="16" t="s">
        <v>2331</v>
      </c>
      <c r="O2142" s="16">
        <v>60</v>
      </c>
      <c r="P2142" s="16">
        <v>140</v>
      </c>
      <c r="Q2142" s="16">
        <f t="shared" si="464"/>
        <v>8400</v>
      </c>
      <c r="R2142" s="18">
        <v>0</v>
      </c>
      <c r="S2142" s="16">
        <f t="shared" si="465"/>
        <v>0</v>
      </c>
      <c r="T2142" s="16">
        <f t="shared" si="466"/>
        <v>8400</v>
      </c>
      <c r="U2142" s="16" t="s">
        <v>2429</v>
      </c>
      <c r="V2142" s="19">
        <v>46059</v>
      </c>
      <c r="W2142" s="136" t="s">
        <v>2465</v>
      </c>
    </row>
    <row r="2143" spans="1:23" x14ac:dyDescent="0.3">
      <c r="A2143" s="1"/>
      <c r="B2143" s="1"/>
      <c r="C2143" s="1"/>
      <c r="D2143" s="1"/>
      <c r="E2143" s="16" t="s">
        <v>123</v>
      </c>
      <c r="F2143" s="16" t="s">
        <v>2242</v>
      </c>
      <c r="G2143" s="16">
        <v>8</v>
      </c>
      <c r="H2143" s="16" t="s">
        <v>28</v>
      </c>
      <c r="I2143" s="16">
        <v>250</v>
      </c>
      <c r="J2143" s="16">
        <f t="shared" si="457"/>
        <v>2000</v>
      </c>
      <c r="K2143" s="16">
        <v>6</v>
      </c>
      <c r="L2143" s="16" t="s">
        <v>28</v>
      </c>
      <c r="M2143" s="16" t="s">
        <v>91</v>
      </c>
      <c r="N2143" s="16" t="s">
        <v>2331</v>
      </c>
      <c r="O2143" s="16">
        <v>8</v>
      </c>
      <c r="P2143" s="16">
        <v>250</v>
      </c>
      <c r="Q2143" s="16">
        <f t="shared" si="464"/>
        <v>2000</v>
      </c>
      <c r="R2143" s="18">
        <v>0</v>
      </c>
      <c r="S2143" s="16">
        <f t="shared" si="465"/>
        <v>0</v>
      </c>
      <c r="T2143" s="16">
        <f t="shared" si="466"/>
        <v>2000</v>
      </c>
      <c r="U2143" s="16" t="s">
        <v>2429</v>
      </c>
      <c r="V2143" s="19">
        <v>46059</v>
      </c>
      <c r="W2143" s="136" t="s">
        <v>2465</v>
      </c>
    </row>
    <row r="2144" spans="1:23" x14ac:dyDescent="0.3">
      <c r="A2144" s="1"/>
      <c r="B2144" s="1"/>
      <c r="C2144" s="1"/>
      <c r="D2144" s="1"/>
      <c r="E2144" s="16" t="s">
        <v>123</v>
      </c>
      <c r="F2144" s="16" t="s">
        <v>2243</v>
      </c>
      <c r="G2144" s="16">
        <v>2</v>
      </c>
      <c r="H2144" s="16" t="s">
        <v>28</v>
      </c>
      <c r="I2144" s="16">
        <v>280</v>
      </c>
      <c r="J2144" s="16">
        <f t="shared" si="457"/>
        <v>560</v>
      </c>
      <c r="K2144" s="16">
        <v>1</v>
      </c>
      <c r="L2144" s="16" t="s">
        <v>28</v>
      </c>
      <c r="M2144" s="16" t="s">
        <v>91</v>
      </c>
      <c r="N2144" s="16" t="s">
        <v>2331</v>
      </c>
      <c r="O2144" s="16">
        <v>2</v>
      </c>
      <c r="P2144" s="16">
        <v>280</v>
      </c>
      <c r="Q2144" s="16">
        <f t="shared" si="464"/>
        <v>560</v>
      </c>
      <c r="R2144" s="18">
        <v>0</v>
      </c>
      <c r="S2144" s="16">
        <f t="shared" si="465"/>
        <v>0</v>
      </c>
      <c r="T2144" s="16">
        <f t="shared" si="466"/>
        <v>560</v>
      </c>
      <c r="U2144" s="16" t="s">
        <v>2429</v>
      </c>
      <c r="V2144" s="19">
        <v>46059</v>
      </c>
      <c r="W2144" s="136" t="s">
        <v>2465</v>
      </c>
    </row>
    <row r="2145" spans="1:23" x14ac:dyDescent="0.3">
      <c r="A2145" s="1"/>
      <c r="B2145" s="1"/>
      <c r="C2145" s="1"/>
      <c r="D2145" s="1"/>
      <c r="E2145" s="16" t="s">
        <v>123</v>
      </c>
      <c r="F2145" s="16" t="s">
        <v>2244</v>
      </c>
      <c r="G2145" s="16">
        <v>2</v>
      </c>
      <c r="H2145" s="16" t="s">
        <v>28</v>
      </c>
      <c r="I2145" s="16">
        <v>130</v>
      </c>
      <c r="J2145" s="16">
        <f t="shared" si="457"/>
        <v>260</v>
      </c>
      <c r="K2145" s="16"/>
      <c r="L2145" s="16"/>
      <c r="M2145" s="16" t="s">
        <v>91</v>
      </c>
      <c r="N2145" s="16" t="s">
        <v>2331</v>
      </c>
      <c r="O2145" s="16">
        <v>2</v>
      </c>
      <c r="P2145" s="16">
        <v>130</v>
      </c>
      <c r="Q2145" s="16">
        <f t="shared" si="464"/>
        <v>260</v>
      </c>
      <c r="R2145" s="18">
        <v>0</v>
      </c>
      <c r="S2145" s="16">
        <f t="shared" si="465"/>
        <v>0</v>
      </c>
      <c r="T2145" s="16">
        <f t="shared" si="466"/>
        <v>260</v>
      </c>
      <c r="U2145" s="16" t="s">
        <v>2429</v>
      </c>
      <c r="V2145" s="19">
        <v>46059</v>
      </c>
      <c r="W2145" s="136" t="s">
        <v>2465</v>
      </c>
    </row>
    <row r="2146" spans="1:23" x14ac:dyDescent="0.3">
      <c r="A2146" s="1"/>
      <c r="B2146" s="1"/>
      <c r="C2146" s="1"/>
      <c r="D2146" s="1"/>
      <c r="E2146" s="16" t="s">
        <v>123</v>
      </c>
      <c r="F2146" s="16" t="s">
        <v>2245</v>
      </c>
      <c r="G2146" s="16">
        <v>2</v>
      </c>
      <c r="H2146" s="16" t="s">
        <v>28</v>
      </c>
      <c r="I2146" s="16">
        <v>1200</v>
      </c>
      <c r="J2146" s="16">
        <f t="shared" si="457"/>
        <v>2400</v>
      </c>
      <c r="K2146" s="16">
        <v>2</v>
      </c>
      <c r="L2146" s="16" t="s">
        <v>28</v>
      </c>
      <c r="M2146" s="16" t="s">
        <v>91</v>
      </c>
      <c r="N2146" s="16" t="s">
        <v>2331</v>
      </c>
      <c r="O2146" s="16">
        <v>2</v>
      </c>
      <c r="P2146" s="16">
        <v>1200</v>
      </c>
      <c r="Q2146" s="16">
        <f t="shared" si="464"/>
        <v>2400</v>
      </c>
      <c r="R2146" s="18">
        <v>0</v>
      </c>
      <c r="S2146" s="16">
        <f t="shared" si="465"/>
        <v>0</v>
      </c>
      <c r="T2146" s="16">
        <f t="shared" si="466"/>
        <v>2400</v>
      </c>
      <c r="U2146" s="16" t="s">
        <v>2429</v>
      </c>
      <c r="V2146" s="19">
        <v>46059</v>
      </c>
      <c r="W2146" s="136" t="s">
        <v>2465</v>
      </c>
    </row>
    <row r="2147" spans="1:23" x14ac:dyDescent="0.3">
      <c r="A2147" s="1"/>
      <c r="B2147" s="1"/>
      <c r="C2147" s="1"/>
      <c r="D2147" s="1"/>
      <c r="E2147" s="16" t="s">
        <v>123</v>
      </c>
      <c r="F2147" s="16" t="s">
        <v>2246</v>
      </c>
      <c r="G2147" s="16">
        <v>60</v>
      </c>
      <c r="H2147" s="16" t="s">
        <v>111</v>
      </c>
      <c r="I2147" s="16">
        <v>650</v>
      </c>
      <c r="J2147" s="16">
        <f t="shared" si="457"/>
        <v>39000</v>
      </c>
      <c r="K2147" s="16" t="s">
        <v>2275</v>
      </c>
      <c r="L2147" s="16"/>
      <c r="M2147" s="16" t="s">
        <v>91</v>
      </c>
      <c r="N2147" s="16" t="s">
        <v>2276</v>
      </c>
      <c r="O2147" s="16">
        <v>60</v>
      </c>
      <c r="P2147" s="16">
        <v>650</v>
      </c>
      <c r="Q2147" s="16">
        <f t="shared" si="464"/>
        <v>39000</v>
      </c>
      <c r="R2147" s="18">
        <v>0</v>
      </c>
      <c r="S2147" s="16">
        <f t="shared" si="465"/>
        <v>0</v>
      </c>
      <c r="T2147" s="16">
        <f t="shared" si="466"/>
        <v>39000</v>
      </c>
      <c r="U2147" s="16" t="s">
        <v>2429</v>
      </c>
      <c r="V2147" s="19">
        <v>46059</v>
      </c>
      <c r="W2147" s="136" t="s">
        <v>2465</v>
      </c>
    </row>
    <row r="2148" spans="1:23" x14ac:dyDescent="0.3">
      <c r="A2148" s="62"/>
      <c r="B2148" s="1"/>
      <c r="C2148" s="1"/>
      <c r="D2148" s="1"/>
      <c r="E2148" s="1"/>
      <c r="F2148" s="124" t="s">
        <v>39</v>
      </c>
      <c r="G2148" s="1"/>
      <c r="H2148" s="1"/>
      <c r="I2148" s="1"/>
      <c r="J2148" s="124">
        <f>SUM(J2136:J2147)</f>
        <v>174620</v>
      </c>
      <c r="K2148" s="1"/>
      <c r="L2148" s="1"/>
      <c r="M2148" s="1"/>
      <c r="N2148" s="1"/>
      <c r="O2148" s="1"/>
      <c r="P2148" s="1"/>
      <c r="Q2148" s="1"/>
      <c r="R2148" s="1"/>
      <c r="S2148" s="1"/>
      <c r="T2148" s="1"/>
      <c r="U2148" s="1"/>
      <c r="V2148" s="1"/>
    </row>
    <row r="2149" spans="1:23" x14ac:dyDescent="0.3">
      <c r="A2149" s="62"/>
      <c r="B2149" s="1"/>
      <c r="C2149" s="1"/>
      <c r="D2149" s="1"/>
      <c r="E2149" s="1"/>
      <c r="F2149" s="124" t="s">
        <v>599</v>
      </c>
      <c r="G2149" s="1"/>
      <c r="H2149" s="1"/>
      <c r="I2149" s="1"/>
      <c r="J2149" s="124">
        <f>J2148*0/100</f>
        <v>0</v>
      </c>
      <c r="K2149" s="1"/>
      <c r="L2149" s="1"/>
      <c r="M2149" s="1"/>
      <c r="N2149" s="1"/>
      <c r="O2149" s="1"/>
      <c r="P2149" s="1"/>
      <c r="Q2149" s="1"/>
      <c r="R2149" s="1"/>
      <c r="S2149" s="1"/>
      <c r="T2149" s="1"/>
      <c r="U2149" s="1"/>
      <c r="V2149" s="1"/>
    </row>
    <row r="2150" spans="1:23" x14ac:dyDescent="0.3">
      <c r="A2150" s="62"/>
      <c r="B2150" s="1"/>
      <c r="C2150" s="1"/>
      <c r="D2150" s="1"/>
      <c r="E2150" s="1"/>
      <c r="F2150" s="124" t="s">
        <v>41</v>
      </c>
      <c r="G2150" s="1"/>
      <c r="H2150" s="1"/>
      <c r="I2150" s="1"/>
      <c r="J2150" s="124">
        <f>SUM(J2148:J2149)</f>
        <v>174620</v>
      </c>
      <c r="K2150" s="1"/>
      <c r="L2150" s="1"/>
      <c r="M2150" s="1"/>
      <c r="N2150" s="1"/>
      <c r="O2150" s="1"/>
      <c r="P2150" s="1"/>
      <c r="Q2150" s="1"/>
      <c r="R2150" s="1"/>
      <c r="S2150" s="1"/>
      <c r="T2150" s="1">
        <f>SUM(T2136:T2149)</f>
        <v>174620</v>
      </c>
      <c r="U2150" s="1"/>
      <c r="V2150" s="1"/>
    </row>
    <row r="2151" spans="1:23" x14ac:dyDescent="0.3">
      <c r="A2151" s="62"/>
      <c r="B2151" s="1"/>
      <c r="C2151" s="1"/>
      <c r="D2151" s="1"/>
      <c r="E2151" s="1"/>
      <c r="F2151" s="124"/>
      <c r="G2151" s="1"/>
      <c r="H2151" s="1"/>
      <c r="I2151" s="1"/>
      <c r="J2151" s="124"/>
      <c r="K2151" s="1"/>
      <c r="L2151" s="1"/>
      <c r="M2151" s="1"/>
      <c r="N2151" s="1"/>
      <c r="O2151" s="1"/>
      <c r="P2151" s="1"/>
      <c r="Q2151" s="1"/>
      <c r="R2151" s="1"/>
      <c r="S2151" s="1"/>
      <c r="T2151" s="1"/>
      <c r="U2151" s="1"/>
      <c r="V2151" s="1"/>
    </row>
    <row r="2152" spans="1:23" ht="25.2" x14ac:dyDescent="0.3">
      <c r="A2152" s="16">
        <v>195</v>
      </c>
      <c r="B2152" s="16">
        <v>8100024212</v>
      </c>
      <c r="C2152" s="19">
        <v>46299</v>
      </c>
      <c r="D2152" s="16" t="s">
        <v>43</v>
      </c>
      <c r="E2152" s="16" t="s">
        <v>127</v>
      </c>
      <c r="F2152" s="39" t="s">
        <v>2249</v>
      </c>
      <c r="G2152" s="16">
        <v>10</v>
      </c>
      <c r="H2152" s="16" t="s">
        <v>28</v>
      </c>
      <c r="I2152" s="16">
        <v>17000</v>
      </c>
      <c r="J2152" s="16">
        <f t="shared" si="457"/>
        <v>170000</v>
      </c>
      <c r="K2152" s="16"/>
      <c r="L2152" s="16"/>
      <c r="M2152" s="16"/>
      <c r="N2152" s="16"/>
      <c r="O2152" s="16">
        <v>10</v>
      </c>
      <c r="P2152" s="16">
        <v>17000</v>
      </c>
      <c r="Q2152" s="16">
        <f>O2152*P2152</f>
        <v>170000</v>
      </c>
      <c r="R2152" s="18">
        <v>0</v>
      </c>
      <c r="S2152" s="16">
        <f>Q2152*R2152</f>
        <v>0</v>
      </c>
      <c r="T2152" s="16">
        <f>Q2152+S2152</f>
        <v>170000</v>
      </c>
      <c r="U2152" s="16" t="s">
        <v>2273</v>
      </c>
      <c r="V2152" s="16" t="s">
        <v>2274</v>
      </c>
      <c r="W2152" s="136" t="s">
        <v>2277</v>
      </c>
    </row>
    <row r="2153" spans="1:23" x14ac:dyDescent="0.3">
      <c r="A2153" s="1"/>
      <c r="B2153" s="1"/>
      <c r="C2153" s="1"/>
      <c r="D2153" s="1"/>
      <c r="E2153" s="16" t="s">
        <v>123</v>
      </c>
      <c r="F2153" s="16" t="s">
        <v>2250</v>
      </c>
      <c r="G2153" s="16">
        <v>10</v>
      </c>
      <c r="H2153" s="16" t="s">
        <v>28</v>
      </c>
      <c r="I2153" s="16">
        <v>1200</v>
      </c>
      <c r="J2153" s="16">
        <f t="shared" si="457"/>
        <v>12000</v>
      </c>
      <c r="K2153" s="16">
        <v>10</v>
      </c>
      <c r="L2153" s="16" t="s">
        <v>28</v>
      </c>
      <c r="M2153" s="16" t="s">
        <v>91</v>
      </c>
      <c r="N2153" s="16" t="s">
        <v>2280</v>
      </c>
      <c r="O2153" s="16">
        <v>10</v>
      </c>
      <c r="P2153" s="16">
        <v>1200</v>
      </c>
      <c r="Q2153" s="16">
        <f t="shared" ref="Q2153:Q2155" si="467">O2153*P2153</f>
        <v>12000</v>
      </c>
      <c r="R2153" s="18">
        <v>0</v>
      </c>
      <c r="S2153" s="16">
        <f t="shared" ref="S2153:S2155" si="468">Q2153*R2153</f>
        <v>0</v>
      </c>
      <c r="T2153" s="16">
        <f t="shared" ref="T2153:T2155" si="469">Q2153+S2153</f>
        <v>12000</v>
      </c>
      <c r="U2153" s="97" t="s">
        <v>2637</v>
      </c>
      <c r="V2153" s="110">
        <v>46030</v>
      </c>
      <c r="W2153" s="136" t="s">
        <v>2687</v>
      </c>
    </row>
    <row r="2154" spans="1:23" x14ac:dyDescent="0.3">
      <c r="A2154" s="1"/>
      <c r="B2154" s="1"/>
      <c r="C2154" s="1"/>
      <c r="D2154" s="1"/>
      <c r="E2154" s="16" t="s">
        <v>123</v>
      </c>
      <c r="F2154" s="16" t="s">
        <v>2251</v>
      </c>
      <c r="G2154" s="16">
        <v>10</v>
      </c>
      <c r="H2154" s="16" t="s">
        <v>87</v>
      </c>
      <c r="I2154" s="16">
        <v>2500</v>
      </c>
      <c r="J2154" s="16">
        <f t="shared" si="457"/>
        <v>25000</v>
      </c>
      <c r="K2154" s="16"/>
      <c r="L2154" s="16"/>
      <c r="M2154" s="16"/>
      <c r="N2154" s="16"/>
      <c r="O2154" s="16">
        <v>10</v>
      </c>
      <c r="P2154" s="16">
        <v>2500</v>
      </c>
      <c r="Q2154" s="16">
        <f t="shared" si="467"/>
        <v>25000</v>
      </c>
      <c r="R2154" s="18">
        <v>0</v>
      </c>
      <c r="S2154" s="16">
        <f t="shared" si="468"/>
        <v>0</v>
      </c>
      <c r="T2154" s="16">
        <f t="shared" si="469"/>
        <v>25000</v>
      </c>
      <c r="U2154" s="97" t="s">
        <v>2637</v>
      </c>
      <c r="V2154" s="110">
        <v>46030</v>
      </c>
      <c r="W2154" s="136" t="s">
        <v>2687</v>
      </c>
    </row>
    <row r="2155" spans="1:23" x14ac:dyDescent="0.3">
      <c r="A2155" s="1"/>
      <c r="B2155" s="1"/>
      <c r="C2155" s="1"/>
      <c r="D2155" s="1"/>
      <c r="E2155" s="16" t="s">
        <v>123</v>
      </c>
      <c r="F2155" s="16" t="s">
        <v>2252</v>
      </c>
      <c r="G2155" s="16">
        <v>10</v>
      </c>
      <c r="H2155" s="16" t="s">
        <v>181</v>
      </c>
      <c r="I2155" s="16">
        <v>3000</v>
      </c>
      <c r="J2155" s="16">
        <f t="shared" si="457"/>
        <v>30000</v>
      </c>
      <c r="K2155" s="16">
        <v>10</v>
      </c>
      <c r="L2155" s="16" t="s">
        <v>181</v>
      </c>
      <c r="M2155" s="16" t="s">
        <v>91</v>
      </c>
      <c r="N2155" s="16" t="s">
        <v>2451</v>
      </c>
      <c r="O2155" s="16">
        <v>10</v>
      </c>
      <c r="P2155" s="16">
        <v>3000</v>
      </c>
      <c r="Q2155" s="16">
        <f t="shared" si="467"/>
        <v>30000</v>
      </c>
      <c r="R2155" s="18">
        <v>0</v>
      </c>
      <c r="S2155" s="16">
        <f t="shared" si="468"/>
        <v>0</v>
      </c>
      <c r="T2155" s="16">
        <f t="shared" si="469"/>
        <v>30000</v>
      </c>
      <c r="U2155" s="97" t="s">
        <v>2637</v>
      </c>
      <c r="V2155" s="110">
        <v>46030</v>
      </c>
      <c r="W2155" s="136" t="s">
        <v>2687</v>
      </c>
    </row>
    <row r="2156" spans="1:23" x14ac:dyDescent="0.3">
      <c r="A2156" s="62"/>
      <c r="B2156" s="1"/>
      <c r="C2156" s="1"/>
      <c r="D2156" s="1"/>
      <c r="E2156" s="1"/>
      <c r="F2156" s="124" t="s">
        <v>39</v>
      </c>
      <c r="G2156" s="1"/>
      <c r="H2156" s="1"/>
      <c r="I2156" s="1"/>
      <c r="J2156" s="124">
        <f>SUM(J2152:J2155)</f>
        <v>237000</v>
      </c>
      <c r="K2156" s="1"/>
      <c r="L2156" s="1"/>
      <c r="M2156" s="1"/>
      <c r="N2156" s="1"/>
      <c r="O2156" s="1"/>
      <c r="P2156" s="1"/>
      <c r="Q2156" s="1"/>
      <c r="R2156" s="1"/>
      <c r="S2156" s="1"/>
      <c r="T2156" s="1"/>
      <c r="U2156" s="1"/>
      <c r="V2156" s="1"/>
    </row>
    <row r="2157" spans="1:23" x14ac:dyDescent="0.3">
      <c r="A2157" s="62"/>
      <c r="B2157" s="1"/>
      <c r="C2157" s="1"/>
      <c r="D2157" s="1"/>
      <c r="E2157" s="1"/>
      <c r="F2157" s="124" t="s">
        <v>599</v>
      </c>
      <c r="G2157" s="1"/>
      <c r="H2157" s="1"/>
      <c r="I2157" s="1"/>
      <c r="J2157" s="124">
        <f>J2156*0/100</f>
        <v>0</v>
      </c>
      <c r="K2157" s="1"/>
      <c r="L2157" s="1"/>
      <c r="M2157" s="1"/>
      <c r="N2157" s="1"/>
      <c r="O2157" s="1"/>
      <c r="P2157" s="1"/>
      <c r="Q2157" s="1"/>
      <c r="R2157" s="1"/>
      <c r="S2157" s="1"/>
      <c r="T2157" s="1"/>
      <c r="U2157" s="1"/>
      <c r="V2157" s="1"/>
    </row>
    <row r="2158" spans="1:23" x14ac:dyDescent="0.3">
      <c r="A2158" s="62"/>
      <c r="B2158" s="1"/>
      <c r="C2158" s="1"/>
      <c r="D2158" s="1"/>
      <c r="E2158" s="1"/>
      <c r="F2158" s="124" t="s">
        <v>41</v>
      </c>
      <c r="G2158" s="1"/>
      <c r="H2158" s="1"/>
      <c r="I2158" s="1"/>
      <c r="J2158" s="124">
        <f>SUM(J2156:J2157)</f>
        <v>237000</v>
      </c>
      <c r="K2158" s="1"/>
      <c r="L2158" s="1"/>
      <c r="M2158" s="1"/>
      <c r="N2158" s="1"/>
      <c r="O2158" s="1"/>
      <c r="P2158" s="1"/>
      <c r="Q2158" s="1"/>
      <c r="R2158" s="1"/>
      <c r="S2158" s="1"/>
      <c r="T2158" s="1">
        <f>SUM(T2152:T2157)</f>
        <v>237000</v>
      </c>
      <c r="U2158" s="1"/>
      <c r="V2158" s="1"/>
    </row>
    <row r="2159" spans="1:23" x14ac:dyDescent="0.3">
      <c r="A2159" s="62"/>
      <c r="B2159" s="1"/>
      <c r="C2159" s="1"/>
      <c r="D2159" s="1"/>
      <c r="E2159" s="1"/>
      <c r="F2159" s="124"/>
      <c r="G2159" s="1"/>
      <c r="H2159" s="1"/>
      <c r="I2159" s="1"/>
      <c r="J2159" s="124"/>
      <c r="K2159" s="1"/>
      <c r="L2159" s="1"/>
      <c r="M2159" s="1"/>
      <c r="N2159" s="1"/>
      <c r="O2159" s="1"/>
      <c r="P2159" s="1"/>
      <c r="Q2159" s="1"/>
      <c r="R2159" s="1"/>
      <c r="S2159" s="1"/>
      <c r="T2159" s="1"/>
      <c r="U2159" s="1"/>
      <c r="V2159" s="1"/>
    </row>
    <row r="2160" spans="1:23" ht="37.799999999999997" x14ac:dyDescent="0.3">
      <c r="A2160" s="16">
        <v>196</v>
      </c>
      <c r="B2160" s="16">
        <v>9200163730</v>
      </c>
      <c r="C2160" s="16" t="s">
        <v>2260</v>
      </c>
      <c r="D2160" s="38" t="s">
        <v>2261</v>
      </c>
      <c r="E2160" s="16" t="s">
        <v>123</v>
      </c>
      <c r="F2160" s="39" t="s">
        <v>2262</v>
      </c>
      <c r="G2160" s="16">
        <v>1</v>
      </c>
      <c r="H2160" s="16" t="s">
        <v>28</v>
      </c>
      <c r="I2160" s="16">
        <v>35000</v>
      </c>
      <c r="J2160" s="16">
        <f t="shared" si="457"/>
        <v>35000</v>
      </c>
      <c r="K2160" s="16">
        <v>1</v>
      </c>
      <c r="L2160" s="16" t="s">
        <v>28</v>
      </c>
      <c r="M2160" s="16" t="s">
        <v>91</v>
      </c>
      <c r="N2160" s="16" t="s">
        <v>2333</v>
      </c>
      <c r="O2160" s="16">
        <v>1</v>
      </c>
      <c r="P2160" s="16">
        <v>35000</v>
      </c>
      <c r="Q2160" s="16">
        <f>O2160*P2160</f>
        <v>35000</v>
      </c>
      <c r="R2160" s="18">
        <v>0.18</v>
      </c>
      <c r="S2160" s="16">
        <f>Q2160*R2160</f>
        <v>6300</v>
      </c>
      <c r="T2160" s="16">
        <f>Q2160+S2160</f>
        <v>41300</v>
      </c>
      <c r="U2160" s="16" t="s">
        <v>2346</v>
      </c>
      <c r="V2160" s="19">
        <v>46361</v>
      </c>
      <c r="W2160" s="136" t="s">
        <v>2347</v>
      </c>
    </row>
    <row r="2161" spans="1:23" x14ac:dyDescent="0.3">
      <c r="A2161" s="62"/>
      <c r="B2161" s="1"/>
      <c r="C2161" s="1"/>
      <c r="D2161" s="1"/>
      <c r="E2161" s="1"/>
      <c r="F2161" s="124" t="s">
        <v>39</v>
      </c>
      <c r="G2161" s="1"/>
      <c r="H2161" s="1"/>
      <c r="I2161" s="1"/>
      <c r="J2161" s="124">
        <f>SUM(J2160)</f>
        <v>35000</v>
      </c>
      <c r="K2161" s="1"/>
      <c r="L2161" s="1"/>
      <c r="M2161" s="1"/>
      <c r="N2161" s="1"/>
      <c r="O2161" s="1"/>
      <c r="P2161" s="1"/>
      <c r="Q2161" s="1"/>
      <c r="R2161" s="1"/>
      <c r="S2161" s="1"/>
      <c r="T2161" s="1"/>
      <c r="U2161" s="1"/>
      <c r="V2161" s="1"/>
    </row>
    <row r="2162" spans="1:23" x14ac:dyDescent="0.3">
      <c r="A2162" s="62"/>
      <c r="B2162" s="1"/>
      <c r="C2162" s="1"/>
      <c r="D2162" s="1"/>
      <c r="E2162" s="1"/>
      <c r="F2162" s="124" t="s">
        <v>187</v>
      </c>
      <c r="G2162" s="1"/>
      <c r="H2162" s="1"/>
      <c r="I2162" s="1"/>
      <c r="J2162" s="124">
        <f>J2161*18/100</f>
        <v>6300</v>
      </c>
      <c r="K2162" s="1"/>
      <c r="L2162" s="1"/>
      <c r="M2162" s="1"/>
      <c r="N2162" s="1"/>
      <c r="O2162" s="1"/>
      <c r="P2162" s="1"/>
      <c r="Q2162" s="1"/>
      <c r="R2162" s="1"/>
      <c r="S2162" s="1"/>
      <c r="T2162" s="1"/>
      <c r="U2162" s="1"/>
      <c r="V2162" s="1"/>
    </row>
    <row r="2163" spans="1:23" x14ac:dyDescent="0.3">
      <c r="A2163" s="62"/>
      <c r="B2163" s="1"/>
      <c r="C2163" s="1"/>
      <c r="D2163" s="1"/>
      <c r="E2163" s="1"/>
      <c r="F2163" s="124" t="s">
        <v>41</v>
      </c>
      <c r="G2163" s="1"/>
      <c r="H2163" s="1"/>
      <c r="I2163" s="1"/>
      <c r="J2163" s="124">
        <f>SUM(J2161:J2162)</f>
        <v>41300</v>
      </c>
      <c r="K2163" s="1"/>
      <c r="L2163" s="1"/>
      <c r="M2163" s="1"/>
      <c r="N2163" s="1"/>
      <c r="O2163" s="1"/>
      <c r="P2163" s="1"/>
      <c r="Q2163" s="1"/>
      <c r="R2163" s="1"/>
      <c r="S2163" s="1"/>
      <c r="T2163" s="1">
        <f>SUM(T2160:T2162)</f>
        <v>41300</v>
      </c>
      <c r="U2163" s="1"/>
      <c r="V2163" s="1"/>
    </row>
    <row r="2164" spans="1:23" x14ac:dyDescent="0.3">
      <c r="A2164" s="62"/>
      <c r="B2164" s="1"/>
      <c r="C2164" s="1"/>
      <c r="D2164" s="1"/>
      <c r="E2164" s="1"/>
      <c r="F2164" s="124"/>
      <c r="G2164" s="1"/>
      <c r="H2164" s="1"/>
      <c r="I2164" s="1"/>
      <c r="J2164" s="124"/>
      <c r="K2164" s="1"/>
      <c r="L2164" s="1"/>
      <c r="M2164" s="1"/>
      <c r="N2164" s="1"/>
      <c r="O2164" s="1"/>
      <c r="P2164" s="1"/>
      <c r="Q2164" s="1"/>
      <c r="R2164" s="1"/>
      <c r="S2164" s="1"/>
      <c r="T2164" s="1"/>
      <c r="U2164" s="1"/>
      <c r="V2164" s="1"/>
    </row>
    <row r="2165" spans="1:23" ht="63" x14ac:dyDescent="0.3">
      <c r="A2165" s="1">
        <v>197</v>
      </c>
      <c r="B2165" s="1">
        <v>9200164054</v>
      </c>
      <c r="C2165" s="1" t="s">
        <v>2266</v>
      </c>
      <c r="D2165" s="1" t="s">
        <v>43</v>
      </c>
      <c r="E2165" s="1" t="s">
        <v>123</v>
      </c>
      <c r="F2165" s="22" t="s">
        <v>2267</v>
      </c>
      <c r="G2165" s="1">
        <v>5</v>
      </c>
      <c r="H2165" s="1" t="s">
        <v>87</v>
      </c>
      <c r="I2165" s="1">
        <v>18200</v>
      </c>
      <c r="J2165" s="1">
        <f t="shared" si="457"/>
        <v>91000</v>
      </c>
      <c r="K2165" s="1"/>
      <c r="L2165" s="1"/>
      <c r="M2165" s="1"/>
      <c r="N2165" s="1"/>
      <c r="O2165" s="1"/>
      <c r="P2165" s="1"/>
      <c r="Q2165" s="1"/>
      <c r="R2165" s="1"/>
      <c r="S2165" s="1"/>
      <c r="T2165" s="1"/>
      <c r="U2165" s="1"/>
      <c r="V2165" s="1"/>
    </row>
    <row r="2166" spans="1:23" ht="50.4" x14ac:dyDescent="0.3">
      <c r="A2166" s="1"/>
      <c r="B2166" s="1"/>
      <c r="C2166" s="1"/>
      <c r="D2166" s="1"/>
      <c r="E2166" s="16" t="s">
        <v>123</v>
      </c>
      <c r="F2166" s="39" t="s">
        <v>2268</v>
      </c>
      <c r="G2166" s="16">
        <v>380</v>
      </c>
      <c r="H2166" s="16" t="s">
        <v>111</v>
      </c>
      <c r="I2166" s="16">
        <v>280</v>
      </c>
      <c r="J2166" s="16">
        <f t="shared" si="457"/>
        <v>106400</v>
      </c>
      <c r="K2166" s="38" t="s">
        <v>2365</v>
      </c>
      <c r="L2166" s="16" t="s">
        <v>205</v>
      </c>
      <c r="M2166" s="16" t="s">
        <v>91</v>
      </c>
      <c r="N2166" s="16" t="s">
        <v>2364</v>
      </c>
      <c r="O2166" s="16">
        <v>380</v>
      </c>
      <c r="P2166" s="16">
        <v>280</v>
      </c>
      <c r="Q2166" s="16">
        <f>O2166*P2166</f>
        <v>106400</v>
      </c>
      <c r="R2166" s="18">
        <v>0</v>
      </c>
      <c r="S2166" s="16">
        <f>Q2166*R2166</f>
        <v>0</v>
      </c>
      <c r="T2166" s="16">
        <f>Q2166+S2166</f>
        <v>106400</v>
      </c>
      <c r="U2166" s="16" t="s">
        <v>2430</v>
      </c>
      <c r="V2166" s="19">
        <v>46059</v>
      </c>
      <c r="W2166" s="136" t="s">
        <v>2466</v>
      </c>
    </row>
    <row r="2167" spans="1:23" x14ac:dyDescent="0.3">
      <c r="A2167" s="1"/>
      <c r="B2167" s="1"/>
      <c r="C2167" s="1"/>
      <c r="D2167" s="1"/>
      <c r="E2167" s="1"/>
      <c r="F2167" s="124" t="s">
        <v>39</v>
      </c>
      <c r="G2167" s="1"/>
      <c r="H2167" s="1"/>
      <c r="I2167" s="1"/>
      <c r="J2167" s="124">
        <f>SUM(J2165:J2166)</f>
        <v>197400</v>
      </c>
      <c r="K2167" s="1"/>
      <c r="L2167" s="1"/>
      <c r="M2167" s="1"/>
      <c r="N2167" s="1"/>
      <c r="O2167" s="1"/>
      <c r="P2167" s="1"/>
      <c r="Q2167" s="1"/>
      <c r="R2167" s="1"/>
      <c r="S2167" s="1"/>
      <c r="T2167" s="1"/>
      <c r="U2167" s="1"/>
      <c r="V2167" s="1"/>
    </row>
    <row r="2168" spans="1:23" x14ac:dyDescent="0.3">
      <c r="A2168" s="1"/>
      <c r="B2168" s="1"/>
      <c r="C2168" s="1"/>
      <c r="D2168" s="1"/>
      <c r="E2168" s="1"/>
      <c r="F2168" s="124" t="s">
        <v>599</v>
      </c>
      <c r="G2168" s="1"/>
      <c r="H2168" s="1"/>
      <c r="I2168" s="1"/>
      <c r="J2168" s="124">
        <f>J2167*0/100</f>
        <v>0</v>
      </c>
      <c r="K2168" s="1"/>
      <c r="L2168" s="1"/>
      <c r="M2168" s="1"/>
      <c r="N2168" s="1"/>
      <c r="O2168" s="1"/>
      <c r="P2168" s="1"/>
      <c r="Q2168" s="1"/>
      <c r="R2168" s="1"/>
      <c r="S2168" s="1"/>
      <c r="T2168" s="1"/>
      <c r="U2168" s="1"/>
      <c r="V2168" s="1"/>
    </row>
    <row r="2169" spans="1:23" x14ac:dyDescent="0.3">
      <c r="A2169" s="1"/>
      <c r="B2169" s="1"/>
      <c r="C2169" s="1"/>
      <c r="D2169" s="1"/>
      <c r="E2169" s="1"/>
      <c r="F2169" s="124" t="s">
        <v>41</v>
      </c>
      <c r="G2169" s="1"/>
      <c r="H2169" s="1"/>
      <c r="I2169" s="1"/>
      <c r="J2169" s="124">
        <f>SUM(J2167:J2168)</f>
        <v>197400</v>
      </c>
      <c r="K2169" s="1"/>
      <c r="L2169" s="1"/>
      <c r="M2169" s="1"/>
      <c r="N2169" s="1"/>
      <c r="O2169" s="1"/>
      <c r="P2169" s="1"/>
      <c r="Q2169" s="1"/>
      <c r="R2169" s="1"/>
      <c r="S2169" s="1"/>
      <c r="T2169" s="1">
        <f>SUM(T2165:T2168)</f>
        <v>106400</v>
      </c>
      <c r="U2169" s="1"/>
      <c r="V2169" s="1"/>
    </row>
    <row r="2170" spans="1:23" x14ac:dyDescent="0.3">
      <c r="A2170" s="1"/>
      <c r="B2170" s="1"/>
      <c r="C2170" s="1"/>
      <c r="D2170" s="1"/>
      <c r="E2170" s="1"/>
      <c r="F2170" s="124"/>
      <c r="G2170" s="1"/>
      <c r="H2170" s="1"/>
      <c r="I2170" s="1"/>
      <c r="J2170" s="124"/>
      <c r="K2170" s="1"/>
      <c r="L2170" s="1"/>
      <c r="M2170" s="1"/>
      <c r="N2170" s="1"/>
      <c r="O2170" s="1"/>
      <c r="P2170" s="1"/>
      <c r="Q2170" s="1"/>
      <c r="R2170" s="1"/>
      <c r="S2170" s="1"/>
      <c r="T2170" s="1"/>
      <c r="U2170" s="1"/>
      <c r="V2170" s="1"/>
    </row>
    <row r="2171" spans="1:23" ht="25.2" x14ac:dyDescent="0.3">
      <c r="A2171" s="16">
        <v>198</v>
      </c>
      <c r="B2171" s="16">
        <v>9200164606</v>
      </c>
      <c r="C2171" s="16" t="s">
        <v>2283</v>
      </c>
      <c r="D2171" s="16" t="s">
        <v>43</v>
      </c>
      <c r="E2171" s="16" t="s">
        <v>123</v>
      </c>
      <c r="F2171" s="39" t="s">
        <v>2282</v>
      </c>
      <c r="G2171" s="16">
        <v>2</v>
      </c>
      <c r="H2171" s="16" t="s">
        <v>28</v>
      </c>
      <c r="I2171" s="16">
        <v>48450</v>
      </c>
      <c r="J2171" s="16">
        <f t="shared" si="457"/>
        <v>96900</v>
      </c>
      <c r="K2171" s="16" t="s">
        <v>2404</v>
      </c>
      <c r="L2171" s="16" t="s">
        <v>2405</v>
      </c>
      <c r="M2171" s="16" t="s">
        <v>91</v>
      </c>
      <c r="N2171" s="16" t="s">
        <v>2406</v>
      </c>
      <c r="O2171" s="16">
        <v>2</v>
      </c>
      <c r="P2171" s="16">
        <v>48450</v>
      </c>
      <c r="Q2171" s="16">
        <f>O2171*P2171</f>
        <v>96900</v>
      </c>
      <c r="R2171" s="18">
        <v>0.18</v>
      </c>
      <c r="S2171" s="16">
        <f>Q2171*R2171</f>
        <v>17442</v>
      </c>
      <c r="T2171" s="16">
        <f>Q2171+S2171</f>
        <v>114342</v>
      </c>
      <c r="U2171" s="16" t="s">
        <v>2507</v>
      </c>
      <c r="V2171" s="19">
        <v>46241</v>
      </c>
      <c r="W2171" s="136" t="s">
        <v>2610</v>
      </c>
    </row>
    <row r="2172" spans="1:23" x14ac:dyDescent="0.3">
      <c r="A2172" s="1"/>
      <c r="B2172" s="1"/>
      <c r="C2172" s="1"/>
      <c r="D2172" s="1"/>
      <c r="E2172" s="1"/>
      <c r="F2172" s="124" t="s">
        <v>39</v>
      </c>
      <c r="G2172" s="1"/>
      <c r="H2172" s="1"/>
      <c r="I2172" s="1"/>
      <c r="J2172" s="124">
        <f>SUM(J2171)</f>
        <v>96900</v>
      </c>
      <c r="K2172" s="1"/>
      <c r="L2172" s="1"/>
      <c r="M2172" s="1"/>
      <c r="N2172" s="1"/>
      <c r="O2172" s="1"/>
      <c r="P2172" s="1"/>
      <c r="Q2172" s="1"/>
      <c r="R2172" s="1"/>
      <c r="S2172" s="1"/>
      <c r="T2172" s="1"/>
      <c r="U2172" s="1"/>
      <c r="V2172" s="1"/>
    </row>
    <row r="2173" spans="1:23" x14ac:dyDescent="0.3">
      <c r="A2173" s="1"/>
      <c r="B2173" s="1"/>
      <c r="C2173" s="1"/>
      <c r="D2173" s="1"/>
      <c r="E2173" s="1"/>
      <c r="F2173" s="124" t="s">
        <v>187</v>
      </c>
      <c r="G2173" s="1"/>
      <c r="H2173" s="1"/>
      <c r="I2173" s="1"/>
      <c r="J2173" s="124">
        <f>J2172*18/100</f>
        <v>17442</v>
      </c>
      <c r="K2173" s="1"/>
      <c r="L2173" s="1"/>
      <c r="M2173" s="1"/>
      <c r="N2173" s="1"/>
      <c r="O2173" s="1"/>
      <c r="P2173" s="1"/>
      <c r="Q2173" s="1"/>
      <c r="R2173" s="1"/>
      <c r="S2173" s="1"/>
      <c r="T2173" s="1"/>
      <c r="U2173" s="1"/>
      <c r="V2173" s="1"/>
    </row>
    <row r="2174" spans="1:23" x14ac:dyDescent="0.3">
      <c r="A2174" s="1"/>
      <c r="B2174" s="1"/>
      <c r="C2174" s="1"/>
      <c r="D2174" s="1"/>
      <c r="E2174" s="1"/>
      <c r="F2174" s="124" t="s">
        <v>41</v>
      </c>
      <c r="G2174" s="1"/>
      <c r="H2174" s="1"/>
      <c r="I2174" s="1"/>
      <c r="J2174" s="124">
        <f>SUM(J2172:J2173)</f>
        <v>114342</v>
      </c>
      <c r="K2174" s="1"/>
      <c r="L2174" s="1"/>
      <c r="M2174" s="1"/>
      <c r="N2174" s="1"/>
      <c r="O2174" s="1"/>
      <c r="P2174" s="1"/>
      <c r="Q2174" s="1"/>
      <c r="R2174" s="1"/>
      <c r="S2174" s="1"/>
      <c r="T2174" s="1">
        <f>SUM(T2171:T2173)</f>
        <v>114342</v>
      </c>
      <c r="U2174" s="1"/>
      <c r="V2174" s="1"/>
    </row>
    <row r="2175" spans="1:23" x14ac:dyDescent="0.3">
      <c r="A2175" s="1"/>
      <c r="B2175" s="1"/>
      <c r="C2175" s="1"/>
      <c r="D2175" s="1"/>
      <c r="E2175" s="1"/>
      <c r="F2175" s="124"/>
      <c r="G2175" s="1"/>
      <c r="H2175" s="1"/>
      <c r="I2175" s="1"/>
      <c r="J2175" s="124"/>
      <c r="K2175" s="1"/>
      <c r="L2175" s="1"/>
      <c r="M2175" s="1"/>
      <c r="N2175" s="1"/>
      <c r="O2175" s="1"/>
      <c r="P2175" s="1"/>
      <c r="Q2175" s="1"/>
      <c r="R2175" s="1"/>
      <c r="S2175" s="1"/>
      <c r="T2175" s="1"/>
      <c r="U2175" s="1"/>
      <c r="V2175" s="1"/>
    </row>
    <row r="2176" spans="1:23" ht="37.799999999999997" x14ac:dyDescent="0.3">
      <c r="A2176" s="16">
        <v>199</v>
      </c>
      <c r="B2176" s="16">
        <v>9200164698</v>
      </c>
      <c r="C2176" s="16" t="s">
        <v>2288</v>
      </c>
      <c r="D2176" s="16" t="s">
        <v>2284</v>
      </c>
      <c r="E2176" s="16" t="s">
        <v>123</v>
      </c>
      <c r="F2176" s="39" t="s">
        <v>2285</v>
      </c>
      <c r="G2176" s="16">
        <v>120</v>
      </c>
      <c r="H2176" s="16" t="s">
        <v>111</v>
      </c>
      <c r="I2176" s="16">
        <v>475</v>
      </c>
      <c r="J2176" s="16">
        <f t="shared" si="457"/>
        <v>57000</v>
      </c>
      <c r="K2176" s="16">
        <v>4</v>
      </c>
      <c r="L2176" s="16" t="s">
        <v>28</v>
      </c>
      <c r="M2176" s="16" t="s">
        <v>91</v>
      </c>
      <c r="N2176" s="16" t="s">
        <v>2362</v>
      </c>
      <c r="O2176" s="16">
        <v>120</v>
      </c>
      <c r="P2176" s="16">
        <v>475</v>
      </c>
      <c r="Q2176" s="16">
        <f>O2176*P2176</f>
        <v>57000</v>
      </c>
      <c r="R2176" s="18">
        <v>0</v>
      </c>
      <c r="S2176" s="16">
        <f>Q2176*R2176</f>
        <v>0</v>
      </c>
      <c r="T2176" s="16">
        <f>Q2176+S2176</f>
        <v>57000</v>
      </c>
      <c r="U2176" s="16" t="s">
        <v>2366</v>
      </c>
      <c r="V2176" s="16" t="s">
        <v>2367</v>
      </c>
      <c r="W2176" s="136" t="s">
        <v>2397</v>
      </c>
    </row>
    <row r="2177" spans="1:23" x14ac:dyDescent="0.3">
      <c r="A2177" s="1"/>
      <c r="B2177" s="1"/>
      <c r="C2177" s="1"/>
      <c r="D2177" s="1"/>
      <c r="E2177" s="1"/>
      <c r="F2177" s="124" t="s">
        <v>39</v>
      </c>
      <c r="G2177" s="1"/>
      <c r="H2177" s="1"/>
      <c r="I2177" s="1"/>
      <c r="J2177" s="124">
        <f>SUM(J2176)</f>
        <v>57000</v>
      </c>
      <c r="K2177" s="1"/>
      <c r="L2177" s="1"/>
      <c r="M2177" s="1"/>
      <c r="N2177" s="1"/>
      <c r="O2177" s="1"/>
      <c r="P2177" s="1"/>
      <c r="Q2177" s="1"/>
      <c r="R2177" s="1"/>
      <c r="S2177" s="1"/>
      <c r="T2177" s="1"/>
      <c r="U2177" s="1"/>
      <c r="V2177" s="1"/>
    </row>
    <row r="2178" spans="1:23" x14ac:dyDescent="0.3">
      <c r="A2178" s="1"/>
      <c r="B2178" s="1"/>
      <c r="C2178" s="1"/>
      <c r="D2178" s="1"/>
      <c r="E2178" s="1"/>
      <c r="F2178" s="124" t="s">
        <v>599</v>
      </c>
      <c r="G2178" s="1"/>
      <c r="H2178" s="1"/>
      <c r="I2178" s="1"/>
      <c r="J2178" s="124">
        <f>J2177*0/100</f>
        <v>0</v>
      </c>
      <c r="K2178" s="1"/>
      <c r="L2178" s="1"/>
      <c r="M2178" s="1"/>
      <c r="N2178" s="1"/>
      <c r="O2178" s="1"/>
      <c r="P2178" s="1"/>
      <c r="Q2178" s="1"/>
      <c r="R2178" s="1"/>
      <c r="S2178" s="1"/>
      <c r="T2178" s="1"/>
      <c r="U2178" s="1"/>
      <c r="V2178" s="1"/>
    </row>
    <row r="2179" spans="1:23" x14ac:dyDescent="0.3">
      <c r="A2179" s="1"/>
      <c r="B2179" s="1"/>
      <c r="C2179" s="1"/>
      <c r="D2179" s="1"/>
      <c r="E2179" s="1"/>
      <c r="F2179" s="124" t="s">
        <v>41</v>
      </c>
      <c r="G2179" s="1"/>
      <c r="H2179" s="1"/>
      <c r="I2179" s="1"/>
      <c r="J2179" s="124">
        <f>SUM(J2177:J2178)</f>
        <v>57000</v>
      </c>
      <c r="K2179" s="1"/>
      <c r="L2179" s="1"/>
      <c r="M2179" s="1"/>
      <c r="N2179" s="1"/>
      <c r="O2179" s="1"/>
      <c r="P2179" s="1"/>
      <c r="Q2179" s="1"/>
      <c r="R2179" s="1"/>
      <c r="S2179" s="1"/>
      <c r="T2179" s="1"/>
      <c r="U2179" s="1"/>
      <c r="V2179" s="1"/>
    </row>
    <row r="2180" spans="1:23" x14ac:dyDescent="0.3">
      <c r="A2180" s="1"/>
      <c r="B2180" s="1"/>
      <c r="C2180" s="1"/>
      <c r="D2180" s="1"/>
      <c r="E2180" s="1"/>
      <c r="F2180" s="124"/>
      <c r="G2180" s="1"/>
      <c r="H2180" s="1"/>
      <c r="I2180" s="1"/>
      <c r="J2180" s="124"/>
      <c r="K2180" s="1"/>
      <c r="L2180" s="1"/>
      <c r="M2180" s="1"/>
      <c r="N2180" s="1"/>
      <c r="O2180" s="1"/>
      <c r="P2180" s="1"/>
      <c r="Q2180" s="1"/>
      <c r="R2180" s="1"/>
      <c r="S2180" s="1"/>
      <c r="T2180" s="1"/>
      <c r="U2180" s="1"/>
      <c r="V2180" s="1"/>
    </row>
    <row r="2181" spans="1:23" ht="25.2" x14ac:dyDescent="0.3">
      <c r="A2181" s="16">
        <v>200</v>
      </c>
      <c r="B2181" s="16">
        <v>9200164820</v>
      </c>
      <c r="C2181" s="16" t="s">
        <v>2286</v>
      </c>
      <c r="D2181" s="16" t="s">
        <v>300</v>
      </c>
      <c r="E2181" s="16" t="s">
        <v>123</v>
      </c>
      <c r="F2181" s="39" t="s">
        <v>2287</v>
      </c>
      <c r="G2181" s="16">
        <v>4</v>
      </c>
      <c r="H2181" s="16" t="s">
        <v>28</v>
      </c>
      <c r="I2181" s="16">
        <v>4650</v>
      </c>
      <c r="J2181" s="16">
        <f t="shared" si="457"/>
        <v>18600</v>
      </c>
      <c r="K2181" s="16">
        <v>4</v>
      </c>
      <c r="L2181" s="16" t="s">
        <v>28</v>
      </c>
      <c r="M2181" s="16" t="s">
        <v>91</v>
      </c>
      <c r="N2181" s="16" t="s">
        <v>2370</v>
      </c>
      <c r="O2181" s="16">
        <v>4</v>
      </c>
      <c r="P2181" s="16">
        <v>4650</v>
      </c>
      <c r="Q2181" s="16">
        <f>O2181*P2181</f>
        <v>18600</v>
      </c>
      <c r="R2181" s="18">
        <v>0.18</v>
      </c>
      <c r="S2181" s="16">
        <f>Q2181*R2181</f>
        <v>3348</v>
      </c>
      <c r="T2181" s="16">
        <f>Q2181+S2181</f>
        <v>21948</v>
      </c>
      <c r="U2181" s="16" t="s">
        <v>2371</v>
      </c>
      <c r="V2181" s="16" t="s">
        <v>2367</v>
      </c>
      <c r="W2181" s="136" t="s">
        <v>2389</v>
      </c>
    </row>
    <row r="2182" spans="1:23" x14ac:dyDescent="0.3">
      <c r="A2182" s="1"/>
      <c r="B2182" s="1"/>
      <c r="C2182" s="1"/>
      <c r="D2182" s="1"/>
      <c r="E2182" s="1"/>
      <c r="F2182" s="124" t="s">
        <v>39</v>
      </c>
      <c r="G2182" s="1"/>
      <c r="H2182" s="1"/>
      <c r="I2182" s="1"/>
      <c r="J2182" s="124">
        <f>SUM(J2181)</f>
        <v>18600</v>
      </c>
      <c r="K2182" s="1"/>
      <c r="L2182" s="1"/>
      <c r="M2182" s="1"/>
      <c r="N2182" s="1"/>
      <c r="O2182" s="1"/>
      <c r="P2182" s="1"/>
      <c r="Q2182" s="1"/>
      <c r="R2182" s="1"/>
      <c r="S2182" s="1"/>
      <c r="T2182" s="1"/>
      <c r="U2182" s="1"/>
      <c r="V2182" s="1"/>
    </row>
    <row r="2183" spans="1:23" x14ac:dyDescent="0.3">
      <c r="A2183" s="1"/>
      <c r="B2183" s="1"/>
      <c r="C2183" s="1"/>
      <c r="D2183" s="1"/>
      <c r="E2183" s="1"/>
      <c r="F2183" s="124" t="s">
        <v>187</v>
      </c>
      <c r="G2183" s="1"/>
      <c r="H2183" s="1"/>
      <c r="I2183" s="1"/>
      <c r="J2183" s="124">
        <f>J2182*18/100</f>
        <v>3348</v>
      </c>
      <c r="K2183" s="1"/>
      <c r="L2183" s="1"/>
      <c r="M2183" s="1"/>
      <c r="N2183" s="1"/>
      <c r="O2183" s="1"/>
      <c r="P2183" s="1"/>
      <c r="Q2183" s="1"/>
      <c r="R2183" s="1"/>
      <c r="S2183" s="1"/>
      <c r="T2183" s="1"/>
      <c r="U2183" s="1"/>
      <c r="V2183" s="1"/>
    </row>
    <row r="2184" spans="1:23" x14ac:dyDescent="0.3">
      <c r="A2184" s="1"/>
      <c r="B2184" s="1"/>
      <c r="C2184" s="1"/>
      <c r="D2184" s="1"/>
      <c r="E2184" s="1"/>
      <c r="F2184" s="124" t="s">
        <v>41</v>
      </c>
      <c r="G2184" s="1"/>
      <c r="H2184" s="1"/>
      <c r="I2184" s="1"/>
      <c r="J2184" s="124">
        <f>SUM(J2182:J2183)</f>
        <v>21948</v>
      </c>
      <c r="K2184" s="1"/>
      <c r="L2184" s="1"/>
      <c r="M2184" s="1"/>
      <c r="N2184" s="1"/>
      <c r="O2184" s="1"/>
      <c r="P2184" s="1"/>
      <c r="Q2184" s="1"/>
      <c r="R2184" s="1"/>
      <c r="S2184" s="1"/>
      <c r="T2184" s="1">
        <f>SUM(T2181:T2183)</f>
        <v>21948</v>
      </c>
      <c r="U2184" s="1"/>
      <c r="V2184" s="1"/>
    </row>
    <row r="2185" spans="1:23" x14ac:dyDescent="0.3">
      <c r="A2185" s="1"/>
      <c r="B2185" s="1"/>
      <c r="C2185" s="1"/>
      <c r="D2185" s="1"/>
      <c r="E2185" s="1"/>
      <c r="F2185" s="124"/>
      <c r="G2185" s="1"/>
      <c r="H2185" s="1"/>
      <c r="I2185" s="1"/>
      <c r="J2185" s="124"/>
      <c r="K2185" s="1"/>
      <c r="L2185" s="1"/>
      <c r="M2185" s="1"/>
      <c r="N2185" s="1"/>
      <c r="O2185" s="1"/>
      <c r="P2185" s="1"/>
      <c r="Q2185" s="1"/>
      <c r="R2185" s="1"/>
      <c r="S2185" s="1"/>
      <c r="T2185" s="1"/>
      <c r="U2185" s="1"/>
      <c r="V2185" s="1"/>
    </row>
    <row r="2186" spans="1:23" x14ac:dyDescent="0.3">
      <c r="A2186" s="1">
        <v>201</v>
      </c>
      <c r="B2186" s="1">
        <v>8100024582</v>
      </c>
      <c r="C2186" s="37">
        <v>46027</v>
      </c>
      <c r="D2186" s="1" t="s">
        <v>300</v>
      </c>
      <c r="E2186" s="1" t="s">
        <v>123</v>
      </c>
      <c r="F2186" s="22" t="s">
        <v>2289</v>
      </c>
      <c r="G2186" s="1">
        <v>6</v>
      </c>
      <c r="H2186" s="1" t="s">
        <v>181</v>
      </c>
      <c r="I2186" s="1">
        <v>2200</v>
      </c>
      <c r="J2186" s="1">
        <f t="shared" si="457"/>
        <v>13200</v>
      </c>
      <c r="K2186" s="1"/>
      <c r="L2186" s="1"/>
      <c r="M2186" s="1"/>
      <c r="N2186" s="1"/>
      <c r="O2186" s="1"/>
      <c r="P2186" s="1"/>
      <c r="Q2186" s="1"/>
      <c r="R2186" s="1"/>
      <c r="S2186" s="1"/>
      <c r="T2186" s="1"/>
      <c r="U2186" s="1"/>
      <c r="V2186" s="1"/>
    </row>
    <row r="2187" spans="1:23" x14ac:dyDescent="0.3">
      <c r="A2187" s="1"/>
      <c r="B2187" s="1"/>
      <c r="C2187" s="1"/>
      <c r="D2187" s="1"/>
      <c r="E2187" s="1" t="s">
        <v>123</v>
      </c>
      <c r="F2187" s="1" t="s">
        <v>2290</v>
      </c>
      <c r="G2187" s="1">
        <v>7</v>
      </c>
      <c r="H2187" s="1" t="s">
        <v>28</v>
      </c>
      <c r="I2187" s="1">
        <v>1500</v>
      </c>
      <c r="J2187" s="1">
        <f t="shared" si="457"/>
        <v>10500</v>
      </c>
      <c r="K2187" s="1"/>
      <c r="L2187" s="1"/>
      <c r="M2187" s="1"/>
      <c r="N2187" s="1"/>
      <c r="O2187" s="1"/>
      <c r="P2187" s="1"/>
      <c r="Q2187" s="1"/>
      <c r="R2187" s="1"/>
      <c r="S2187" s="1"/>
      <c r="T2187" s="1"/>
      <c r="U2187" s="1"/>
      <c r="V2187" s="1"/>
    </row>
    <row r="2188" spans="1:23" ht="25.2" x14ac:dyDescent="0.3">
      <c r="A2188" s="1"/>
      <c r="B2188" s="1"/>
      <c r="C2188" s="1"/>
      <c r="D2188" s="1"/>
      <c r="E2188" s="1" t="s">
        <v>123</v>
      </c>
      <c r="F2188" s="22" t="s">
        <v>2291</v>
      </c>
      <c r="G2188" s="1">
        <v>7</v>
      </c>
      <c r="H2188" s="1" t="s">
        <v>87</v>
      </c>
      <c r="I2188" s="1">
        <v>6500</v>
      </c>
      <c r="J2188" s="1">
        <f t="shared" si="457"/>
        <v>45500</v>
      </c>
      <c r="K2188" s="1"/>
      <c r="L2188" s="1"/>
      <c r="M2188" s="1"/>
      <c r="N2188" s="1"/>
      <c r="O2188" s="1"/>
      <c r="P2188" s="1"/>
      <c r="Q2188" s="1"/>
      <c r="R2188" s="1"/>
      <c r="S2188" s="1"/>
      <c r="T2188" s="1"/>
      <c r="U2188" s="1"/>
      <c r="V2188" s="1"/>
    </row>
    <row r="2189" spans="1:23" x14ac:dyDescent="0.3">
      <c r="A2189" s="1"/>
      <c r="B2189" s="1"/>
      <c r="C2189" s="1"/>
      <c r="D2189" s="1"/>
      <c r="E2189" s="1" t="s">
        <v>123</v>
      </c>
      <c r="F2189" s="1" t="s">
        <v>2292</v>
      </c>
      <c r="G2189" s="1">
        <v>7</v>
      </c>
      <c r="H2189" s="1" t="s">
        <v>87</v>
      </c>
      <c r="I2189" s="1">
        <v>6000</v>
      </c>
      <c r="J2189" s="1">
        <f t="shared" si="457"/>
        <v>42000</v>
      </c>
      <c r="K2189" s="1"/>
      <c r="L2189" s="1"/>
      <c r="M2189" s="1"/>
      <c r="N2189" s="1"/>
      <c r="O2189" s="1"/>
      <c r="P2189" s="1"/>
      <c r="Q2189" s="1"/>
      <c r="R2189" s="1"/>
      <c r="S2189" s="1"/>
      <c r="T2189" s="1"/>
      <c r="U2189" s="1"/>
      <c r="V2189" s="1"/>
    </row>
    <row r="2190" spans="1:23" x14ac:dyDescent="0.3">
      <c r="A2190" s="1"/>
      <c r="B2190" s="1"/>
      <c r="C2190" s="1"/>
      <c r="D2190" s="1"/>
      <c r="E2190" s="1" t="s">
        <v>123</v>
      </c>
      <c r="F2190" s="1" t="s">
        <v>2293</v>
      </c>
      <c r="G2190" s="1">
        <v>7</v>
      </c>
      <c r="H2190" s="1" t="s">
        <v>87</v>
      </c>
      <c r="I2190" s="1">
        <v>1800</v>
      </c>
      <c r="J2190" s="1">
        <f t="shared" si="457"/>
        <v>12600</v>
      </c>
      <c r="K2190" s="1"/>
      <c r="L2190" s="1"/>
      <c r="M2190" s="1"/>
      <c r="N2190" s="1"/>
      <c r="O2190" s="1"/>
      <c r="P2190" s="1"/>
      <c r="Q2190" s="1"/>
      <c r="R2190" s="1"/>
      <c r="S2190" s="1"/>
      <c r="T2190" s="1"/>
      <c r="U2190" s="1"/>
      <c r="V2190" s="1"/>
    </row>
    <row r="2191" spans="1:23" x14ac:dyDescent="0.3">
      <c r="A2191" s="1"/>
      <c r="B2191" s="1"/>
      <c r="C2191" s="1"/>
      <c r="D2191" s="1"/>
      <c r="E2191" s="1" t="s">
        <v>123</v>
      </c>
      <c r="F2191" s="1" t="s">
        <v>2294</v>
      </c>
      <c r="G2191" s="1">
        <v>2</v>
      </c>
      <c r="H2191" s="1" t="s">
        <v>1709</v>
      </c>
      <c r="I2191" s="1">
        <v>2500</v>
      </c>
      <c r="J2191" s="1">
        <f t="shared" si="457"/>
        <v>5000</v>
      </c>
      <c r="K2191" s="1"/>
      <c r="L2191" s="1"/>
      <c r="M2191" s="1"/>
      <c r="N2191" s="1"/>
      <c r="O2191" s="1"/>
      <c r="P2191" s="1"/>
      <c r="Q2191" s="1"/>
      <c r="R2191" s="1"/>
      <c r="S2191" s="1"/>
      <c r="T2191" s="1"/>
      <c r="U2191" s="1"/>
      <c r="V2191" s="1"/>
    </row>
    <row r="2192" spans="1:23" x14ac:dyDescent="0.3">
      <c r="A2192" s="1"/>
      <c r="B2192" s="1"/>
      <c r="C2192" s="1"/>
      <c r="D2192" s="1"/>
      <c r="E2192" s="1" t="s">
        <v>123</v>
      </c>
      <c r="F2192" s="1" t="s">
        <v>2295</v>
      </c>
      <c r="G2192" s="1">
        <v>40</v>
      </c>
      <c r="H2192" s="1" t="s">
        <v>252</v>
      </c>
      <c r="I2192" s="1">
        <v>330</v>
      </c>
      <c r="J2192" s="1">
        <f t="shared" si="457"/>
        <v>13200</v>
      </c>
      <c r="K2192" s="119">
        <v>40</v>
      </c>
      <c r="L2192" s="119" t="s">
        <v>252</v>
      </c>
      <c r="M2192" s="119" t="s">
        <v>1570</v>
      </c>
      <c r="N2192" s="119" t="s">
        <v>2685</v>
      </c>
      <c r="O2192" s="1"/>
      <c r="P2192" s="1"/>
      <c r="Q2192" s="1"/>
      <c r="R2192" s="1"/>
      <c r="S2192" s="1"/>
      <c r="T2192" s="1"/>
      <c r="U2192" s="1"/>
      <c r="V2192" s="1"/>
    </row>
    <row r="2193" spans="1:23" x14ac:dyDescent="0.3">
      <c r="A2193" s="1"/>
      <c r="B2193" s="1"/>
      <c r="C2193" s="1"/>
      <c r="D2193" s="1"/>
      <c r="E2193" s="1" t="s">
        <v>123</v>
      </c>
      <c r="F2193" s="1" t="s">
        <v>2296</v>
      </c>
      <c r="G2193" s="1">
        <v>60</v>
      </c>
      <c r="H2193" s="1" t="s">
        <v>111</v>
      </c>
      <c r="I2193" s="1">
        <v>850</v>
      </c>
      <c r="J2193" s="1">
        <f t="shared" si="457"/>
        <v>51000</v>
      </c>
      <c r="K2193" s="1"/>
      <c r="L2193" s="1"/>
      <c r="M2193" s="1"/>
      <c r="N2193" s="1"/>
      <c r="O2193" s="1"/>
      <c r="P2193" s="1"/>
      <c r="Q2193" s="1"/>
      <c r="R2193" s="1"/>
      <c r="S2193" s="1"/>
      <c r="T2193" s="1"/>
      <c r="U2193" s="1"/>
      <c r="V2193" s="1"/>
    </row>
    <row r="2194" spans="1:23" x14ac:dyDescent="0.3">
      <c r="A2194" s="1"/>
      <c r="B2194" s="1"/>
      <c r="C2194" s="1"/>
      <c r="D2194" s="1"/>
      <c r="E2194" s="16" t="s">
        <v>127</v>
      </c>
      <c r="F2194" s="39" t="s">
        <v>2297</v>
      </c>
      <c r="G2194" s="16">
        <v>6</v>
      </c>
      <c r="H2194" s="16" t="s">
        <v>181</v>
      </c>
      <c r="I2194" s="16">
        <v>14928</v>
      </c>
      <c r="J2194" s="16">
        <f t="shared" si="457"/>
        <v>89568</v>
      </c>
      <c r="K2194" s="16"/>
      <c r="L2194" s="16"/>
      <c r="M2194" s="16"/>
      <c r="N2194" s="16"/>
      <c r="O2194" s="16">
        <v>6</v>
      </c>
      <c r="P2194" s="16">
        <v>14928</v>
      </c>
      <c r="Q2194" s="16">
        <f>O2194*P2194</f>
        <v>89568</v>
      </c>
      <c r="R2194" s="18">
        <v>0.18</v>
      </c>
      <c r="S2194" s="16">
        <f>Q2194*R2194</f>
        <v>16122.24</v>
      </c>
      <c r="T2194" s="16">
        <f>Q2194+S2194</f>
        <v>105690.24000000001</v>
      </c>
      <c r="U2194" s="16" t="s">
        <v>2501</v>
      </c>
      <c r="V2194" s="19">
        <v>46029</v>
      </c>
      <c r="W2194" s="136" t="s">
        <v>2496</v>
      </c>
    </row>
    <row r="2195" spans="1:23" x14ac:dyDescent="0.3">
      <c r="A2195" s="1"/>
      <c r="B2195" s="1"/>
      <c r="C2195" s="1"/>
      <c r="D2195" s="1"/>
      <c r="E2195" s="1"/>
      <c r="F2195" s="124" t="s">
        <v>39</v>
      </c>
      <c r="G2195" s="1"/>
      <c r="H2195" s="1"/>
      <c r="I2195" s="1"/>
      <c r="J2195" s="124">
        <f>SUM(J2186:J2194)</f>
        <v>282568</v>
      </c>
      <c r="K2195" s="1"/>
      <c r="L2195" s="1"/>
      <c r="M2195" s="1"/>
      <c r="N2195" s="1"/>
      <c r="O2195" s="1"/>
      <c r="P2195" s="1"/>
      <c r="Q2195" s="1"/>
      <c r="R2195" s="1"/>
      <c r="S2195" s="1"/>
      <c r="T2195" s="1"/>
      <c r="U2195" s="1"/>
      <c r="V2195" s="1"/>
    </row>
    <row r="2196" spans="1:23" x14ac:dyDescent="0.3">
      <c r="A2196" s="1"/>
      <c r="B2196" s="1"/>
      <c r="C2196" s="1"/>
      <c r="D2196" s="1"/>
      <c r="E2196" s="1"/>
      <c r="F2196" s="124" t="s">
        <v>187</v>
      </c>
      <c r="G2196" s="1"/>
      <c r="H2196" s="1"/>
      <c r="I2196" s="1"/>
      <c r="J2196" s="124">
        <f>J2195*18/100</f>
        <v>50862.239999999998</v>
      </c>
      <c r="K2196" s="1"/>
      <c r="L2196" s="1"/>
      <c r="M2196" s="1"/>
      <c r="N2196" s="1"/>
      <c r="O2196" s="1"/>
      <c r="P2196" s="1"/>
      <c r="Q2196" s="1"/>
      <c r="R2196" s="1"/>
      <c r="S2196" s="1"/>
      <c r="T2196" s="1"/>
      <c r="U2196" s="1"/>
      <c r="V2196" s="1"/>
    </row>
    <row r="2197" spans="1:23" x14ac:dyDescent="0.3">
      <c r="A2197" s="1"/>
      <c r="B2197" s="1"/>
      <c r="C2197" s="1"/>
      <c r="D2197" s="1"/>
      <c r="E2197" s="1"/>
      <c r="F2197" s="124" t="s">
        <v>41</v>
      </c>
      <c r="G2197" s="1"/>
      <c r="H2197" s="1"/>
      <c r="I2197" s="1"/>
      <c r="J2197" s="124">
        <f>SUM(J2195:J2196)</f>
        <v>333430.24</v>
      </c>
      <c r="K2197" s="1"/>
      <c r="L2197" s="1"/>
      <c r="M2197" s="1"/>
      <c r="N2197" s="1"/>
      <c r="O2197" s="1"/>
      <c r="P2197" s="1"/>
      <c r="Q2197" s="1"/>
      <c r="R2197" s="1"/>
      <c r="S2197" s="1"/>
      <c r="T2197" s="1"/>
      <c r="U2197" s="1"/>
      <c r="V2197" s="1"/>
    </row>
    <row r="2198" spans="1:23" x14ac:dyDescent="0.3">
      <c r="A2198" s="1"/>
      <c r="B2198" s="1"/>
      <c r="C2198" s="1"/>
      <c r="D2198" s="1"/>
      <c r="E2198" s="1"/>
      <c r="F2198" s="124"/>
      <c r="G2198" s="1"/>
      <c r="H2198" s="1"/>
      <c r="I2198" s="1"/>
      <c r="J2198" s="124"/>
      <c r="K2198" s="1"/>
      <c r="L2198" s="1"/>
      <c r="M2198" s="1"/>
      <c r="N2198" s="1"/>
      <c r="O2198" s="1"/>
      <c r="P2198" s="1"/>
      <c r="Q2198" s="1"/>
      <c r="R2198" s="1"/>
      <c r="S2198" s="1"/>
      <c r="T2198" s="1"/>
      <c r="U2198" s="1"/>
      <c r="V2198" s="1"/>
    </row>
    <row r="2199" spans="1:23" x14ac:dyDescent="0.3">
      <c r="A2199" s="1">
        <v>202</v>
      </c>
      <c r="B2199" s="1">
        <v>9200165132</v>
      </c>
      <c r="C2199" s="37">
        <v>46058</v>
      </c>
      <c r="D2199" s="1" t="s">
        <v>43</v>
      </c>
      <c r="E2199" s="16" t="s">
        <v>123</v>
      </c>
      <c r="F2199" s="16" t="s">
        <v>2298</v>
      </c>
      <c r="G2199" s="16">
        <v>2</v>
      </c>
      <c r="H2199" s="16" t="s">
        <v>28</v>
      </c>
      <c r="I2199" s="16">
        <v>3500</v>
      </c>
      <c r="J2199" s="16">
        <f t="shared" si="457"/>
        <v>7000</v>
      </c>
      <c r="K2199" s="16">
        <v>2</v>
      </c>
      <c r="L2199" s="16" t="s">
        <v>28</v>
      </c>
      <c r="M2199" s="16" t="s">
        <v>91</v>
      </c>
      <c r="N2199" s="16" t="s">
        <v>2450</v>
      </c>
      <c r="O2199" s="16">
        <v>2</v>
      </c>
      <c r="P2199" s="16">
        <v>3500</v>
      </c>
      <c r="Q2199" s="16">
        <f>O2199*P2199</f>
        <v>7000</v>
      </c>
      <c r="R2199" s="18">
        <v>0</v>
      </c>
      <c r="S2199" s="16">
        <f>Q2199*R2199</f>
        <v>0</v>
      </c>
      <c r="T2199" s="16">
        <f>Q2199+S2199</f>
        <v>7000</v>
      </c>
      <c r="U2199" s="16" t="s">
        <v>2506</v>
      </c>
      <c r="V2199" s="19">
        <v>46241</v>
      </c>
      <c r="W2199" s="136" t="s">
        <v>2639</v>
      </c>
    </row>
    <row r="2200" spans="1:23" x14ac:dyDescent="0.3">
      <c r="A2200" s="1"/>
      <c r="B2200" s="1"/>
      <c r="C2200" s="1"/>
      <c r="D2200" s="1">
        <v>2</v>
      </c>
      <c r="E2200" s="16" t="s">
        <v>123</v>
      </c>
      <c r="F2200" s="16" t="s">
        <v>2299</v>
      </c>
      <c r="G2200" s="16">
        <v>1</v>
      </c>
      <c r="H2200" s="16" t="s">
        <v>28</v>
      </c>
      <c r="I2200" s="16">
        <v>9600</v>
      </c>
      <c r="J2200" s="16">
        <f t="shared" si="457"/>
        <v>9600</v>
      </c>
      <c r="K2200" s="16">
        <v>1</v>
      </c>
      <c r="L2200" s="16" t="s">
        <v>28</v>
      </c>
      <c r="M2200" s="16" t="s">
        <v>91</v>
      </c>
      <c r="N2200" s="16" t="s">
        <v>2474</v>
      </c>
      <c r="O2200" s="16">
        <v>1</v>
      </c>
      <c r="P2200" s="16">
        <v>9600</v>
      </c>
      <c r="Q2200" s="16">
        <f t="shared" ref="Q2200:Q2218" si="470">O2200*P2200</f>
        <v>9600</v>
      </c>
      <c r="R2200" s="18">
        <v>0</v>
      </c>
      <c r="S2200" s="16">
        <f t="shared" ref="S2200:S2211" si="471">Q2200*R2200</f>
        <v>0</v>
      </c>
      <c r="T2200" s="16">
        <f t="shared" ref="T2200:T2211" si="472">Q2200+S2200</f>
        <v>9600</v>
      </c>
      <c r="U2200" s="16" t="s">
        <v>2506</v>
      </c>
      <c r="V2200" s="19">
        <v>46241</v>
      </c>
      <c r="W2200" s="136" t="s">
        <v>2639</v>
      </c>
    </row>
    <row r="2201" spans="1:23" x14ac:dyDescent="0.3">
      <c r="A2201" s="1"/>
      <c r="B2201" s="1"/>
      <c r="C2201" s="1"/>
      <c r="D2201" s="1">
        <v>3</v>
      </c>
      <c r="E2201" s="85" t="s">
        <v>123</v>
      </c>
      <c r="F2201" s="103" t="s">
        <v>2300</v>
      </c>
      <c r="G2201" s="85">
        <v>2</v>
      </c>
      <c r="H2201" s="85" t="s">
        <v>28</v>
      </c>
      <c r="I2201" s="85">
        <v>2500</v>
      </c>
      <c r="J2201" s="85">
        <f t="shared" si="457"/>
        <v>5000</v>
      </c>
      <c r="K2201" s="198">
        <v>2</v>
      </c>
      <c r="L2201" s="198" t="s">
        <v>28</v>
      </c>
      <c r="M2201" s="198" t="s">
        <v>91</v>
      </c>
      <c r="N2201" s="198" t="s">
        <v>2474</v>
      </c>
      <c r="O2201" s="85"/>
      <c r="P2201" s="85">
        <v>2500</v>
      </c>
      <c r="Q2201" s="85">
        <f t="shared" si="470"/>
        <v>0</v>
      </c>
      <c r="R2201" s="104">
        <v>0</v>
      </c>
      <c r="S2201" s="85">
        <f t="shared" si="471"/>
        <v>0</v>
      </c>
      <c r="T2201" s="85">
        <f t="shared" si="472"/>
        <v>0</v>
      </c>
      <c r="U2201" s="85"/>
      <c r="V2201" s="94"/>
    </row>
    <row r="2202" spans="1:23" x14ac:dyDescent="0.3">
      <c r="A2202" s="1"/>
      <c r="B2202" s="1"/>
      <c r="C2202" s="1"/>
      <c r="D2202" s="1">
        <v>4</v>
      </c>
      <c r="E2202" s="97" t="s">
        <v>123</v>
      </c>
      <c r="F2202" s="97" t="s">
        <v>2301</v>
      </c>
      <c r="G2202" s="97">
        <v>1</v>
      </c>
      <c r="H2202" s="97" t="s">
        <v>28</v>
      </c>
      <c r="I2202" s="97">
        <v>2200</v>
      </c>
      <c r="J2202" s="97">
        <f t="shared" si="457"/>
        <v>2200</v>
      </c>
      <c r="K2202" s="97">
        <v>1</v>
      </c>
      <c r="L2202" s="97" t="s">
        <v>28</v>
      </c>
      <c r="M2202" s="97" t="s">
        <v>91</v>
      </c>
      <c r="N2202" s="97" t="s">
        <v>2474</v>
      </c>
      <c r="O2202" s="97">
        <v>1</v>
      </c>
      <c r="P2202" s="97">
        <v>2200</v>
      </c>
      <c r="Q2202" s="97">
        <f t="shared" si="470"/>
        <v>2200</v>
      </c>
      <c r="R2202" s="111">
        <v>0</v>
      </c>
      <c r="S2202" s="97">
        <f t="shared" si="471"/>
        <v>0</v>
      </c>
      <c r="T2202" s="97">
        <f t="shared" si="472"/>
        <v>2200</v>
      </c>
      <c r="U2202" s="97" t="s">
        <v>2681</v>
      </c>
      <c r="V2202" s="110">
        <v>46334</v>
      </c>
    </row>
    <row r="2203" spans="1:23" x14ac:dyDescent="0.3">
      <c r="A2203" s="1"/>
      <c r="B2203" s="1"/>
      <c r="C2203" s="1"/>
      <c r="D2203" s="1">
        <v>5</v>
      </c>
      <c r="E2203" s="16" t="s">
        <v>123</v>
      </c>
      <c r="F2203" s="16" t="s">
        <v>2302</v>
      </c>
      <c r="G2203" s="16">
        <v>2</v>
      </c>
      <c r="H2203" s="16" t="s">
        <v>28</v>
      </c>
      <c r="I2203" s="16">
        <v>3500</v>
      </c>
      <c r="J2203" s="16">
        <f t="shared" si="457"/>
        <v>7000</v>
      </c>
      <c r="K2203" s="16">
        <v>2</v>
      </c>
      <c r="L2203" s="16" t="s">
        <v>28</v>
      </c>
      <c r="M2203" s="16" t="s">
        <v>91</v>
      </c>
      <c r="N2203" s="16" t="s">
        <v>2450</v>
      </c>
      <c r="O2203" s="16">
        <v>2</v>
      </c>
      <c r="P2203" s="16">
        <v>3500</v>
      </c>
      <c r="Q2203" s="16">
        <f t="shared" si="470"/>
        <v>7000</v>
      </c>
      <c r="R2203" s="18">
        <v>0</v>
      </c>
      <c r="S2203" s="16">
        <f t="shared" si="471"/>
        <v>0</v>
      </c>
      <c r="T2203" s="16">
        <f t="shared" si="472"/>
        <v>7000</v>
      </c>
      <c r="U2203" s="16" t="s">
        <v>2506</v>
      </c>
      <c r="V2203" s="19">
        <v>46241</v>
      </c>
      <c r="W2203" s="136" t="s">
        <v>2639</v>
      </c>
    </row>
    <row r="2204" spans="1:23" x14ac:dyDescent="0.3">
      <c r="A2204" s="1"/>
      <c r="B2204" s="1"/>
      <c r="C2204" s="1"/>
      <c r="D2204" s="1">
        <v>6</v>
      </c>
      <c r="E2204" s="16" t="s">
        <v>123</v>
      </c>
      <c r="F2204" s="16" t="s">
        <v>2303</v>
      </c>
      <c r="G2204" s="16">
        <v>1</v>
      </c>
      <c r="H2204" s="16" t="s">
        <v>28</v>
      </c>
      <c r="I2204" s="16">
        <v>3500</v>
      </c>
      <c r="J2204" s="16">
        <f t="shared" si="457"/>
        <v>3500</v>
      </c>
      <c r="K2204" s="16">
        <v>1</v>
      </c>
      <c r="L2204" s="16" t="s">
        <v>28</v>
      </c>
      <c r="M2204" s="16" t="s">
        <v>91</v>
      </c>
      <c r="N2204" s="16" t="s">
        <v>2474</v>
      </c>
      <c r="O2204" s="16">
        <v>1</v>
      </c>
      <c r="P2204" s="16">
        <v>3500</v>
      </c>
      <c r="Q2204" s="16">
        <f t="shared" si="470"/>
        <v>3500</v>
      </c>
      <c r="R2204" s="18">
        <v>0</v>
      </c>
      <c r="S2204" s="16">
        <f t="shared" si="471"/>
        <v>0</v>
      </c>
      <c r="T2204" s="16">
        <f t="shared" si="472"/>
        <v>3500</v>
      </c>
      <c r="U2204" s="16" t="s">
        <v>2506</v>
      </c>
      <c r="V2204" s="19">
        <v>46241</v>
      </c>
      <c r="W2204" s="136" t="s">
        <v>2639</v>
      </c>
    </row>
    <row r="2205" spans="1:23" x14ac:dyDescent="0.3">
      <c r="A2205" s="1"/>
      <c r="B2205" s="1"/>
      <c r="C2205" s="1"/>
      <c r="D2205" s="1">
        <v>7</v>
      </c>
      <c r="E2205" s="1" t="s">
        <v>123</v>
      </c>
      <c r="F2205" s="1" t="s">
        <v>2304</v>
      </c>
      <c r="G2205" s="1">
        <v>1</v>
      </c>
      <c r="H2205" s="1" t="s">
        <v>28</v>
      </c>
      <c r="I2205" s="1">
        <v>2200</v>
      </c>
      <c r="J2205" s="1">
        <f t="shared" si="457"/>
        <v>2200</v>
      </c>
      <c r="K2205" s="198">
        <v>1</v>
      </c>
      <c r="L2205" s="198" t="s">
        <v>28</v>
      </c>
      <c r="M2205" s="198" t="s">
        <v>91</v>
      </c>
      <c r="N2205" s="198" t="s">
        <v>2474</v>
      </c>
      <c r="O2205" s="1"/>
      <c r="P2205" s="85">
        <v>2200</v>
      </c>
      <c r="Q2205" s="85">
        <f t="shared" si="470"/>
        <v>0</v>
      </c>
      <c r="R2205" s="104">
        <v>0</v>
      </c>
      <c r="S2205" s="85">
        <f t="shared" si="471"/>
        <v>0</v>
      </c>
      <c r="T2205" s="85">
        <f t="shared" si="472"/>
        <v>0</v>
      </c>
      <c r="U2205" s="85"/>
      <c r="V2205" s="94"/>
    </row>
    <row r="2206" spans="1:23" x14ac:dyDescent="0.3">
      <c r="A2206" s="1"/>
      <c r="B2206" s="1"/>
      <c r="C2206" s="1"/>
      <c r="D2206" s="1">
        <v>8</v>
      </c>
      <c r="E2206" s="16" t="s">
        <v>123</v>
      </c>
      <c r="F2206" s="16" t="s">
        <v>2305</v>
      </c>
      <c r="G2206" s="16">
        <v>1</v>
      </c>
      <c r="H2206" s="16" t="s">
        <v>28</v>
      </c>
      <c r="I2206" s="16">
        <v>9600</v>
      </c>
      <c r="J2206" s="16">
        <f t="shared" si="457"/>
        <v>9600</v>
      </c>
      <c r="K2206" s="16">
        <v>1</v>
      </c>
      <c r="L2206" s="16" t="s">
        <v>28</v>
      </c>
      <c r="M2206" s="16" t="s">
        <v>91</v>
      </c>
      <c r="N2206" s="16" t="s">
        <v>2474</v>
      </c>
      <c r="O2206" s="16">
        <v>1</v>
      </c>
      <c r="P2206" s="16">
        <v>9600</v>
      </c>
      <c r="Q2206" s="16">
        <f t="shared" si="470"/>
        <v>9600</v>
      </c>
      <c r="R2206" s="18">
        <v>0</v>
      </c>
      <c r="S2206" s="16">
        <f t="shared" si="471"/>
        <v>0</v>
      </c>
      <c r="T2206" s="16">
        <f t="shared" si="472"/>
        <v>9600</v>
      </c>
      <c r="U2206" s="16" t="s">
        <v>2506</v>
      </c>
      <c r="V2206" s="19">
        <v>46241</v>
      </c>
      <c r="W2206" s="136" t="s">
        <v>2639</v>
      </c>
    </row>
    <row r="2207" spans="1:23" x14ac:dyDescent="0.3">
      <c r="A2207" s="1"/>
      <c r="B2207" s="1"/>
      <c r="C2207" s="1"/>
      <c r="D2207" s="1">
        <v>9</v>
      </c>
      <c r="E2207" s="16" t="s">
        <v>123</v>
      </c>
      <c r="F2207" s="16" t="s">
        <v>2306</v>
      </c>
      <c r="G2207" s="16">
        <v>3</v>
      </c>
      <c r="H2207" s="16" t="s">
        <v>28</v>
      </c>
      <c r="I2207" s="16">
        <v>3500</v>
      </c>
      <c r="J2207" s="16">
        <f t="shared" si="457"/>
        <v>10500</v>
      </c>
      <c r="K2207" s="16">
        <v>3</v>
      </c>
      <c r="L2207" s="16" t="s">
        <v>28</v>
      </c>
      <c r="M2207" s="16" t="s">
        <v>91</v>
      </c>
      <c r="N2207" s="16" t="s">
        <v>2474</v>
      </c>
      <c r="O2207" s="16">
        <v>3</v>
      </c>
      <c r="P2207" s="16">
        <v>3500</v>
      </c>
      <c r="Q2207" s="16">
        <f t="shared" si="470"/>
        <v>10500</v>
      </c>
      <c r="R2207" s="18">
        <v>0</v>
      </c>
      <c r="S2207" s="16">
        <f t="shared" si="471"/>
        <v>0</v>
      </c>
      <c r="T2207" s="16">
        <f t="shared" si="472"/>
        <v>10500</v>
      </c>
      <c r="U2207" s="16" t="s">
        <v>2506</v>
      </c>
      <c r="V2207" s="19">
        <v>46241</v>
      </c>
      <c r="W2207" s="136" t="s">
        <v>2639</v>
      </c>
    </row>
    <row r="2208" spans="1:23" x14ac:dyDescent="0.3">
      <c r="A2208" s="1"/>
      <c r="B2208" s="1"/>
      <c r="C2208" s="1"/>
      <c r="D2208" s="1">
        <v>10</v>
      </c>
      <c r="E2208" s="16" t="s">
        <v>123</v>
      </c>
      <c r="F2208" s="16" t="s">
        <v>2307</v>
      </c>
      <c r="G2208" s="16">
        <v>1</v>
      </c>
      <c r="H2208" s="16" t="s">
        <v>28</v>
      </c>
      <c r="I2208" s="16">
        <v>11500</v>
      </c>
      <c r="J2208" s="16">
        <f t="shared" si="457"/>
        <v>11500</v>
      </c>
      <c r="K2208" s="16">
        <v>1</v>
      </c>
      <c r="L2208" s="16" t="s">
        <v>28</v>
      </c>
      <c r="M2208" s="16" t="s">
        <v>91</v>
      </c>
      <c r="N2208" s="16" t="s">
        <v>2474</v>
      </c>
      <c r="O2208" s="16">
        <v>1</v>
      </c>
      <c r="P2208" s="16">
        <v>11500</v>
      </c>
      <c r="Q2208" s="16">
        <f t="shared" si="470"/>
        <v>11500</v>
      </c>
      <c r="R2208" s="18">
        <v>0</v>
      </c>
      <c r="S2208" s="16">
        <f t="shared" si="471"/>
        <v>0</v>
      </c>
      <c r="T2208" s="16">
        <f t="shared" si="472"/>
        <v>11500</v>
      </c>
      <c r="U2208" s="16" t="s">
        <v>2506</v>
      </c>
      <c r="V2208" s="19">
        <v>46241</v>
      </c>
      <c r="W2208" s="136" t="s">
        <v>2639</v>
      </c>
    </row>
    <row r="2209" spans="1:23" x14ac:dyDescent="0.3">
      <c r="A2209" s="1"/>
      <c r="B2209" s="1"/>
      <c r="C2209" s="1"/>
      <c r="D2209" s="1">
        <v>11</v>
      </c>
      <c r="E2209" s="16" t="s">
        <v>123</v>
      </c>
      <c r="F2209" s="16" t="s">
        <v>2308</v>
      </c>
      <c r="G2209" s="16">
        <v>1</v>
      </c>
      <c r="H2209" s="16" t="s">
        <v>28</v>
      </c>
      <c r="I2209" s="16">
        <v>3500</v>
      </c>
      <c r="J2209" s="16">
        <f t="shared" si="457"/>
        <v>3500</v>
      </c>
      <c r="K2209" s="16">
        <v>1</v>
      </c>
      <c r="L2209" s="16" t="s">
        <v>28</v>
      </c>
      <c r="M2209" s="16" t="s">
        <v>91</v>
      </c>
      <c r="N2209" s="16" t="s">
        <v>2474</v>
      </c>
      <c r="O2209" s="16">
        <v>1</v>
      </c>
      <c r="P2209" s="16">
        <v>3500</v>
      </c>
      <c r="Q2209" s="16">
        <f t="shared" si="470"/>
        <v>3500</v>
      </c>
      <c r="R2209" s="18">
        <v>0</v>
      </c>
      <c r="S2209" s="16">
        <f t="shared" si="471"/>
        <v>0</v>
      </c>
      <c r="T2209" s="16">
        <f t="shared" si="472"/>
        <v>3500</v>
      </c>
      <c r="U2209" s="16" t="s">
        <v>2506</v>
      </c>
      <c r="V2209" s="19">
        <v>46241</v>
      </c>
      <c r="W2209" s="136" t="s">
        <v>2639</v>
      </c>
    </row>
    <row r="2210" spans="1:23" x14ac:dyDescent="0.3">
      <c r="A2210" s="1"/>
      <c r="B2210" s="1"/>
      <c r="C2210" s="1"/>
      <c r="D2210" s="1">
        <v>12</v>
      </c>
      <c r="E2210" s="97" t="s">
        <v>123</v>
      </c>
      <c r="F2210" s="97" t="s">
        <v>2309</v>
      </c>
      <c r="G2210" s="97">
        <v>1</v>
      </c>
      <c r="H2210" s="97" t="s">
        <v>28</v>
      </c>
      <c r="I2210" s="97">
        <v>3500</v>
      </c>
      <c r="J2210" s="97">
        <f t="shared" si="457"/>
        <v>3500</v>
      </c>
      <c r="K2210" s="97">
        <v>1</v>
      </c>
      <c r="L2210" s="97" t="s">
        <v>28</v>
      </c>
      <c r="M2210" s="97" t="s">
        <v>91</v>
      </c>
      <c r="N2210" s="97" t="s">
        <v>2450</v>
      </c>
      <c r="O2210" s="97">
        <v>1</v>
      </c>
      <c r="P2210" s="97">
        <v>3500</v>
      </c>
      <c r="Q2210" s="97">
        <f t="shared" si="470"/>
        <v>3500</v>
      </c>
      <c r="R2210" s="111">
        <v>0</v>
      </c>
      <c r="S2210" s="97">
        <f t="shared" si="471"/>
        <v>0</v>
      </c>
      <c r="T2210" s="97">
        <f t="shared" si="472"/>
        <v>3500</v>
      </c>
      <c r="U2210" s="97" t="s">
        <v>2681</v>
      </c>
      <c r="V2210" s="110">
        <v>46334</v>
      </c>
    </row>
    <row r="2211" spans="1:23" x14ac:dyDescent="0.3">
      <c r="A2211" s="1"/>
      <c r="B2211" s="1"/>
      <c r="C2211" s="1"/>
      <c r="D2211" s="1">
        <v>13</v>
      </c>
      <c r="E2211" s="16" t="s">
        <v>123</v>
      </c>
      <c r="F2211" s="16" t="s">
        <v>2310</v>
      </c>
      <c r="G2211" s="16">
        <v>1</v>
      </c>
      <c r="H2211" s="16" t="s">
        <v>28</v>
      </c>
      <c r="I2211" s="16">
        <v>13500</v>
      </c>
      <c r="J2211" s="16">
        <f t="shared" si="457"/>
        <v>13500</v>
      </c>
      <c r="K2211" s="16"/>
      <c r="L2211" s="16"/>
      <c r="M2211" s="16"/>
      <c r="N2211" s="16"/>
      <c r="O2211" s="16">
        <v>1</v>
      </c>
      <c r="P2211" s="16">
        <v>13500</v>
      </c>
      <c r="Q2211" s="16">
        <f t="shared" si="470"/>
        <v>13500</v>
      </c>
      <c r="R2211" s="18">
        <v>0</v>
      </c>
      <c r="S2211" s="16">
        <f t="shared" si="471"/>
        <v>0</v>
      </c>
      <c r="T2211" s="16">
        <f t="shared" si="472"/>
        <v>13500</v>
      </c>
      <c r="U2211" s="16" t="s">
        <v>2506</v>
      </c>
      <c r="V2211" s="19">
        <v>46241</v>
      </c>
      <c r="W2211" s="136" t="s">
        <v>2639</v>
      </c>
    </row>
    <row r="2212" spans="1:23" x14ac:dyDescent="0.3">
      <c r="A2212" s="1"/>
      <c r="B2212" s="1"/>
      <c r="C2212" s="1"/>
      <c r="D2212" s="1">
        <v>14</v>
      </c>
      <c r="E2212" s="97" t="s">
        <v>123</v>
      </c>
      <c r="F2212" s="199" t="s">
        <v>2311</v>
      </c>
      <c r="G2212" s="97">
        <v>1</v>
      </c>
      <c r="H2212" s="97" t="s">
        <v>28</v>
      </c>
      <c r="I2212" s="97">
        <v>3500</v>
      </c>
      <c r="J2212" s="97">
        <f t="shared" si="457"/>
        <v>3500</v>
      </c>
      <c r="K2212" s="97">
        <v>1</v>
      </c>
      <c r="L2212" s="97" t="s">
        <v>28</v>
      </c>
      <c r="M2212" s="97" t="s">
        <v>91</v>
      </c>
      <c r="N2212" s="97" t="s">
        <v>2644</v>
      </c>
      <c r="O2212" s="97">
        <v>1</v>
      </c>
      <c r="P2212" s="97">
        <v>3500</v>
      </c>
      <c r="Q2212" s="97">
        <f t="shared" si="470"/>
        <v>3500</v>
      </c>
      <c r="R2212" s="111">
        <v>0</v>
      </c>
      <c r="S2212" s="97">
        <f t="shared" ref="S2212:S2218" si="473">Q2212*R2212</f>
        <v>0</v>
      </c>
      <c r="T2212" s="97">
        <f t="shared" ref="T2212:T2218" si="474">Q2212+S2212</f>
        <v>3500</v>
      </c>
      <c r="U2212" s="97" t="s">
        <v>2681</v>
      </c>
      <c r="V2212" s="110">
        <v>46334</v>
      </c>
    </row>
    <row r="2213" spans="1:23" x14ac:dyDescent="0.3">
      <c r="A2213" s="1"/>
      <c r="B2213" s="1"/>
      <c r="C2213" s="1"/>
      <c r="D2213" s="1">
        <v>15</v>
      </c>
      <c r="E2213" s="97" t="s">
        <v>123</v>
      </c>
      <c r="F2213" s="97" t="s">
        <v>2312</v>
      </c>
      <c r="G2213" s="97">
        <v>1</v>
      </c>
      <c r="H2213" s="97" t="s">
        <v>28</v>
      </c>
      <c r="I2213" s="97">
        <v>3500</v>
      </c>
      <c r="J2213" s="97">
        <f t="shared" si="457"/>
        <v>3500</v>
      </c>
      <c r="K2213" s="97">
        <v>1</v>
      </c>
      <c r="L2213" s="97" t="s">
        <v>28</v>
      </c>
      <c r="M2213" s="97" t="s">
        <v>91</v>
      </c>
      <c r="N2213" s="97" t="s">
        <v>2644</v>
      </c>
      <c r="O2213" s="97">
        <v>1</v>
      </c>
      <c r="P2213" s="97">
        <v>3500</v>
      </c>
      <c r="Q2213" s="97">
        <f t="shared" si="470"/>
        <v>3500</v>
      </c>
      <c r="R2213" s="111">
        <v>0</v>
      </c>
      <c r="S2213" s="97">
        <f t="shared" si="473"/>
        <v>0</v>
      </c>
      <c r="T2213" s="97">
        <f t="shared" si="474"/>
        <v>3500</v>
      </c>
      <c r="U2213" s="97" t="s">
        <v>2681</v>
      </c>
      <c r="V2213" s="110">
        <v>46334</v>
      </c>
    </row>
    <row r="2214" spans="1:23" x14ac:dyDescent="0.3">
      <c r="A2214" s="1"/>
      <c r="B2214" s="1"/>
      <c r="C2214" s="1"/>
      <c r="D2214" s="1">
        <v>16</v>
      </c>
      <c r="E2214" s="97" t="s">
        <v>123</v>
      </c>
      <c r="F2214" s="97" t="s">
        <v>2313</v>
      </c>
      <c r="G2214" s="97">
        <v>1</v>
      </c>
      <c r="H2214" s="97" t="s">
        <v>28</v>
      </c>
      <c r="I2214" s="97">
        <v>3500</v>
      </c>
      <c r="J2214" s="97">
        <f t="shared" si="457"/>
        <v>3500</v>
      </c>
      <c r="K2214" s="97">
        <v>1</v>
      </c>
      <c r="L2214" s="97" t="s">
        <v>28</v>
      </c>
      <c r="M2214" s="97" t="s">
        <v>91</v>
      </c>
      <c r="N2214" s="97" t="s">
        <v>2474</v>
      </c>
      <c r="O2214" s="97">
        <v>1</v>
      </c>
      <c r="P2214" s="97">
        <v>3500</v>
      </c>
      <c r="Q2214" s="97">
        <f t="shared" si="470"/>
        <v>3500</v>
      </c>
      <c r="R2214" s="111">
        <v>0</v>
      </c>
      <c r="S2214" s="97">
        <f t="shared" si="473"/>
        <v>0</v>
      </c>
      <c r="T2214" s="97">
        <f t="shared" si="474"/>
        <v>3500</v>
      </c>
      <c r="U2214" s="97" t="s">
        <v>2681</v>
      </c>
      <c r="V2214" s="110">
        <v>46334</v>
      </c>
    </row>
    <row r="2215" spans="1:23" x14ac:dyDescent="0.3">
      <c r="A2215" s="1"/>
      <c r="B2215" s="1"/>
      <c r="C2215" s="1"/>
      <c r="D2215" s="1">
        <v>17</v>
      </c>
      <c r="E2215" s="16" t="s">
        <v>123</v>
      </c>
      <c r="F2215" s="16" t="s">
        <v>2314</v>
      </c>
      <c r="G2215" s="16">
        <v>4</v>
      </c>
      <c r="H2215" s="16" t="s">
        <v>28</v>
      </c>
      <c r="I2215" s="16">
        <v>10500</v>
      </c>
      <c r="J2215" s="16">
        <f t="shared" si="457"/>
        <v>42000</v>
      </c>
      <c r="K2215" s="16">
        <v>4</v>
      </c>
      <c r="L2215" s="16" t="s">
        <v>28</v>
      </c>
      <c r="M2215" s="16" t="s">
        <v>91</v>
      </c>
      <c r="N2215" s="16" t="s">
        <v>2474</v>
      </c>
      <c r="O2215" s="16">
        <v>4</v>
      </c>
      <c r="P2215" s="16">
        <v>10500</v>
      </c>
      <c r="Q2215" s="16">
        <f t="shared" si="470"/>
        <v>42000</v>
      </c>
      <c r="R2215" s="18">
        <v>0</v>
      </c>
      <c r="S2215" s="16">
        <f t="shared" si="473"/>
        <v>0</v>
      </c>
      <c r="T2215" s="16">
        <f t="shared" si="474"/>
        <v>42000</v>
      </c>
      <c r="U2215" s="16" t="s">
        <v>2506</v>
      </c>
      <c r="V2215" s="19">
        <v>46241</v>
      </c>
      <c r="W2215" s="136" t="s">
        <v>2639</v>
      </c>
    </row>
    <row r="2216" spans="1:23" x14ac:dyDescent="0.3">
      <c r="A2216" s="1"/>
      <c r="B2216" s="1"/>
      <c r="C2216" s="1"/>
      <c r="D2216" s="1">
        <v>18</v>
      </c>
      <c r="E2216" s="16" t="s">
        <v>123</v>
      </c>
      <c r="F2216" s="16" t="s">
        <v>2315</v>
      </c>
      <c r="G2216" s="16">
        <v>2</v>
      </c>
      <c r="H2216" s="16" t="s">
        <v>28</v>
      </c>
      <c r="I2216" s="16">
        <v>15800</v>
      </c>
      <c r="J2216" s="16">
        <f t="shared" si="457"/>
        <v>31600</v>
      </c>
      <c r="K2216" s="58">
        <v>1</v>
      </c>
      <c r="L2216" s="58" t="s">
        <v>28</v>
      </c>
      <c r="M2216" s="58" t="s">
        <v>91</v>
      </c>
      <c r="N2216" s="58" t="s">
        <v>2644</v>
      </c>
      <c r="O2216" s="16">
        <v>2</v>
      </c>
      <c r="P2216" s="16">
        <v>15800</v>
      </c>
      <c r="Q2216" s="16">
        <f t="shared" si="470"/>
        <v>31600</v>
      </c>
      <c r="R2216" s="18">
        <v>0</v>
      </c>
      <c r="S2216" s="16">
        <f t="shared" si="473"/>
        <v>0</v>
      </c>
      <c r="T2216" s="16">
        <f t="shared" si="474"/>
        <v>31600</v>
      </c>
      <c r="U2216" s="16" t="s">
        <v>2506</v>
      </c>
      <c r="V2216" s="19">
        <v>46241</v>
      </c>
      <c r="W2216" s="136" t="s">
        <v>2639</v>
      </c>
    </row>
    <row r="2217" spans="1:23" x14ac:dyDescent="0.3">
      <c r="A2217" s="1"/>
      <c r="B2217" s="1"/>
      <c r="C2217" s="1"/>
      <c r="D2217" s="1">
        <v>19</v>
      </c>
      <c r="E2217" s="16" t="s">
        <v>123</v>
      </c>
      <c r="F2217" s="16" t="s">
        <v>2316</v>
      </c>
      <c r="G2217" s="16">
        <v>1</v>
      </c>
      <c r="H2217" s="16" t="s">
        <v>28</v>
      </c>
      <c r="I2217" s="16">
        <v>9600</v>
      </c>
      <c r="J2217" s="16">
        <f t="shared" si="457"/>
        <v>9600</v>
      </c>
      <c r="K2217" s="58">
        <v>1</v>
      </c>
      <c r="L2217" s="58" t="s">
        <v>28</v>
      </c>
      <c r="M2217" s="58" t="s">
        <v>91</v>
      </c>
      <c r="N2217" s="58" t="s">
        <v>2644</v>
      </c>
      <c r="O2217" s="16">
        <v>1</v>
      </c>
      <c r="P2217" s="16">
        <v>9600</v>
      </c>
      <c r="Q2217" s="16">
        <f t="shared" si="470"/>
        <v>9600</v>
      </c>
      <c r="R2217" s="18">
        <v>0</v>
      </c>
      <c r="S2217" s="16">
        <f t="shared" si="473"/>
        <v>0</v>
      </c>
      <c r="T2217" s="16">
        <f t="shared" si="474"/>
        <v>9600</v>
      </c>
      <c r="U2217" s="16" t="s">
        <v>2506</v>
      </c>
      <c r="V2217" s="19">
        <v>46241</v>
      </c>
      <c r="W2217" s="136" t="s">
        <v>2639</v>
      </c>
    </row>
    <row r="2218" spans="1:23" ht="37.799999999999997" x14ac:dyDescent="0.3">
      <c r="A2218" s="1"/>
      <c r="B2218" s="1"/>
      <c r="C2218" s="1"/>
      <c r="D2218" s="1"/>
      <c r="E2218" s="1" t="s">
        <v>123</v>
      </c>
      <c r="F2218" s="22" t="s">
        <v>2317</v>
      </c>
      <c r="G2218" s="97">
        <v>5</v>
      </c>
      <c r="H2218" s="97" t="s">
        <v>28</v>
      </c>
      <c r="I2218" s="97">
        <v>2540</v>
      </c>
      <c r="J2218" s="97">
        <f t="shared" si="457"/>
        <v>12700</v>
      </c>
      <c r="K2218" s="97"/>
      <c r="L2218" s="97"/>
      <c r="M2218" s="97"/>
      <c r="N2218" s="97"/>
      <c r="O2218" s="58">
        <v>1</v>
      </c>
      <c r="P2218" s="97">
        <v>2540</v>
      </c>
      <c r="Q2218" s="97">
        <f t="shared" si="470"/>
        <v>2540</v>
      </c>
      <c r="R2218" s="111">
        <v>0</v>
      </c>
      <c r="S2218" s="97">
        <f t="shared" si="473"/>
        <v>0</v>
      </c>
      <c r="T2218" s="97">
        <f t="shared" si="474"/>
        <v>2540</v>
      </c>
      <c r="U2218" s="97" t="s">
        <v>2681</v>
      </c>
      <c r="V2218" s="110">
        <v>46334</v>
      </c>
    </row>
    <row r="2219" spans="1:23" x14ac:dyDescent="0.3">
      <c r="A2219" s="1"/>
      <c r="B2219" s="1"/>
      <c r="C2219" s="1"/>
      <c r="D2219" s="1"/>
      <c r="E2219" s="1"/>
      <c r="F2219" s="124" t="s">
        <v>39</v>
      </c>
      <c r="G2219" s="1"/>
      <c r="H2219" s="1"/>
      <c r="I2219" s="1"/>
      <c r="J2219" s="124">
        <f>SUM(J2199:J2218)</f>
        <v>195000</v>
      </c>
      <c r="K2219" s="1"/>
      <c r="L2219" s="1"/>
      <c r="M2219" s="1"/>
      <c r="N2219" s="1"/>
      <c r="O2219" s="1"/>
      <c r="P2219" s="1"/>
      <c r="Q2219" s="1"/>
      <c r="R2219" s="1"/>
      <c r="S2219" s="1"/>
      <c r="T2219" s="1"/>
      <c r="U2219" s="1"/>
      <c r="V2219" s="1"/>
    </row>
    <row r="2220" spans="1:23" x14ac:dyDescent="0.3">
      <c r="A2220" s="1"/>
      <c r="B2220" s="1"/>
      <c r="C2220" s="1"/>
      <c r="D2220" s="1"/>
      <c r="E2220" s="1"/>
      <c r="F2220" s="124" t="s">
        <v>599</v>
      </c>
      <c r="G2220" s="1"/>
      <c r="H2220" s="1"/>
      <c r="I2220" s="1"/>
      <c r="J2220" s="124">
        <f>J2219*0/100</f>
        <v>0</v>
      </c>
      <c r="K2220" s="1"/>
      <c r="L2220" s="1"/>
      <c r="M2220" s="1"/>
      <c r="N2220" s="1"/>
      <c r="O2220" s="1"/>
      <c r="P2220" s="1"/>
      <c r="Q2220" s="1"/>
      <c r="R2220" s="1"/>
      <c r="S2220" s="1"/>
      <c r="T2220" s="1">
        <f>SUM(T2199:T2219)</f>
        <v>177640</v>
      </c>
      <c r="U2220" s="1"/>
      <c r="V2220" s="1"/>
    </row>
    <row r="2221" spans="1:23" x14ac:dyDescent="0.3">
      <c r="A2221" s="1"/>
      <c r="B2221" s="1"/>
      <c r="C2221" s="1"/>
      <c r="D2221" s="1"/>
      <c r="E2221" s="1"/>
      <c r="F2221" s="124" t="s">
        <v>41</v>
      </c>
      <c r="G2221" s="1"/>
      <c r="H2221" s="1"/>
      <c r="I2221" s="1"/>
      <c r="J2221" s="124">
        <f>SUM(J2219:J2220)</f>
        <v>195000</v>
      </c>
      <c r="K2221" s="1"/>
      <c r="L2221" s="1"/>
      <c r="M2221" s="1"/>
      <c r="N2221" s="1"/>
      <c r="O2221" s="1"/>
      <c r="P2221" s="1"/>
      <c r="Q2221" s="1"/>
      <c r="R2221" s="1"/>
      <c r="S2221" s="1"/>
      <c r="T2221" s="1"/>
      <c r="U2221" s="1"/>
      <c r="V2221" s="1"/>
    </row>
    <row r="2222" spans="1:23" x14ac:dyDescent="0.3">
      <c r="A2222" s="1"/>
      <c r="B2222" s="1"/>
      <c r="C2222" s="1"/>
      <c r="D2222" s="1"/>
      <c r="E2222" s="1"/>
      <c r="F2222" s="124"/>
      <c r="G2222" s="1"/>
      <c r="H2222" s="1"/>
      <c r="I2222" s="1"/>
      <c r="J2222" s="124"/>
      <c r="K2222" s="1"/>
      <c r="L2222" s="1"/>
      <c r="M2222" s="1"/>
      <c r="N2222" s="1"/>
      <c r="O2222" s="1"/>
      <c r="P2222" s="1"/>
      <c r="Q2222" s="1"/>
      <c r="R2222" s="1"/>
      <c r="S2222" s="1"/>
      <c r="T2222" s="1"/>
      <c r="U2222" s="1"/>
      <c r="V2222" s="1"/>
    </row>
    <row r="2223" spans="1:23" x14ac:dyDescent="0.3">
      <c r="A2223" s="16">
        <v>203</v>
      </c>
      <c r="B2223" s="16">
        <v>9200165158</v>
      </c>
      <c r="C2223" s="19">
        <v>46117</v>
      </c>
      <c r="D2223" s="16" t="s">
        <v>43</v>
      </c>
      <c r="E2223" s="16" t="s">
        <v>123</v>
      </c>
      <c r="F2223" s="39" t="s">
        <v>2348</v>
      </c>
      <c r="G2223" s="16">
        <v>300</v>
      </c>
      <c r="H2223" s="16" t="s">
        <v>28</v>
      </c>
      <c r="I2223" s="16">
        <v>699</v>
      </c>
      <c r="J2223" s="16">
        <f t="shared" si="457"/>
        <v>209700</v>
      </c>
      <c r="K2223" s="16">
        <v>66</v>
      </c>
      <c r="L2223" s="16" t="s">
        <v>28</v>
      </c>
      <c r="M2223" s="16" t="s">
        <v>91</v>
      </c>
      <c r="N2223" s="16" t="s">
        <v>2409</v>
      </c>
      <c r="O2223" s="16">
        <v>300</v>
      </c>
      <c r="P2223" s="16">
        <v>699</v>
      </c>
      <c r="Q2223" s="16">
        <f>O2223*P2223</f>
        <v>209700</v>
      </c>
      <c r="R2223" s="18">
        <v>0</v>
      </c>
      <c r="S2223" s="16">
        <f>Q2223*R2223</f>
        <v>0</v>
      </c>
      <c r="T2223" s="16">
        <f>Q2223+S2223</f>
        <v>209700</v>
      </c>
      <c r="U2223" s="16" t="s">
        <v>2508</v>
      </c>
      <c r="V2223" s="19">
        <v>46241</v>
      </c>
      <c r="W2223" s="136" t="s">
        <v>2640</v>
      </c>
    </row>
    <row r="2224" spans="1:23" x14ac:dyDescent="0.3">
      <c r="A2224" s="1"/>
      <c r="B2224" s="1"/>
      <c r="C2224" s="1"/>
      <c r="D2224" s="1"/>
      <c r="E2224" s="16" t="s">
        <v>123</v>
      </c>
      <c r="F2224" s="39" t="s">
        <v>2349</v>
      </c>
      <c r="G2224" s="16">
        <v>300</v>
      </c>
      <c r="H2224" s="16" t="s">
        <v>28</v>
      </c>
      <c r="I2224" s="16">
        <v>1926</v>
      </c>
      <c r="J2224" s="16">
        <f t="shared" si="457"/>
        <v>577800</v>
      </c>
      <c r="K2224" s="16">
        <v>300</v>
      </c>
      <c r="L2224" s="16" t="s">
        <v>28</v>
      </c>
      <c r="M2224" s="16" t="s">
        <v>91</v>
      </c>
      <c r="N2224" s="16" t="s">
        <v>2363</v>
      </c>
      <c r="O2224" s="16">
        <v>300</v>
      </c>
      <c r="P2224" s="16">
        <v>1926</v>
      </c>
      <c r="Q2224" s="16">
        <f t="shared" ref="Q2224:Q2225" si="475">O2224*P2224</f>
        <v>577800</v>
      </c>
      <c r="R2224" s="18">
        <v>0</v>
      </c>
      <c r="S2224" s="16">
        <f t="shared" ref="S2224:S2225" si="476">Q2224*R2224</f>
        <v>0</v>
      </c>
      <c r="T2224" s="16">
        <f t="shared" ref="T2224:T2225" si="477">Q2224+S2224</f>
        <v>577800</v>
      </c>
      <c r="U2224" s="16" t="s">
        <v>2508</v>
      </c>
      <c r="V2224" s="19">
        <v>46241</v>
      </c>
      <c r="W2224" s="136" t="s">
        <v>2640</v>
      </c>
    </row>
    <row r="2225" spans="1:23" ht="37.799999999999997" x14ac:dyDescent="0.3">
      <c r="A2225" s="1"/>
      <c r="B2225" s="1"/>
      <c r="C2225" s="1"/>
      <c r="D2225" s="1"/>
      <c r="E2225" s="16" t="s">
        <v>123</v>
      </c>
      <c r="F2225" s="39" t="s">
        <v>2350</v>
      </c>
      <c r="G2225" s="16">
        <v>40</v>
      </c>
      <c r="H2225" s="16" t="s">
        <v>510</v>
      </c>
      <c r="I2225" s="16">
        <v>1275</v>
      </c>
      <c r="J2225" s="16">
        <f t="shared" si="457"/>
        <v>51000</v>
      </c>
      <c r="K2225" s="16">
        <v>3</v>
      </c>
      <c r="L2225" s="16" t="s">
        <v>510</v>
      </c>
      <c r="M2225" s="16" t="s">
        <v>91</v>
      </c>
      <c r="N2225" s="16" t="s">
        <v>2363</v>
      </c>
      <c r="O2225" s="16">
        <v>40</v>
      </c>
      <c r="P2225" s="16">
        <v>1275</v>
      </c>
      <c r="Q2225" s="16">
        <f t="shared" si="475"/>
        <v>51000</v>
      </c>
      <c r="R2225" s="18">
        <v>0</v>
      </c>
      <c r="S2225" s="16">
        <f t="shared" si="476"/>
        <v>0</v>
      </c>
      <c r="T2225" s="16">
        <f t="shared" si="477"/>
        <v>51000</v>
      </c>
      <c r="U2225" s="16" t="s">
        <v>2508</v>
      </c>
      <c r="V2225" s="19">
        <v>46241</v>
      </c>
      <c r="W2225" s="136" t="s">
        <v>2640</v>
      </c>
    </row>
    <row r="2226" spans="1:23" x14ac:dyDescent="0.3">
      <c r="A2226" s="1"/>
      <c r="B2226" s="1"/>
      <c r="C2226" s="1"/>
      <c r="D2226" s="1"/>
      <c r="E2226" s="1"/>
      <c r="F2226" s="124" t="s">
        <v>39</v>
      </c>
      <c r="G2226" s="1"/>
      <c r="H2226" s="1"/>
      <c r="I2226" s="1"/>
      <c r="J2226" s="124">
        <f>SUM(J2223:J2225)</f>
        <v>838500</v>
      </c>
      <c r="K2226" s="1"/>
      <c r="L2226" s="1"/>
      <c r="M2226" s="1"/>
      <c r="N2226" s="1"/>
      <c r="O2226" s="1"/>
      <c r="P2226" s="1"/>
      <c r="Q2226" s="1"/>
      <c r="R2226" s="1"/>
      <c r="S2226" s="1"/>
      <c r="T2226" s="1"/>
      <c r="U2226" s="1"/>
      <c r="V2226" s="1"/>
    </row>
    <row r="2227" spans="1:23" x14ac:dyDescent="0.3">
      <c r="A2227" s="1"/>
      <c r="B2227" s="1"/>
      <c r="C2227" s="1"/>
      <c r="D2227" s="1"/>
      <c r="E2227" s="1"/>
      <c r="F2227" s="124" t="s">
        <v>599</v>
      </c>
      <c r="G2227" s="1"/>
      <c r="H2227" s="1"/>
      <c r="I2227" s="1"/>
      <c r="J2227" s="124">
        <f>J2226*0/100</f>
        <v>0</v>
      </c>
      <c r="K2227" s="1"/>
      <c r="L2227" s="1"/>
      <c r="M2227" s="1"/>
      <c r="N2227" s="1"/>
      <c r="O2227" s="1"/>
      <c r="P2227" s="1"/>
      <c r="Q2227" s="1"/>
      <c r="R2227" s="1"/>
      <c r="S2227" s="1"/>
      <c r="T2227" s="1"/>
      <c r="U2227" s="1"/>
      <c r="V2227" s="1"/>
    </row>
    <row r="2228" spans="1:23" x14ac:dyDescent="0.3">
      <c r="A2228" s="1"/>
      <c r="B2228" s="1"/>
      <c r="C2228" s="1"/>
      <c r="D2228" s="1"/>
      <c r="E2228" s="1"/>
      <c r="F2228" s="124" t="s">
        <v>41</v>
      </c>
      <c r="G2228" s="1"/>
      <c r="H2228" s="1"/>
      <c r="I2228" s="1"/>
      <c r="J2228" s="124">
        <f>SUM(J2226:J2227)</f>
        <v>838500</v>
      </c>
      <c r="K2228" s="1"/>
      <c r="L2228" s="1"/>
      <c r="M2228" s="1"/>
      <c r="N2228" s="1"/>
      <c r="O2228" s="1"/>
      <c r="P2228" s="1"/>
      <c r="Q2228" s="1"/>
      <c r="R2228" s="1"/>
      <c r="S2228" s="1"/>
      <c r="T2228" s="1">
        <f>SUM(T2223:T2227)</f>
        <v>838500</v>
      </c>
      <c r="U2228" s="1"/>
      <c r="V2228" s="1"/>
    </row>
    <row r="2229" spans="1:23" x14ac:dyDescent="0.3">
      <c r="A2229" s="1"/>
      <c r="B2229" s="1"/>
      <c r="C2229" s="1"/>
      <c r="D2229" s="1"/>
      <c r="E2229" s="1"/>
      <c r="F2229" s="124"/>
      <c r="G2229" s="1"/>
      <c r="H2229" s="1"/>
      <c r="I2229" s="1"/>
      <c r="J2229" s="124"/>
      <c r="K2229" s="1"/>
      <c r="L2229" s="1"/>
      <c r="M2229" s="1"/>
      <c r="N2229" s="1"/>
      <c r="O2229" s="1"/>
      <c r="P2229" s="1"/>
      <c r="Q2229" s="1"/>
      <c r="R2229" s="1"/>
      <c r="S2229" s="1"/>
      <c r="T2229" s="1"/>
      <c r="U2229" s="1"/>
      <c r="V2229" s="1"/>
    </row>
    <row r="2230" spans="1:23" ht="37.799999999999997" x14ac:dyDescent="0.3">
      <c r="A2230" s="1">
        <v>204</v>
      </c>
      <c r="B2230" s="1">
        <v>9200165185</v>
      </c>
      <c r="C2230" s="37">
        <v>46117</v>
      </c>
      <c r="D2230" s="1" t="s">
        <v>300</v>
      </c>
      <c r="E2230" s="1" t="s">
        <v>123</v>
      </c>
      <c r="F2230" s="22" t="s">
        <v>2318</v>
      </c>
      <c r="G2230" s="1">
        <v>60</v>
      </c>
      <c r="H2230" s="1" t="s">
        <v>111</v>
      </c>
      <c r="I2230" s="1">
        <v>266</v>
      </c>
      <c r="J2230" s="1">
        <f t="shared" ref="J2230:J2237" si="478">G2230*I2230</f>
        <v>15960</v>
      </c>
      <c r="K2230" s="1"/>
      <c r="L2230" s="1"/>
      <c r="M2230" s="1"/>
      <c r="N2230" s="1"/>
      <c r="O2230" s="1"/>
      <c r="P2230" s="1"/>
      <c r="Q2230" s="1"/>
      <c r="R2230" s="1"/>
      <c r="S2230" s="1"/>
      <c r="T2230" s="1"/>
      <c r="U2230" s="1"/>
      <c r="V2230" s="1"/>
    </row>
    <row r="2231" spans="1:23" ht="37.799999999999997" x14ac:dyDescent="0.3">
      <c r="A2231" s="1"/>
      <c r="B2231" s="1"/>
      <c r="C2231" s="1"/>
      <c r="D2231" s="1"/>
      <c r="E2231" s="1" t="s">
        <v>123</v>
      </c>
      <c r="F2231" s="22" t="s">
        <v>2319</v>
      </c>
      <c r="G2231" s="1">
        <v>40</v>
      </c>
      <c r="H2231" s="1" t="s">
        <v>111</v>
      </c>
      <c r="I2231" s="1">
        <v>342</v>
      </c>
      <c r="J2231" s="1">
        <f t="shared" si="478"/>
        <v>13680</v>
      </c>
      <c r="K2231" s="1"/>
      <c r="L2231" s="1"/>
      <c r="M2231" s="1"/>
      <c r="N2231" s="1"/>
      <c r="O2231" s="1"/>
      <c r="P2231" s="1"/>
      <c r="Q2231" s="1"/>
      <c r="R2231" s="1"/>
      <c r="S2231" s="1"/>
      <c r="T2231" s="1"/>
      <c r="U2231" s="1"/>
      <c r="V2231" s="1"/>
    </row>
    <row r="2232" spans="1:23" ht="25.2" x14ac:dyDescent="0.3">
      <c r="A2232" s="1"/>
      <c r="B2232" s="1"/>
      <c r="C2232" s="1"/>
      <c r="D2232" s="1"/>
      <c r="E2232" s="1" t="s">
        <v>123</v>
      </c>
      <c r="F2232" s="22" t="s">
        <v>2320</v>
      </c>
      <c r="G2232" s="1">
        <v>100</v>
      </c>
      <c r="H2232" s="1" t="s">
        <v>111</v>
      </c>
      <c r="I2232" s="1">
        <v>130</v>
      </c>
      <c r="J2232" s="1">
        <f t="shared" si="478"/>
        <v>13000</v>
      </c>
      <c r="K2232" s="1"/>
      <c r="L2232" s="1"/>
      <c r="M2232" s="1"/>
      <c r="N2232" s="1"/>
      <c r="O2232" s="1"/>
      <c r="P2232" s="1"/>
      <c r="Q2232" s="1"/>
      <c r="R2232" s="1"/>
      <c r="S2232" s="1"/>
      <c r="T2232" s="1"/>
      <c r="U2232" s="1"/>
      <c r="V2232" s="1"/>
    </row>
    <row r="2233" spans="1:23" x14ac:dyDescent="0.3">
      <c r="A2233" s="1"/>
      <c r="B2233" s="1"/>
      <c r="C2233" s="1"/>
      <c r="D2233" s="1"/>
      <c r="E2233" s="1" t="s">
        <v>123</v>
      </c>
      <c r="F2233" s="1" t="s">
        <v>2321</v>
      </c>
      <c r="G2233" s="1">
        <v>1</v>
      </c>
      <c r="H2233" s="1" t="s">
        <v>28</v>
      </c>
      <c r="I2233" s="1">
        <v>1758</v>
      </c>
      <c r="J2233" s="1">
        <f t="shared" si="478"/>
        <v>1758</v>
      </c>
      <c r="K2233" s="1"/>
      <c r="L2233" s="1"/>
      <c r="M2233" s="1"/>
      <c r="N2233" s="1"/>
      <c r="O2233" s="1"/>
      <c r="P2233" s="1"/>
      <c r="Q2233" s="1"/>
      <c r="R2233" s="1"/>
      <c r="S2233" s="1"/>
      <c r="T2233" s="1"/>
      <c r="U2233" s="1"/>
      <c r="V2233" s="1"/>
    </row>
    <row r="2234" spans="1:23" ht="25.2" x14ac:dyDescent="0.3">
      <c r="A2234" s="1"/>
      <c r="B2234" s="1"/>
      <c r="C2234" s="1"/>
      <c r="D2234" s="1"/>
      <c r="E2234" s="1" t="s">
        <v>123</v>
      </c>
      <c r="F2234" s="22" t="s">
        <v>2322</v>
      </c>
      <c r="G2234" s="1">
        <v>15</v>
      </c>
      <c r="H2234" s="1" t="s">
        <v>252</v>
      </c>
      <c r="I2234" s="1">
        <v>1045</v>
      </c>
      <c r="J2234" s="1">
        <f t="shared" si="478"/>
        <v>15675</v>
      </c>
      <c r="K2234" s="1"/>
      <c r="L2234" s="1"/>
      <c r="M2234" s="1"/>
      <c r="N2234" s="1"/>
      <c r="O2234" s="1"/>
      <c r="P2234" s="1"/>
      <c r="Q2234" s="1"/>
      <c r="R2234" s="1"/>
      <c r="S2234" s="1"/>
      <c r="T2234" s="1"/>
      <c r="U2234" s="1"/>
      <c r="V2234" s="1"/>
    </row>
    <row r="2235" spans="1:23" x14ac:dyDescent="0.3">
      <c r="A2235" s="1"/>
      <c r="B2235" s="1"/>
      <c r="C2235" s="1"/>
      <c r="D2235" s="1"/>
      <c r="E2235" s="1" t="s">
        <v>123</v>
      </c>
      <c r="F2235" s="22" t="s">
        <v>2323</v>
      </c>
      <c r="G2235" s="1">
        <v>100</v>
      </c>
      <c r="H2235" s="1" t="s">
        <v>111</v>
      </c>
      <c r="I2235" s="1">
        <v>40</v>
      </c>
      <c r="J2235" s="1">
        <f t="shared" si="478"/>
        <v>4000</v>
      </c>
      <c r="K2235" s="1"/>
      <c r="L2235" s="1"/>
      <c r="M2235" s="1"/>
      <c r="N2235" s="1"/>
      <c r="O2235" s="1"/>
      <c r="P2235" s="1"/>
      <c r="Q2235" s="1"/>
      <c r="R2235" s="1"/>
      <c r="S2235" s="1"/>
      <c r="T2235" s="1"/>
      <c r="U2235" s="1"/>
      <c r="V2235" s="1"/>
    </row>
    <row r="2236" spans="1:23" x14ac:dyDescent="0.3">
      <c r="A2236" s="1"/>
      <c r="B2236" s="1"/>
      <c r="C2236" s="1"/>
      <c r="D2236" s="1"/>
      <c r="E2236" s="1" t="s">
        <v>123</v>
      </c>
      <c r="F2236" s="1" t="s">
        <v>2324</v>
      </c>
      <c r="G2236" s="1">
        <v>100</v>
      </c>
      <c r="H2236" s="1" t="s">
        <v>111</v>
      </c>
      <c r="I2236" s="1">
        <v>80</v>
      </c>
      <c r="J2236" s="1">
        <f t="shared" si="478"/>
        <v>8000</v>
      </c>
      <c r="K2236" s="1"/>
      <c r="L2236" s="1"/>
      <c r="M2236" s="1"/>
      <c r="N2236" s="1"/>
      <c r="O2236" s="1"/>
      <c r="P2236" s="1"/>
      <c r="Q2236" s="1"/>
      <c r="R2236" s="1"/>
      <c r="S2236" s="1"/>
      <c r="T2236" s="1"/>
      <c r="U2236" s="1"/>
      <c r="V2236" s="1"/>
    </row>
    <row r="2237" spans="1:23" x14ac:dyDescent="0.3">
      <c r="A2237" s="1"/>
      <c r="B2237" s="1"/>
      <c r="C2237" s="1"/>
      <c r="D2237" s="1"/>
      <c r="E2237" s="1" t="s">
        <v>123</v>
      </c>
      <c r="F2237" s="1" t="s">
        <v>2325</v>
      </c>
      <c r="G2237" s="1">
        <v>1</v>
      </c>
      <c r="H2237" s="1" t="s">
        <v>2326</v>
      </c>
      <c r="I2237" s="1">
        <v>2500</v>
      </c>
      <c r="J2237" s="1">
        <f t="shared" si="478"/>
        <v>2500</v>
      </c>
      <c r="K2237" s="1"/>
      <c r="L2237" s="1"/>
      <c r="M2237" s="1"/>
      <c r="N2237" s="1"/>
      <c r="O2237" s="1"/>
      <c r="P2237" s="1"/>
      <c r="Q2237" s="1"/>
      <c r="R2237" s="1"/>
      <c r="S2237" s="1"/>
      <c r="T2237" s="1"/>
      <c r="U2237" s="1"/>
      <c r="V2237" s="1"/>
    </row>
    <row r="2238" spans="1:23" x14ac:dyDescent="0.3">
      <c r="A2238" s="1"/>
      <c r="B2238" s="1"/>
      <c r="C2238" s="1"/>
      <c r="D2238" s="1"/>
      <c r="E2238" s="1"/>
      <c r="F2238" s="124" t="s">
        <v>39</v>
      </c>
      <c r="G2238" s="1"/>
      <c r="H2238" s="1"/>
      <c r="I2238" s="1"/>
      <c r="J2238" s="124">
        <f>SUM(J2230:J2237)</f>
        <v>74573</v>
      </c>
      <c r="K2238" s="1"/>
      <c r="L2238" s="1"/>
      <c r="M2238" s="1"/>
      <c r="N2238" s="1"/>
      <c r="O2238" s="1"/>
      <c r="P2238" s="1"/>
      <c r="Q2238" s="1"/>
      <c r="R2238" s="1"/>
      <c r="S2238" s="1"/>
      <c r="T2238" s="1"/>
      <c r="U2238" s="1"/>
      <c r="V2238" s="1"/>
    </row>
    <row r="2239" spans="1:23" x14ac:dyDescent="0.3">
      <c r="A2239" s="1"/>
      <c r="B2239" s="1"/>
      <c r="C2239" s="1"/>
      <c r="D2239" s="1"/>
      <c r="E2239" s="1"/>
      <c r="F2239" s="124" t="s">
        <v>599</v>
      </c>
      <c r="G2239" s="1"/>
      <c r="H2239" s="1"/>
      <c r="I2239" s="1"/>
      <c r="J2239" s="124">
        <f>J2238*18/100</f>
        <v>13423.14</v>
      </c>
      <c r="K2239" s="1"/>
      <c r="L2239" s="1"/>
      <c r="M2239" s="1"/>
      <c r="N2239" s="1"/>
      <c r="O2239" s="1"/>
      <c r="P2239" s="1"/>
      <c r="Q2239" s="1"/>
      <c r="R2239" s="1"/>
      <c r="S2239" s="1"/>
      <c r="T2239" s="1"/>
      <c r="U2239" s="1"/>
      <c r="V2239" s="1"/>
    </row>
    <row r="2240" spans="1:23" x14ac:dyDescent="0.3">
      <c r="A2240" s="1"/>
      <c r="B2240" s="1"/>
      <c r="C2240" s="1"/>
      <c r="D2240" s="1"/>
      <c r="E2240" s="1"/>
      <c r="F2240" s="124" t="s">
        <v>41</v>
      </c>
      <c r="G2240" s="1"/>
      <c r="H2240" s="1"/>
      <c r="I2240" s="1"/>
      <c r="J2240" s="124">
        <f>SUM(J2238:J2239)</f>
        <v>87996.14</v>
      </c>
      <c r="K2240" s="1"/>
      <c r="L2240" s="1"/>
      <c r="M2240" s="1"/>
      <c r="N2240" s="1"/>
      <c r="O2240" s="1"/>
      <c r="P2240" s="1"/>
      <c r="Q2240" s="1"/>
      <c r="R2240" s="1"/>
      <c r="S2240" s="1"/>
      <c r="T2240" s="1"/>
      <c r="U2240" s="1"/>
      <c r="V2240" s="1"/>
    </row>
    <row r="2241" spans="1:23" x14ac:dyDescent="0.3">
      <c r="A2241" s="1"/>
      <c r="B2241" s="1"/>
      <c r="C2241" s="1"/>
      <c r="D2241" s="1"/>
      <c r="E2241" s="1"/>
      <c r="F2241" s="124"/>
      <c r="G2241" s="1"/>
      <c r="H2241" s="1"/>
      <c r="I2241" s="1"/>
      <c r="J2241" s="124"/>
      <c r="K2241" s="1"/>
      <c r="L2241" s="1"/>
      <c r="M2241" s="1"/>
      <c r="N2241" s="1"/>
      <c r="O2241" s="1"/>
      <c r="P2241" s="1"/>
      <c r="Q2241" s="1"/>
      <c r="R2241" s="1"/>
      <c r="S2241" s="1"/>
      <c r="T2241" s="1"/>
      <c r="U2241" s="1"/>
      <c r="V2241" s="1"/>
    </row>
    <row r="2242" spans="1:23" ht="63" x14ac:dyDescent="0.3">
      <c r="A2242" s="1">
        <v>205</v>
      </c>
      <c r="B2242" s="1">
        <v>9200165793</v>
      </c>
      <c r="C2242" s="37">
        <v>46331</v>
      </c>
      <c r="D2242" s="1" t="s">
        <v>300</v>
      </c>
      <c r="E2242" s="1" t="s">
        <v>123</v>
      </c>
      <c r="F2242" s="22" t="s">
        <v>2334</v>
      </c>
      <c r="G2242" s="1">
        <v>20</v>
      </c>
      <c r="H2242" s="1" t="s">
        <v>252</v>
      </c>
      <c r="I2242" s="1">
        <v>1450</v>
      </c>
      <c r="J2242" s="1">
        <f t="shared" si="457"/>
        <v>29000</v>
      </c>
      <c r="K2242" s="1" t="s">
        <v>2689</v>
      </c>
      <c r="L2242" s="119" t="s">
        <v>252</v>
      </c>
      <c r="M2242" s="119" t="s">
        <v>1570</v>
      </c>
      <c r="N2242" s="119" t="s">
        <v>2686</v>
      </c>
      <c r="O2242" s="1"/>
      <c r="P2242" s="1"/>
      <c r="Q2242" s="1"/>
      <c r="R2242" s="1"/>
      <c r="S2242" s="1"/>
      <c r="T2242" s="1"/>
      <c r="U2242" s="1"/>
      <c r="V2242" s="1"/>
    </row>
    <row r="2243" spans="1:23" x14ac:dyDescent="0.3">
      <c r="A2243" s="1"/>
      <c r="B2243" s="1"/>
      <c r="C2243" s="1"/>
      <c r="D2243" s="1"/>
      <c r="E2243" s="1" t="s">
        <v>123</v>
      </c>
      <c r="F2243" s="1" t="s">
        <v>2335</v>
      </c>
      <c r="G2243" s="1">
        <v>6</v>
      </c>
      <c r="H2243" s="1" t="s">
        <v>308</v>
      </c>
      <c r="I2243" s="1">
        <v>400</v>
      </c>
      <c r="J2243" s="1">
        <f t="shared" si="457"/>
        <v>2400</v>
      </c>
      <c r="K2243" s="1"/>
      <c r="L2243" s="1"/>
      <c r="M2243" s="1"/>
      <c r="N2243" s="1"/>
      <c r="O2243" s="1"/>
      <c r="P2243" s="1"/>
      <c r="Q2243" s="1"/>
      <c r="R2243" s="1"/>
      <c r="S2243" s="1"/>
      <c r="T2243" s="1"/>
      <c r="U2243" s="1"/>
      <c r="V2243" s="1"/>
    </row>
    <row r="2244" spans="1:23" x14ac:dyDescent="0.3">
      <c r="A2244" s="1"/>
      <c r="B2244" s="1"/>
      <c r="C2244" s="1"/>
      <c r="D2244" s="1"/>
      <c r="E2244" s="1" t="s">
        <v>123</v>
      </c>
      <c r="F2244" s="1" t="s">
        <v>2336</v>
      </c>
      <c r="G2244" s="1">
        <v>2</v>
      </c>
      <c r="H2244" s="1" t="s">
        <v>28</v>
      </c>
      <c r="I2244" s="1">
        <v>550</v>
      </c>
      <c r="J2244" s="1">
        <f t="shared" si="457"/>
        <v>1100</v>
      </c>
      <c r="K2244" s="1"/>
      <c r="L2244" s="1"/>
      <c r="M2244" s="1"/>
      <c r="N2244" s="1"/>
      <c r="O2244" s="1"/>
      <c r="P2244" s="1"/>
      <c r="Q2244" s="1"/>
      <c r="R2244" s="1"/>
      <c r="S2244" s="1"/>
      <c r="T2244" s="1"/>
      <c r="U2244" s="1"/>
      <c r="V2244" s="1"/>
    </row>
    <row r="2245" spans="1:23" x14ac:dyDescent="0.3">
      <c r="A2245" s="1"/>
      <c r="B2245" s="1"/>
      <c r="C2245" s="1"/>
      <c r="D2245" s="1"/>
      <c r="E2245" s="1" t="s">
        <v>123</v>
      </c>
      <c r="F2245" s="1" t="s">
        <v>2337</v>
      </c>
      <c r="G2245" s="1">
        <v>1</v>
      </c>
      <c r="H2245" s="1" t="s">
        <v>87</v>
      </c>
      <c r="I2245" s="1">
        <v>3800</v>
      </c>
      <c r="J2245" s="1">
        <f t="shared" si="457"/>
        <v>3800</v>
      </c>
      <c r="K2245" s="1"/>
      <c r="L2245" s="1"/>
      <c r="M2245" s="1"/>
      <c r="N2245" s="1"/>
      <c r="O2245" s="1"/>
      <c r="P2245" s="1"/>
      <c r="Q2245" s="1"/>
      <c r="R2245" s="1"/>
      <c r="S2245" s="1"/>
      <c r="T2245" s="1"/>
      <c r="U2245" s="1"/>
      <c r="V2245" s="1"/>
    </row>
    <row r="2246" spans="1:23" x14ac:dyDescent="0.3">
      <c r="A2246" s="1"/>
      <c r="B2246" s="1"/>
      <c r="C2246" s="1"/>
      <c r="D2246" s="1"/>
      <c r="E2246" s="1"/>
      <c r="F2246" s="124" t="s">
        <v>39</v>
      </c>
      <c r="G2246" s="1"/>
      <c r="H2246" s="1"/>
      <c r="I2246" s="1"/>
      <c r="J2246" s="124">
        <f>SUM(J2242:J2245)</f>
        <v>36300</v>
      </c>
      <c r="K2246" s="1"/>
      <c r="L2246" s="1"/>
      <c r="M2246" s="1"/>
      <c r="N2246" s="1"/>
      <c r="O2246" s="1"/>
      <c r="P2246" s="1"/>
      <c r="Q2246" s="1"/>
      <c r="R2246" s="1"/>
      <c r="S2246" s="1"/>
      <c r="T2246" s="1"/>
      <c r="U2246" s="1"/>
      <c r="V2246" s="1"/>
    </row>
    <row r="2247" spans="1:23" x14ac:dyDescent="0.3">
      <c r="A2247" s="1"/>
      <c r="B2247" s="1"/>
      <c r="C2247" s="1"/>
      <c r="D2247" s="1"/>
      <c r="E2247" s="1"/>
      <c r="F2247" s="124" t="s">
        <v>187</v>
      </c>
      <c r="G2247" s="1"/>
      <c r="H2247" s="1"/>
      <c r="I2247" s="1"/>
      <c r="J2247" s="124">
        <f>J2246*18/100</f>
        <v>6534</v>
      </c>
      <c r="K2247" s="1"/>
      <c r="L2247" s="1"/>
      <c r="M2247" s="1"/>
      <c r="N2247" s="1"/>
      <c r="O2247" s="1"/>
      <c r="P2247" s="1"/>
      <c r="Q2247" s="1"/>
      <c r="R2247" s="1"/>
      <c r="S2247" s="1"/>
      <c r="T2247" s="1"/>
      <c r="U2247" s="1"/>
      <c r="V2247" s="1"/>
    </row>
    <row r="2248" spans="1:23" x14ac:dyDescent="0.3">
      <c r="A2248" s="1"/>
      <c r="B2248" s="1"/>
      <c r="C2248" s="1"/>
      <c r="D2248" s="1"/>
      <c r="E2248" s="1"/>
      <c r="F2248" s="124" t="s">
        <v>41</v>
      </c>
      <c r="G2248" s="1"/>
      <c r="H2248" s="1"/>
      <c r="I2248" s="1"/>
      <c r="J2248" s="124">
        <f>SUM(J2246:J2247)</f>
        <v>42834</v>
      </c>
      <c r="K2248" s="1"/>
      <c r="L2248" s="1"/>
      <c r="M2248" s="1"/>
      <c r="N2248" s="1"/>
      <c r="O2248" s="1"/>
      <c r="P2248" s="1"/>
      <c r="Q2248" s="1"/>
      <c r="R2248" s="1"/>
      <c r="S2248" s="1"/>
      <c r="T2248" s="1"/>
      <c r="U2248" s="1"/>
      <c r="V2248" s="1"/>
    </row>
    <row r="2249" spans="1:23" x14ac:dyDescent="0.3">
      <c r="A2249" s="1"/>
      <c r="B2249" s="1"/>
      <c r="C2249" s="1"/>
      <c r="D2249" s="1"/>
      <c r="E2249" s="1"/>
      <c r="F2249" s="124"/>
      <c r="G2249" s="1"/>
      <c r="H2249" s="1"/>
      <c r="I2249" s="1"/>
      <c r="J2249" s="124"/>
      <c r="K2249" s="1"/>
      <c r="L2249" s="1"/>
      <c r="M2249" s="1"/>
      <c r="N2249" s="1"/>
      <c r="O2249" s="1"/>
      <c r="P2249" s="1"/>
      <c r="Q2249" s="1"/>
      <c r="R2249" s="1"/>
      <c r="S2249" s="1"/>
      <c r="T2249" s="1"/>
      <c r="U2249" s="1"/>
      <c r="V2249" s="1"/>
    </row>
    <row r="2250" spans="1:23" x14ac:dyDescent="0.3">
      <c r="A2250" s="85">
        <v>206</v>
      </c>
      <c r="B2250" s="85">
        <v>9200165795</v>
      </c>
      <c r="C2250" s="94">
        <v>46331</v>
      </c>
      <c r="D2250" s="85" t="s">
        <v>43</v>
      </c>
      <c r="E2250" s="16" t="s">
        <v>123</v>
      </c>
      <c r="F2250" s="39" t="s">
        <v>2338</v>
      </c>
      <c r="G2250" s="16">
        <v>3</v>
      </c>
      <c r="H2250" s="16" t="s">
        <v>28</v>
      </c>
      <c r="I2250" s="16">
        <v>9200</v>
      </c>
      <c r="J2250" s="16">
        <f t="shared" si="457"/>
        <v>27600</v>
      </c>
      <c r="K2250" s="16">
        <v>3</v>
      </c>
      <c r="L2250" s="16" t="s">
        <v>28</v>
      </c>
      <c r="M2250" s="16" t="s">
        <v>91</v>
      </c>
      <c r="N2250" s="16" t="s">
        <v>2413</v>
      </c>
      <c r="O2250" s="16">
        <v>3</v>
      </c>
      <c r="P2250" s="16">
        <v>9200</v>
      </c>
      <c r="Q2250" s="16">
        <f>O2250*P2250</f>
        <v>27600</v>
      </c>
      <c r="R2250" s="18">
        <v>0</v>
      </c>
      <c r="S2250" s="16">
        <f>Q2250*R2250</f>
        <v>0</v>
      </c>
      <c r="T2250" s="16">
        <f>Q2250+S2250</f>
        <v>27600</v>
      </c>
      <c r="U2250" s="16" t="s">
        <v>2431</v>
      </c>
      <c r="V2250" s="19">
        <v>46059</v>
      </c>
      <c r="W2250" s="136" t="s">
        <v>2465</v>
      </c>
    </row>
    <row r="2251" spans="1:23" x14ac:dyDescent="0.3">
      <c r="A2251" s="1"/>
      <c r="B2251" s="1"/>
      <c r="C2251" s="1"/>
      <c r="D2251" s="1"/>
      <c r="E2251" s="16" t="s">
        <v>123</v>
      </c>
      <c r="F2251" s="16" t="s">
        <v>2339</v>
      </c>
      <c r="G2251" s="85">
        <v>2</v>
      </c>
      <c r="H2251" s="85" t="s">
        <v>28</v>
      </c>
      <c r="I2251" s="85">
        <v>8200</v>
      </c>
      <c r="J2251" s="85">
        <f t="shared" si="457"/>
        <v>16400</v>
      </c>
      <c r="K2251" s="85">
        <v>2</v>
      </c>
      <c r="L2251" s="85" t="s">
        <v>28</v>
      </c>
      <c r="M2251" s="85" t="s">
        <v>91</v>
      </c>
      <c r="N2251" s="85" t="s">
        <v>2413</v>
      </c>
      <c r="O2251" s="119">
        <v>1</v>
      </c>
      <c r="P2251" s="16">
        <v>8200</v>
      </c>
      <c r="Q2251" s="16">
        <f t="shared" ref="Q2251:Q2256" si="479">O2251*P2251</f>
        <v>8200</v>
      </c>
      <c r="R2251" s="18">
        <v>0</v>
      </c>
      <c r="S2251" s="16">
        <f t="shared" ref="S2251:S2256" si="480">Q2251*R2251</f>
        <v>0</v>
      </c>
      <c r="T2251" s="16">
        <f t="shared" ref="T2251:T2256" si="481">Q2251+S2251</f>
        <v>8200</v>
      </c>
      <c r="U2251" s="16" t="s">
        <v>2431</v>
      </c>
      <c r="V2251" s="19">
        <v>46059</v>
      </c>
      <c r="W2251" s="136" t="s">
        <v>2465</v>
      </c>
    </row>
    <row r="2252" spans="1:23" x14ac:dyDescent="0.3">
      <c r="A2252" s="1"/>
      <c r="B2252" s="1"/>
      <c r="C2252" s="1"/>
      <c r="D2252" s="1"/>
      <c r="E2252" s="16" t="s">
        <v>123</v>
      </c>
      <c r="F2252" s="16" t="s">
        <v>2340</v>
      </c>
      <c r="G2252" s="85">
        <v>2</v>
      </c>
      <c r="H2252" s="85" t="s">
        <v>28</v>
      </c>
      <c r="I2252" s="85">
        <v>6800</v>
      </c>
      <c r="J2252" s="85">
        <f t="shared" si="457"/>
        <v>13600</v>
      </c>
      <c r="K2252" s="85">
        <v>2</v>
      </c>
      <c r="L2252" s="85" t="s">
        <v>28</v>
      </c>
      <c r="M2252" s="85" t="s">
        <v>91</v>
      </c>
      <c r="N2252" s="85" t="s">
        <v>2413</v>
      </c>
      <c r="O2252" s="119">
        <v>1</v>
      </c>
      <c r="P2252" s="16">
        <v>6800</v>
      </c>
      <c r="Q2252" s="16">
        <f t="shared" si="479"/>
        <v>6800</v>
      </c>
      <c r="R2252" s="18">
        <v>0</v>
      </c>
      <c r="S2252" s="16">
        <f t="shared" si="480"/>
        <v>0</v>
      </c>
      <c r="T2252" s="16">
        <f t="shared" si="481"/>
        <v>6800</v>
      </c>
      <c r="U2252" s="16" t="s">
        <v>2431</v>
      </c>
      <c r="V2252" s="19">
        <v>46059</v>
      </c>
      <c r="W2252" s="136" t="s">
        <v>2465</v>
      </c>
    </row>
    <row r="2253" spans="1:23" ht="25.2" x14ac:dyDescent="0.3">
      <c r="A2253" s="1"/>
      <c r="B2253" s="1"/>
      <c r="C2253" s="1"/>
      <c r="D2253" s="1"/>
      <c r="E2253" s="16" t="s">
        <v>123</v>
      </c>
      <c r="F2253" s="39" t="s">
        <v>2341</v>
      </c>
      <c r="G2253" s="16">
        <v>11</v>
      </c>
      <c r="H2253" s="16" t="s">
        <v>28</v>
      </c>
      <c r="I2253" s="16">
        <v>1500</v>
      </c>
      <c r="J2253" s="16">
        <f t="shared" si="457"/>
        <v>16500</v>
      </c>
      <c r="K2253" s="16">
        <v>11</v>
      </c>
      <c r="L2253" s="16" t="s">
        <v>28</v>
      </c>
      <c r="M2253" s="16" t="s">
        <v>91</v>
      </c>
      <c r="N2253" s="16" t="s">
        <v>2413</v>
      </c>
      <c r="O2253" s="16">
        <v>11</v>
      </c>
      <c r="P2253" s="16">
        <v>1500</v>
      </c>
      <c r="Q2253" s="16">
        <f t="shared" si="479"/>
        <v>16500</v>
      </c>
      <c r="R2253" s="18">
        <v>0</v>
      </c>
      <c r="S2253" s="16">
        <f t="shared" si="480"/>
        <v>0</v>
      </c>
      <c r="T2253" s="16">
        <f t="shared" si="481"/>
        <v>16500</v>
      </c>
      <c r="U2253" s="16" t="s">
        <v>2431</v>
      </c>
      <c r="V2253" s="19">
        <v>46059</v>
      </c>
      <c r="W2253" s="136" t="s">
        <v>2465</v>
      </c>
    </row>
    <row r="2254" spans="1:23" ht="25.2" x14ac:dyDescent="0.3">
      <c r="A2254" s="1"/>
      <c r="B2254" s="1"/>
      <c r="C2254" s="1"/>
      <c r="D2254" s="1"/>
      <c r="E2254" s="16" t="s">
        <v>123</v>
      </c>
      <c r="F2254" s="39" t="s">
        <v>2342</v>
      </c>
      <c r="G2254" s="16">
        <v>11</v>
      </c>
      <c r="H2254" s="16" t="s">
        <v>28</v>
      </c>
      <c r="I2254" s="16">
        <v>650</v>
      </c>
      <c r="J2254" s="16">
        <f t="shared" si="457"/>
        <v>7150</v>
      </c>
      <c r="K2254" s="16">
        <v>11</v>
      </c>
      <c r="L2254" s="16" t="s">
        <v>28</v>
      </c>
      <c r="M2254" s="16" t="s">
        <v>91</v>
      </c>
      <c r="N2254" s="16" t="s">
        <v>2413</v>
      </c>
      <c r="O2254" s="16">
        <v>11</v>
      </c>
      <c r="P2254" s="16">
        <v>650</v>
      </c>
      <c r="Q2254" s="16">
        <f t="shared" si="479"/>
        <v>7150</v>
      </c>
      <c r="R2254" s="18">
        <v>0</v>
      </c>
      <c r="S2254" s="16">
        <f t="shared" si="480"/>
        <v>0</v>
      </c>
      <c r="T2254" s="16">
        <f t="shared" si="481"/>
        <v>7150</v>
      </c>
      <c r="U2254" s="16" t="s">
        <v>2431</v>
      </c>
      <c r="V2254" s="19">
        <v>46059</v>
      </c>
      <c r="W2254" s="136" t="s">
        <v>2465</v>
      </c>
    </row>
    <row r="2255" spans="1:23" x14ac:dyDescent="0.3">
      <c r="A2255" s="1"/>
      <c r="B2255" s="1"/>
      <c r="C2255" s="1"/>
      <c r="D2255" s="1"/>
      <c r="E2255" s="16" t="s">
        <v>123</v>
      </c>
      <c r="F2255" s="16" t="s">
        <v>2343</v>
      </c>
      <c r="G2255" s="16">
        <v>20</v>
      </c>
      <c r="H2255" s="16" t="s">
        <v>28</v>
      </c>
      <c r="I2255" s="16">
        <v>220</v>
      </c>
      <c r="J2255" s="16">
        <f t="shared" si="457"/>
        <v>4400</v>
      </c>
      <c r="K2255" s="16">
        <v>20</v>
      </c>
      <c r="L2255" s="16" t="s">
        <v>28</v>
      </c>
      <c r="M2255" s="16" t="s">
        <v>91</v>
      </c>
      <c r="N2255" s="16" t="s">
        <v>2413</v>
      </c>
      <c r="O2255" s="16">
        <v>20</v>
      </c>
      <c r="P2255" s="16">
        <v>220</v>
      </c>
      <c r="Q2255" s="16">
        <f t="shared" si="479"/>
        <v>4400</v>
      </c>
      <c r="R2255" s="18">
        <v>0</v>
      </c>
      <c r="S2255" s="16">
        <f t="shared" si="480"/>
        <v>0</v>
      </c>
      <c r="T2255" s="16">
        <f t="shared" si="481"/>
        <v>4400</v>
      </c>
      <c r="U2255" s="16" t="s">
        <v>2431</v>
      </c>
      <c r="V2255" s="19">
        <v>46059</v>
      </c>
      <c r="W2255" s="136" t="s">
        <v>2465</v>
      </c>
    </row>
    <row r="2256" spans="1:23" x14ac:dyDescent="0.3">
      <c r="A2256" s="1"/>
      <c r="B2256" s="1"/>
      <c r="C2256" s="1"/>
      <c r="D2256" s="1"/>
      <c r="E2256" s="16" t="s">
        <v>123</v>
      </c>
      <c r="F2256" s="16" t="s">
        <v>2344</v>
      </c>
      <c r="G2256" s="85">
        <v>7</v>
      </c>
      <c r="H2256" s="85" t="s">
        <v>28</v>
      </c>
      <c r="I2256" s="85">
        <v>1400</v>
      </c>
      <c r="J2256" s="85">
        <f t="shared" si="457"/>
        <v>9800</v>
      </c>
      <c r="K2256" s="85"/>
      <c r="L2256" s="85"/>
      <c r="M2256" s="85"/>
      <c r="N2256" s="85"/>
      <c r="O2256" s="119">
        <v>5</v>
      </c>
      <c r="P2256" s="16">
        <v>1400</v>
      </c>
      <c r="Q2256" s="16">
        <f t="shared" si="479"/>
        <v>7000</v>
      </c>
      <c r="R2256" s="18">
        <v>0</v>
      </c>
      <c r="S2256" s="16">
        <f t="shared" si="480"/>
        <v>0</v>
      </c>
      <c r="T2256" s="16">
        <f t="shared" si="481"/>
        <v>7000</v>
      </c>
      <c r="U2256" s="16" t="s">
        <v>2431</v>
      </c>
      <c r="V2256" s="19">
        <v>46059</v>
      </c>
      <c r="W2256" s="136" t="s">
        <v>2465</v>
      </c>
    </row>
    <row r="2257" spans="1:23" x14ac:dyDescent="0.3">
      <c r="A2257" s="1"/>
      <c r="B2257" s="1"/>
      <c r="C2257" s="1"/>
      <c r="D2257" s="1"/>
      <c r="E2257" s="1"/>
      <c r="F2257" s="124" t="s">
        <v>39</v>
      </c>
      <c r="G2257" s="1"/>
      <c r="H2257" s="1"/>
      <c r="I2257" s="1"/>
      <c r="J2257" s="124">
        <f>SUM(J2250:J2256)</f>
        <v>95450</v>
      </c>
      <c r="K2257" s="1"/>
      <c r="L2257" s="1"/>
      <c r="M2257" s="1"/>
      <c r="N2257" s="1"/>
      <c r="O2257" s="1"/>
      <c r="P2257" s="1"/>
      <c r="Q2257" s="1"/>
      <c r="R2257" s="1"/>
      <c r="S2257" s="1"/>
      <c r="T2257" s="1"/>
      <c r="U2257" s="1"/>
      <c r="V2257" s="1"/>
    </row>
    <row r="2258" spans="1:23" x14ac:dyDescent="0.3">
      <c r="A2258" s="1"/>
      <c r="B2258" s="1"/>
      <c r="C2258" s="1"/>
      <c r="D2258" s="1"/>
      <c r="E2258" s="1"/>
      <c r="F2258" s="124" t="s">
        <v>599</v>
      </c>
      <c r="G2258" s="1"/>
      <c r="H2258" s="1"/>
      <c r="I2258" s="1"/>
      <c r="J2258" s="124">
        <f>J2257*0/100</f>
        <v>0</v>
      </c>
      <c r="K2258" s="1"/>
      <c r="L2258" s="1"/>
      <c r="M2258" s="1"/>
      <c r="N2258" s="1"/>
      <c r="O2258" s="1"/>
      <c r="P2258" s="1"/>
      <c r="Q2258" s="1"/>
      <c r="R2258" s="1"/>
      <c r="S2258" s="1"/>
      <c r="T2258" s="1">
        <f>SUM(T2250:T2257)</f>
        <v>77650</v>
      </c>
      <c r="U2258" s="1"/>
      <c r="V2258" s="1"/>
    </row>
    <row r="2259" spans="1:23" x14ac:dyDescent="0.3">
      <c r="A2259" s="1"/>
      <c r="B2259" s="1"/>
      <c r="C2259" s="1"/>
      <c r="D2259" s="1"/>
      <c r="E2259" s="1"/>
      <c r="F2259" s="124" t="s">
        <v>41</v>
      </c>
      <c r="G2259" s="1"/>
      <c r="H2259" s="1"/>
      <c r="I2259" s="1"/>
      <c r="J2259" s="124">
        <f>SUM(J2257:J2258)</f>
        <v>95450</v>
      </c>
      <c r="K2259" s="1"/>
      <c r="L2259" s="1"/>
      <c r="M2259" s="1"/>
      <c r="N2259" s="1"/>
      <c r="O2259" s="1"/>
      <c r="P2259" s="1"/>
      <c r="Q2259" s="1"/>
      <c r="R2259" s="1"/>
      <c r="S2259" s="1"/>
      <c r="T2259" s="1"/>
      <c r="U2259" s="1"/>
      <c r="V2259" s="1"/>
    </row>
    <row r="2260" spans="1:23" x14ac:dyDescent="0.3">
      <c r="A2260" s="1"/>
      <c r="B2260" s="1"/>
      <c r="C2260" s="1"/>
      <c r="D2260" s="1"/>
      <c r="E2260" s="1"/>
      <c r="F2260" s="124"/>
      <c r="G2260" s="1"/>
      <c r="H2260" s="1"/>
      <c r="I2260" s="1"/>
      <c r="J2260" s="124"/>
      <c r="K2260" s="1"/>
      <c r="L2260" s="1"/>
      <c r="M2260" s="1"/>
      <c r="N2260" s="1"/>
      <c r="O2260" s="1"/>
      <c r="P2260" s="1"/>
      <c r="Q2260" s="1"/>
      <c r="R2260" s="1"/>
      <c r="S2260" s="1"/>
      <c r="T2260" s="1"/>
      <c r="U2260" s="1"/>
      <c r="V2260" s="1"/>
    </row>
    <row r="2261" spans="1:23" x14ac:dyDescent="0.3">
      <c r="A2261" s="16">
        <v>207</v>
      </c>
      <c r="B2261" s="16">
        <v>8100024785</v>
      </c>
      <c r="C2261" s="19">
        <v>46361</v>
      </c>
      <c r="D2261" s="16" t="s">
        <v>300</v>
      </c>
      <c r="E2261" s="16" t="s">
        <v>127</v>
      </c>
      <c r="F2261" s="39" t="s">
        <v>2351</v>
      </c>
      <c r="G2261" s="16">
        <v>1</v>
      </c>
      <c r="H2261" s="16" t="s">
        <v>28</v>
      </c>
      <c r="I2261" s="16">
        <v>8000</v>
      </c>
      <c r="J2261" s="16">
        <f t="shared" si="457"/>
        <v>8000</v>
      </c>
      <c r="K2261" s="16">
        <v>1</v>
      </c>
      <c r="L2261" s="16" t="s">
        <v>734</v>
      </c>
      <c r="M2261" s="16" t="s">
        <v>1570</v>
      </c>
      <c r="N2261" s="16" t="s">
        <v>2399</v>
      </c>
      <c r="O2261" s="16">
        <v>1</v>
      </c>
      <c r="P2261" s="16">
        <v>8000</v>
      </c>
      <c r="Q2261" s="16">
        <f>O2261*P2261</f>
        <v>8000</v>
      </c>
      <c r="R2261" s="18">
        <v>0.18</v>
      </c>
      <c r="S2261" s="16">
        <f>Q2261*R2261</f>
        <v>1440</v>
      </c>
      <c r="T2261" s="16">
        <f>Q2261+S2261</f>
        <v>9440</v>
      </c>
      <c r="U2261" s="16" t="s">
        <v>2469</v>
      </c>
      <c r="V2261" s="19" t="s">
        <v>2468</v>
      </c>
      <c r="W2261" s="136" t="s">
        <v>2496</v>
      </c>
    </row>
    <row r="2262" spans="1:23" x14ac:dyDescent="0.3">
      <c r="A2262" s="1"/>
      <c r="B2262" s="1"/>
      <c r="C2262" s="1"/>
      <c r="D2262" s="1"/>
      <c r="E2262" s="16" t="s">
        <v>123</v>
      </c>
      <c r="F2262" s="16" t="s">
        <v>2352</v>
      </c>
      <c r="G2262" s="16">
        <v>1</v>
      </c>
      <c r="H2262" s="16" t="s">
        <v>28</v>
      </c>
      <c r="I2262" s="16">
        <v>6000</v>
      </c>
      <c r="J2262" s="16">
        <f t="shared" si="457"/>
        <v>6000</v>
      </c>
      <c r="K2262" s="16">
        <v>1</v>
      </c>
      <c r="L2262" s="16" t="s">
        <v>734</v>
      </c>
      <c r="M2262" s="16" t="s">
        <v>1570</v>
      </c>
      <c r="N2262" s="16" t="s">
        <v>2372</v>
      </c>
      <c r="O2262" s="16">
        <v>1</v>
      </c>
      <c r="P2262" s="16">
        <v>6000</v>
      </c>
      <c r="Q2262" s="16">
        <f>O2262*P2262</f>
        <v>6000</v>
      </c>
      <c r="R2262" s="18">
        <v>0.18</v>
      </c>
      <c r="S2262" s="16">
        <f>Q2262*R2262</f>
        <v>1080</v>
      </c>
      <c r="T2262" s="16">
        <f>Q2262+S2262</f>
        <v>7080</v>
      </c>
      <c r="U2262" s="16" t="s">
        <v>2469</v>
      </c>
      <c r="V2262" s="19" t="s">
        <v>2468</v>
      </c>
      <c r="W2262" s="136" t="s">
        <v>2496</v>
      </c>
    </row>
    <row r="2263" spans="1:23" x14ac:dyDescent="0.3">
      <c r="A2263" s="1"/>
      <c r="B2263" s="1"/>
      <c r="C2263" s="1"/>
      <c r="D2263" s="1"/>
      <c r="E2263" s="1"/>
      <c r="F2263" s="124" t="s">
        <v>39</v>
      </c>
      <c r="G2263" s="1"/>
      <c r="H2263" s="1"/>
      <c r="I2263" s="1"/>
      <c r="J2263" s="124">
        <f>SUM(J2261:J2262)</f>
        <v>14000</v>
      </c>
      <c r="K2263" s="1"/>
      <c r="L2263" s="1"/>
      <c r="M2263" s="1"/>
      <c r="N2263" s="1"/>
      <c r="O2263" s="1"/>
      <c r="P2263" s="1"/>
      <c r="Q2263" s="1"/>
      <c r="R2263" s="1"/>
      <c r="S2263" s="1"/>
      <c r="T2263" s="1"/>
      <c r="U2263" s="1"/>
      <c r="V2263" s="1"/>
    </row>
    <row r="2264" spans="1:23" x14ac:dyDescent="0.3">
      <c r="A2264" s="1"/>
      <c r="B2264" s="1"/>
      <c r="C2264" s="1"/>
      <c r="D2264" s="1"/>
      <c r="E2264" s="1"/>
      <c r="F2264" s="124" t="s">
        <v>187</v>
      </c>
      <c r="G2264" s="1"/>
      <c r="H2264" s="1"/>
      <c r="I2264" s="1"/>
      <c r="J2264" s="124">
        <f>J2263*18/100</f>
        <v>2520</v>
      </c>
      <c r="K2264" s="1"/>
      <c r="L2264" s="1"/>
      <c r="M2264" s="1"/>
      <c r="N2264" s="1"/>
      <c r="O2264" s="1"/>
      <c r="P2264" s="1"/>
      <c r="Q2264" s="1"/>
      <c r="R2264" s="1"/>
      <c r="S2264" s="1"/>
      <c r="T2264" s="1"/>
      <c r="U2264" s="1"/>
      <c r="V2264" s="1"/>
    </row>
    <row r="2265" spans="1:23" x14ac:dyDescent="0.3">
      <c r="A2265" s="1"/>
      <c r="B2265" s="1"/>
      <c r="C2265" s="1"/>
      <c r="D2265" s="1"/>
      <c r="E2265" s="1"/>
      <c r="F2265" s="124" t="s">
        <v>41</v>
      </c>
      <c r="G2265" s="1"/>
      <c r="H2265" s="1"/>
      <c r="I2265" s="1"/>
      <c r="J2265" s="124">
        <f>SUM(J2263:J2264)</f>
        <v>16520</v>
      </c>
      <c r="K2265" s="1"/>
      <c r="L2265" s="1"/>
      <c r="M2265" s="1"/>
      <c r="N2265" s="1"/>
      <c r="O2265" s="1"/>
      <c r="P2265" s="1"/>
      <c r="Q2265" s="1"/>
      <c r="R2265" s="1"/>
      <c r="S2265" s="1"/>
      <c r="T2265" s="1">
        <f>SUM(T2261:T2264)</f>
        <v>16520</v>
      </c>
      <c r="U2265" s="1"/>
      <c r="V2265" s="1"/>
    </row>
    <row r="2266" spans="1:23" x14ac:dyDescent="0.3">
      <c r="A2266" s="1"/>
      <c r="B2266" s="1"/>
      <c r="C2266" s="1"/>
      <c r="D2266" s="1"/>
      <c r="E2266" s="1"/>
      <c r="F2266" s="1"/>
      <c r="G2266" s="1"/>
      <c r="H2266" s="1"/>
      <c r="I2266" s="1"/>
      <c r="J2266" s="1"/>
      <c r="K2266" s="1"/>
      <c r="L2266" s="1"/>
      <c r="M2266" s="1"/>
      <c r="N2266" s="1"/>
      <c r="O2266" s="1"/>
      <c r="P2266" s="1"/>
      <c r="Q2266" s="1"/>
      <c r="R2266" s="1"/>
      <c r="S2266" s="1"/>
      <c r="T2266" s="1"/>
      <c r="U2266" s="1"/>
      <c r="V2266" s="1"/>
    </row>
    <row r="2267" spans="1:23" ht="37.799999999999997" x14ac:dyDescent="0.3">
      <c r="A2267" s="16">
        <v>208</v>
      </c>
      <c r="B2267" s="16">
        <v>9200165917</v>
      </c>
      <c r="C2267" s="19">
        <v>46361</v>
      </c>
      <c r="D2267" s="16" t="s">
        <v>300</v>
      </c>
      <c r="E2267" s="16" t="s">
        <v>123</v>
      </c>
      <c r="F2267" s="39" t="s">
        <v>2353</v>
      </c>
      <c r="G2267" s="16">
        <v>1</v>
      </c>
      <c r="H2267" s="16" t="s">
        <v>28</v>
      </c>
      <c r="I2267" s="16">
        <v>24500</v>
      </c>
      <c r="J2267" s="16">
        <f t="shared" si="457"/>
        <v>24500</v>
      </c>
      <c r="K2267" s="16">
        <v>5</v>
      </c>
      <c r="L2267" s="16" t="s">
        <v>734</v>
      </c>
      <c r="M2267" s="38" t="s">
        <v>2394</v>
      </c>
      <c r="N2267" s="16" t="s">
        <v>2401</v>
      </c>
      <c r="O2267" s="16">
        <v>1</v>
      </c>
      <c r="P2267" s="16">
        <v>24500</v>
      </c>
      <c r="Q2267" s="16">
        <f>O2267*P2267</f>
        <v>24500</v>
      </c>
      <c r="R2267" s="18">
        <v>0.18</v>
      </c>
      <c r="S2267" s="16">
        <f>Q2267*R2267</f>
        <v>4410</v>
      </c>
      <c r="T2267" s="16">
        <f>Q2267+S2267</f>
        <v>28910</v>
      </c>
      <c r="U2267" s="16" t="s">
        <v>2423</v>
      </c>
      <c r="V2267" s="19">
        <v>46059</v>
      </c>
      <c r="W2267" s="136" t="s">
        <v>2496</v>
      </c>
    </row>
    <row r="2268" spans="1:23" ht="25.2" x14ac:dyDescent="0.3">
      <c r="A2268" s="1"/>
      <c r="B2268" s="1"/>
      <c r="C2268" s="1"/>
      <c r="D2268" s="1"/>
      <c r="E2268" s="16" t="s">
        <v>123</v>
      </c>
      <c r="F2268" s="39" t="s">
        <v>2354</v>
      </c>
      <c r="G2268" s="16">
        <v>1</v>
      </c>
      <c r="H2268" s="16" t="s">
        <v>87</v>
      </c>
      <c r="I2268" s="16">
        <v>21120</v>
      </c>
      <c r="J2268" s="16">
        <f t="shared" si="457"/>
        <v>21120</v>
      </c>
      <c r="K2268" s="16">
        <v>2</v>
      </c>
      <c r="L2268" s="16" t="s">
        <v>734</v>
      </c>
      <c r="M2268" s="38" t="s">
        <v>2394</v>
      </c>
      <c r="N2268" s="16" t="s">
        <v>2395</v>
      </c>
      <c r="O2268" s="16">
        <v>64</v>
      </c>
      <c r="P2268" s="16">
        <v>330</v>
      </c>
      <c r="Q2268" s="16">
        <f>O2268*P2268</f>
        <v>21120</v>
      </c>
      <c r="R2268" s="18">
        <v>0.18</v>
      </c>
      <c r="S2268" s="16">
        <f>Q2268*R2268</f>
        <v>3801.6</v>
      </c>
      <c r="T2268" s="16">
        <f>Q2268+S2268</f>
        <v>24921.599999999999</v>
      </c>
      <c r="U2268" s="16" t="s">
        <v>2423</v>
      </c>
      <c r="V2268" s="19">
        <v>46059</v>
      </c>
      <c r="W2268" s="136" t="s">
        <v>2496</v>
      </c>
    </row>
    <row r="2269" spans="1:23" x14ac:dyDescent="0.3">
      <c r="A2269" s="1"/>
      <c r="B2269" s="1"/>
      <c r="C2269" s="1"/>
      <c r="D2269" s="1"/>
      <c r="E2269" s="1"/>
      <c r="F2269" s="124" t="s">
        <v>39</v>
      </c>
      <c r="G2269" s="1"/>
      <c r="H2269" s="1"/>
      <c r="I2269" s="1"/>
      <c r="J2269" s="124">
        <f>SUM(J2267:J2268)</f>
        <v>45620</v>
      </c>
      <c r="K2269" s="1"/>
      <c r="L2269" s="1"/>
      <c r="M2269" s="1"/>
      <c r="N2269" s="1"/>
      <c r="O2269" s="1"/>
      <c r="P2269" s="1"/>
      <c r="Q2269" s="1"/>
      <c r="R2269" s="1"/>
      <c r="S2269" s="1"/>
      <c r="T2269" s="1"/>
      <c r="U2269" s="1"/>
      <c r="V2269" s="1"/>
    </row>
    <row r="2270" spans="1:23" x14ac:dyDescent="0.3">
      <c r="A2270" s="1"/>
      <c r="B2270" s="1"/>
      <c r="C2270" s="1"/>
      <c r="D2270" s="1"/>
      <c r="E2270" s="1"/>
      <c r="F2270" s="124" t="s">
        <v>187</v>
      </c>
      <c r="G2270" s="1"/>
      <c r="H2270" s="1"/>
      <c r="I2270" s="1"/>
      <c r="J2270" s="124">
        <f>J2269*18/100</f>
        <v>8211.6</v>
      </c>
      <c r="K2270" s="1"/>
      <c r="L2270" s="1"/>
      <c r="M2270" s="1"/>
      <c r="N2270" s="1"/>
      <c r="O2270" s="1"/>
      <c r="P2270" s="1"/>
      <c r="Q2270" s="1"/>
      <c r="R2270" s="1"/>
      <c r="S2270" s="1"/>
      <c r="T2270" s="1"/>
      <c r="U2270" s="1"/>
      <c r="V2270" s="1"/>
    </row>
    <row r="2271" spans="1:23" x14ac:dyDescent="0.3">
      <c r="A2271" s="1"/>
      <c r="B2271" s="1"/>
      <c r="C2271" s="1"/>
      <c r="D2271" s="1"/>
      <c r="E2271" s="1"/>
      <c r="F2271" s="124" t="s">
        <v>41</v>
      </c>
      <c r="G2271" s="1"/>
      <c r="H2271" s="1"/>
      <c r="I2271" s="1"/>
      <c r="J2271" s="124">
        <f>SUM(J2269:J2270)</f>
        <v>53831.6</v>
      </c>
      <c r="K2271" s="1"/>
      <c r="L2271" s="1"/>
      <c r="M2271" s="1"/>
      <c r="N2271" s="1"/>
      <c r="O2271" s="1"/>
      <c r="P2271" s="1"/>
      <c r="Q2271" s="1"/>
      <c r="R2271" s="1"/>
      <c r="S2271" s="1"/>
      <c r="T2271" s="1">
        <f>SUM(T2267:T2270)</f>
        <v>53831.6</v>
      </c>
      <c r="U2271" s="1"/>
      <c r="V2271" s="1"/>
    </row>
    <row r="2272" spans="1:23" x14ac:dyDescent="0.3">
      <c r="A2272" s="1"/>
      <c r="B2272" s="1"/>
      <c r="C2272" s="1"/>
      <c r="D2272" s="1"/>
      <c r="E2272" s="1"/>
      <c r="F2272" s="124"/>
      <c r="G2272" s="1"/>
      <c r="H2272" s="1"/>
      <c r="I2272" s="1"/>
      <c r="J2272" s="124"/>
      <c r="K2272" s="1"/>
      <c r="L2272" s="1"/>
      <c r="M2272" s="1"/>
      <c r="N2272" s="1"/>
      <c r="O2272" s="1"/>
      <c r="P2272" s="1"/>
      <c r="Q2272" s="1"/>
      <c r="R2272" s="1"/>
      <c r="S2272" s="1"/>
      <c r="T2272" s="1"/>
      <c r="U2272" s="1"/>
      <c r="V2272" s="1"/>
    </row>
    <row r="2273" spans="1:23" ht="25.2" x14ac:dyDescent="0.3">
      <c r="A2273" s="85">
        <v>209</v>
      </c>
      <c r="B2273" s="85">
        <v>9200165973</v>
      </c>
      <c r="C2273" s="85" t="s">
        <v>2356</v>
      </c>
      <c r="D2273" s="85" t="s">
        <v>373</v>
      </c>
      <c r="E2273" s="85" t="s">
        <v>123</v>
      </c>
      <c r="F2273" s="103" t="s">
        <v>2357</v>
      </c>
      <c r="G2273" s="85">
        <v>2550</v>
      </c>
      <c r="H2273" s="85" t="s">
        <v>111</v>
      </c>
      <c r="I2273" s="85">
        <v>198</v>
      </c>
      <c r="J2273" s="85">
        <f t="shared" si="457"/>
        <v>504900</v>
      </c>
      <c r="K2273" s="119">
        <v>90</v>
      </c>
      <c r="L2273" s="119" t="s">
        <v>28</v>
      </c>
      <c r="M2273" s="119" t="s">
        <v>91</v>
      </c>
      <c r="N2273" s="119" t="s">
        <v>2464</v>
      </c>
      <c r="O2273" s="85"/>
      <c r="P2273" s="85">
        <v>198</v>
      </c>
      <c r="Q2273" s="85">
        <f>O2273*P2273</f>
        <v>0</v>
      </c>
      <c r="R2273" s="104">
        <v>0</v>
      </c>
      <c r="S2273" s="85">
        <f>Q2273*R2273</f>
        <v>0</v>
      </c>
      <c r="T2273" s="85">
        <f>Q2273+S2273</f>
        <v>0</v>
      </c>
      <c r="U2273" s="85"/>
      <c r="V2273" s="94"/>
      <c r="W2273" s="136" t="s">
        <v>2718</v>
      </c>
    </row>
    <row r="2274" spans="1:23" x14ac:dyDescent="0.3">
      <c r="A2274" s="85"/>
      <c r="B2274" s="85"/>
      <c r="C2274" s="85"/>
      <c r="D2274" s="85"/>
      <c r="E2274" s="85" t="s">
        <v>123</v>
      </c>
      <c r="F2274" s="85" t="s">
        <v>2358</v>
      </c>
      <c r="G2274" s="85">
        <v>2550</v>
      </c>
      <c r="H2274" s="85" t="s">
        <v>111</v>
      </c>
      <c r="I2274" s="85">
        <v>10</v>
      </c>
      <c r="J2274" s="85">
        <f t="shared" si="457"/>
        <v>25500</v>
      </c>
      <c r="K2274" s="119">
        <v>240</v>
      </c>
      <c r="L2274" s="119" t="s">
        <v>2488</v>
      </c>
      <c r="M2274" s="119" t="s">
        <v>91</v>
      </c>
      <c r="N2274" s="119" t="s">
        <v>2489</v>
      </c>
      <c r="O2274" s="85"/>
      <c r="P2274" s="85">
        <v>10</v>
      </c>
      <c r="Q2274" s="85">
        <f t="shared" ref="Q2274:Q2276" si="482">O2274*P2274</f>
        <v>0</v>
      </c>
      <c r="R2274" s="104">
        <v>0</v>
      </c>
      <c r="S2274" s="85">
        <f t="shared" ref="S2274:S2276" si="483">Q2274*R2274</f>
        <v>0</v>
      </c>
      <c r="T2274" s="85">
        <f t="shared" ref="T2274:T2276" si="484">Q2274+S2274</f>
        <v>0</v>
      </c>
      <c r="U2274" s="85"/>
      <c r="V2274" s="94"/>
    </row>
    <row r="2275" spans="1:23" x14ac:dyDescent="0.3">
      <c r="A2275" s="85"/>
      <c r="B2275" s="85"/>
      <c r="C2275" s="85"/>
      <c r="D2275" s="85"/>
      <c r="E2275" s="85" t="s">
        <v>123</v>
      </c>
      <c r="F2275" s="85" t="s">
        <v>2359</v>
      </c>
      <c r="G2275" s="85">
        <v>2550</v>
      </c>
      <c r="H2275" s="85" t="s">
        <v>111</v>
      </c>
      <c r="I2275" s="85">
        <v>10</v>
      </c>
      <c r="J2275" s="85">
        <f t="shared" si="457"/>
        <v>25500</v>
      </c>
      <c r="K2275" s="119"/>
      <c r="L2275" s="119"/>
      <c r="M2275" s="119"/>
      <c r="N2275" s="119"/>
      <c r="O2275" s="85"/>
      <c r="P2275" s="85">
        <v>10</v>
      </c>
      <c r="Q2275" s="85">
        <f t="shared" si="482"/>
        <v>0</v>
      </c>
      <c r="R2275" s="104">
        <v>0</v>
      </c>
      <c r="S2275" s="85">
        <f t="shared" si="483"/>
        <v>0</v>
      </c>
      <c r="T2275" s="85">
        <f t="shared" si="484"/>
        <v>0</v>
      </c>
      <c r="U2275" s="85"/>
      <c r="V2275" s="94"/>
    </row>
    <row r="2276" spans="1:23" x14ac:dyDescent="0.3">
      <c r="A2276" s="85"/>
      <c r="B2276" s="85"/>
      <c r="C2276" s="85"/>
      <c r="D2276" s="85"/>
      <c r="E2276" s="85" t="s">
        <v>123</v>
      </c>
      <c r="F2276" s="85" t="s">
        <v>2360</v>
      </c>
      <c r="G2276" s="85">
        <v>2550</v>
      </c>
      <c r="H2276" s="85" t="s">
        <v>111</v>
      </c>
      <c r="I2276" s="85">
        <v>5.5</v>
      </c>
      <c r="J2276" s="85">
        <f t="shared" si="457"/>
        <v>14025</v>
      </c>
      <c r="K2276" s="119" t="s">
        <v>2598</v>
      </c>
      <c r="L2276" s="119"/>
      <c r="M2276" s="119" t="s">
        <v>91</v>
      </c>
      <c r="N2276" s="119" t="s">
        <v>2597</v>
      </c>
      <c r="O2276" s="85"/>
      <c r="P2276" s="85">
        <v>5.5</v>
      </c>
      <c r="Q2276" s="85">
        <f t="shared" si="482"/>
        <v>0</v>
      </c>
      <c r="R2276" s="104">
        <v>0</v>
      </c>
      <c r="S2276" s="85">
        <f t="shared" si="483"/>
        <v>0</v>
      </c>
      <c r="T2276" s="85">
        <f t="shared" si="484"/>
        <v>0</v>
      </c>
      <c r="U2276" s="85"/>
      <c r="V2276" s="94"/>
    </row>
    <row r="2277" spans="1:23" x14ac:dyDescent="0.3">
      <c r="A2277" s="1"/>
      <c r="B2277" s="1"/>
      <c r="C2277" s="1"/>
      <c r="D2277" s="1"/>
      <c r="E2277" s="1"/>
      <c r="F2277" s="124" t="s">
        <v>39</v>
      </c>
      <c r="G2277" s="1"/>
      <c r="H2277" s="1"/>
      <c r="I2277" s="1"/>
      <c r="J2277" s="124">
        <f>SUM(J2273:J2276)</f>
        <v>569925</v>
      </c>
      <c r="K2277" s="1"/>
      <c r="L2277" s="1"/>
      <c r="M2277" s="1"/>
      <c r="N2277" s="1"/>
      <c r="O2277" s="1"/>
      <c r="P2277" s="1"/>
      <c r="Q2277" s="1"/>
      <c r="R2277" s="1"/>
      <c r="S2277" s="1"/>
      <c r="T2277" s="1"/>
      <c r="U2277" s="1"/>
      <c r="V2277" s="1"/>
    </row>
    <row r="2278" spans="1:23" x14ac:dyDescent="0.3">
      <c r="A2278" s="1"/>
      <c r="B2278" s="1"/>
      <c r="C2278" s="1"/>
      <c r="D2278" s="1"/>
      <c r="E2278" s="1"/>
      <c r="F2278" s="124" t="s">
        <v>599</v>
      </c>
      <c r="G2278" s="1"/>
      <c r="H2278" s="1"/>
      <c r="I2278" s="1"/>
      <c r="J2278" s="124">
        <f>J2277*0/100</f>
        <v>0</v>
      </c>
      <c r="K2278" s="1"/>
      <c r="L2278" s="1"/>
      <c r="M2278" s="1"/>
      <c r="N2278" s="1"/>
      <c r="O2278" s="1"/>
      <c r="P2278" s="1"/>
      <c r="Q2278" s="1"/>
      <c r="R2278" s="1"/>
      <c r="S2278" s="1"/>
      <c r="T2278" s="1"/>
      <c r="U2278" s="1"/>
      <c r="V2278" s="1"/>
    </row>
    <row r="2279" spans="1:23" x14ac:dyDescent="0.3">
      <c r="A2279" s="1"/>
      <c r="B2279" s="1"/>
      <c r="C2279" s="1"/>
      <c r="D2279" s="1"/>
      <c r="E2279" s="1"/>
      <c r="F2279" s="124" t="s">
        <v>41</v>
      </c>
      <c r="G2279" s="1"/>
      <c r="H2279" s="1"/>
      <c r="I2279" s="1"/>
      <c r="J2279" s="124">
        <f>SUM(J2277:J2278)</f>
        <v>569925</v>
      </c>
      <c r="K2279" s="1"/>
      <c r="L2279" s="1"/>
      <c r="M2279" s="1"/>
      <c r="N2279" s="1"/>
      <c r="O2279" s="1"/>
      <c r="P2279" s="1"/>
      <c r="Q2279" s="1"/>
      <c r="R2279" s="1"/>
      <c r="S2279" s="1"/>
      <c r="T2279" s="1">
        <f>SUM(T2273:T2278)</f>
        <v>0</v>
      </c>
      <c r="U2279" s="1"/>
      <c r="V2279" s="1"/>
    </row>
    <row r="2280" spans="1:23" x14ac:dyDescent="0.3">
      <c r="A2280" s="1"/>
      <c r="B2280" s="1"/>
      <c r="C2280" s="1"/>
      <c r="D2280" s="1"/>
      <c r="E2280" s="1"/>
      <c r="F2280" s="124"/>
      <c r="G2280" s="1"/>
      <c r="H2280" s="1"/>
      <c r="I2280" s="1"/>
      <c r="J2280" s="124"/>
      <c r="K2280" s="1"/>
      <c r="L2280" s="1"/>
      <c r="M2280" s="1"/>
      <c r="N2280" s="1"/>
      <c r="O2280" s="1"/>
      <c r="P2280" s="1"/>
      <c r="Q2280" s="1"/>
      <c r="R2280" s="1"/>
      <c r="S2280" s="1"/>
      <c r="T2280" s="1"/>
      <c r="U2280" s="1"/>
      <c r="V2280" s="1"/>
    </row>
    <row r="2281" spans="1:23" x14ac:dyDescent="0.3">
      <c r="A2281" s="16">
        <v>210</v>
      </c>
      <c r="B2281" s="16">
        <v>9200166399</v>
      </c>
      <c r="C2281" s="16" t="s">
        <v>2373</v>
      </c>
      <c r="D2281" s="16" t="s">
        <v>43</v>
      </c>
      <c r="E2281" s="16" t="s">
        <v>123</v>
      </c>
      <c r="F2281" s="16" t="s">
        <v>2374</v>
      </c>
      <c r="G2281" s="16">
        <v>4</v>
      </c>
      <c r="H2281" s="16" t="s">
        <v>28</v>
      </c>
      <c r="I2281" s="16">
        <v>3850</v>
      </c>
      <c r="J2281" s="16">
        <f t="shared" si="457"/>
        <v>15400</v>
      </c>
      <c r="K2281" s="16">
        <v>4</v>
      </c>
      <c r="L2281" s="16" t="s">
        <v>28</v>
      </c>
      <c r="M2281" s="16" t="s">
        <v>91</v>
      </c>
      <c r="N2281" s="16" t="s">
        <v>2437</v>
      </c>
      <c r="O2281" s="16">
        <v>4</v>
      </c>
      <c r="P2281" s="16">
        <v>3850</v>
      </c>
      <c r="Q2281" s="16">
        <f>O2281*P2281</f>
        <v>15400</v>
      </c>
      <c r="R2281" s="18">
        <v>0</v>
      </c>
      <c r="S2281" s="16">
        <f>Q2281*R2281</f>
        <v>0</v>
      </c>
      <c r="T2281" s="16">
        <f>Q2281+S2281</f>
        <v>15400</v>
      </c>
      <c r="U2281" s="16" t="s">
        <v>2675</v>
      </c>
      <c r="V2281" s="19">
        <v>46334</v>
      </c>
    </row>
    <row r="2282" spans="1:23" x14ac:dyDescent="0.3">
      <c r="A2282" s="1"/>
      <c r="B2282" s="1"/>
      <c r="C2282" s="1"/>
      <c r="D2282" s="1"/>
      <c r="E2282" s="16" t="s">
        <v>123</v>
      </c>
      <c r="F2282" s="16" t="s">
        <v>2375</v>
      </c>
      <c r="G2282" s="16">
        <v>4</v>
      </c>
      <c r="H2282" s="16" t="s">
        <v>28</v>
      </c>
      <c r="I2282" s="16">
        <v>3780</v>
      </c>
      <c r="J2282" s="16">
        <f t="shared" si="457"/>
        <v>15120</v>
      </c>
      <c r="K2282" s="16">
        <v>4</v>
      </c>
      <c r="L2282" s="16" t="s">
        <v>28</v>
      </c>
      <c r="M2282" s="16" t="s">
        <v>91</v>
      </c>
      <c r="N2282" s="16" t="s">
        <v>2437</v>
      </c>
      <c r="O2282" s="16">
        <v>4</v>
      </c>
      <c r="P2282" s="16">
        <v>3780</v>
      </c>
      <c r="Q2282" s="16">
        <f t="shared" ref="Q2282:Q2295" si="485">O2282*P2282</f>
        <v>15120</v>
      </c>
      <c r="R2282" s="18">
        <v>0</v>
      </c>
      <c r="S2282" s="16">
        <f t="shared" ref="S2282:S2295" si="486">Q2282*R2282</f>
        <v>0</v>
      </c>
      <c r="T2282" s="16">
        <f t="shared" ref="T2282:T2295" si="487">Q2282+S2282</f>
        <v>15120</v>
      </c>
      <c r="U2282" s="16" t="s">
        <v>2675</v>
      </c>
      <c r="V2282" s="19">
        <v>46334</v>
      </c>
    </row>
    <row r="2283" spans="1:23" x14ac:dyDescent="0.3">
      <c r="A2283" s="1"/>
      <c r="B2283" s="1"/>
      <c r="C2283" s="1"/>
      <c r="D2283" s="1"/>
      <c r="E2283" s="16" t="s">
        <v>123</v>
      </c>
      <c r="F2283" s="16" t="s">
        <v>2376</v>
      </c>
      <c r="G2283" s="16">
        <v>5</v>
      </c>
      <c r="H2283" s="16" t="s">
        <v>141</v>
      </c>
      <c r="I2283" s="16">
        <v>120</v>
      </c>
      <c r="J2283" s="16">
        <f t="shared" si="457"/>
        <v>600</v>
      </c>
      <c r="K2283" s="16">
        <v>5</v>
      </c>
      <c r="L2283" s="16" t="s">
        <v>141</v>
      </c>
      <c r="M2283" s="16" t="s">
        <v>91</v>
      </c>
      <c r="N2283" s="16" t="s">
        <v>2437</v>
      </c>
      <c r="O2283" s="16">
        <v>5</v>
      </c>
      <c r="P2283" s="16">
        <v>120</v>
      </c>
      <c r="Q2283" s="16">
        <f t="shared" si="485"/>
        <v>600</v>
      </c>
      <c r="R2283" s="18">
        <v>0</v>
      </c>
      <c r="S2283" s="16">
        <f t="shared" si="486"/>
        <v>0</v>
      </c>
      <c r="T2283" s="16">
        <f t="shared" si="487"/>
        <v>600</v>
      </c>
      <c r="U2283" s="16" t="s">
        <v>2675</v>
      </c>
      <c r="V2283" s="19">
        <v>46334</v>
      </c>
    </row>
    <row r="2284" spans="1:23" x14ac:dyDescent="0.3">
      <c r="A2284" s="1"/>
      <c r="B2284" s="1"/>
      <c r="C2284" s="1"/>
      <c r="D2284" s="1"/>
      <c r="E2284" s="16" t="s">
        <v>123</v>
      </c>
      <c r="F2284" s="16" t="s">
        <v>2377</v>
      </c>
      <c r="G2284" s="16">
        <v>40</v>
      </c>
      <c r="H2284" s="16" t="s">
        <v>252</v>
      </c>
      <c r="I2284" s="16">
        <v>280</v>
      </c>
      <c r="J2284" s="16">
        <f t="shared" si="457"/>
        <v>11200</v>
      </c>
      <c r="K2284" s="16">
        <v>40</v>
      </c>
      <c r="L2284" s="16" t="s">
        <v>252</v>
      </c>
      <c r="M2284" s="16" t="s">
        <v>91</v>
      </c>
      <c r="N2284" s="16" t="s">
        <v>2437</v>
      </c>
      <c r="O2284" s="16">
        <v>40</v>
      </c>
      <c r="P2284" s="16">
        <v>280</v>
      </c>
      <c r="Q2284" s="16">
        <f t="shared" si="485"/>
        <v>11200</v>
      </c>
      <c r="R2284" s="18">
        <v>0</v>
      </c>
      <c r="S2284" s="16">
        <f t="shared" si="486"/>
        <v>0</v>
      </c>
      <c r="T2284" s="16">
        <f t="shared" si="487"/>
        <v>11200</v>
      </c>
      <c r="U2284" s="16" t="s">
        <v>2675</v>
      </c>
      <c r="V2284" s="19">
        <v>46334</v>
      </c>
    </row>
    <row r="2285" spans="1:23" x14ac:dyDescent="0.3">
      <c r="A2285" s="1"/>
      <c r="B2285" s="1"/>
      <c r="C2285" s="1"/>
      <c r="D2285" s="1"/>
      <c r="E2285" s="16" t="s">
        <v>123</v>
      </c>
      <c r="F2285" s="16" t="s">
        <v>2378</v>
      </c>
      <c r="G2285" s="16">
        <v>32</v>
      </c>
      <c r="H2285" s="16" t="s">
        <v>28</v>
      </c>
      <c r="I2285" s="16">
        <v>325</v>
      </c>
      <c r="J2285" s="16">
        <f t="shared" si="457"/>
        <v>10400</v>
      </c>
      <c r="K2285" s="16">
        <v>32</v>
      </c>
      <c r="L2285" s="16" t="s">
        <v>28</v>
      </c>
      <c r="M2285" s="16" t="s">
        <v>91</v>
      </c>
      <c r="N2285" s="16" t="s">
        <v>2437</v>
      </c>
      <c r="O2285" s="16">
        <v>32</v>
      </c>
      <c r="P2285" s="16">
        <v>325</v>
      </c>
      <c r="Q2285" s="16">
        <f t="shared" si="485"/>
        <v>10400</v>
      </c>
      <c r="R2285" s="18">
        <v>0</v>
      </c>
      <c r="S2285" s="16">
        <f t="shared" si="486"/>
        <v>0</v>
      </c>
      <c r="T2285" s="16">
        <f t="shared" si="487"/>
        <v>10400</v>
      </c>
      <c r="U2285" s="16" t="s">
        <v>2675</v>
      </c>
      <c r="V2285" s="19">
        <v>46334</v>
      </c>
    </row>
    <row r="2286" spans="1:23" x14ac:dyDescent="0.3">
      <c r="A2286" s="1"/>
      <c r="B2286" s="1"/>
      <c r="C2286" s="1"/>
      <c r="D2286" s="1"/>
      <c r="E2286" s="16" t="s">
        <v>123</v>
      </c>
      <c r="F2286" s="39" t="s">
        <v>2379</v>
      </c>
      <c r="G2286" s="16">
        <v>2</v>
      </c>
      <c r="H2286" s="16" t="s">
        <v>28</v>
      </c>
      <c r="I2286" s="16">
        <v>6500</v>
      </c>
      <c r="J2286" s="16">
        <f t="shared" si="457"/>
        <v>13000</v>
      </c>
      <c r="K2286" s="16"/>
      <c r="L2286" s="16"/>
      <c r="M2286" s="16"/>
      <c r="N2286" s="16"/>
      <c r="O2286" s="16">
        <v>2</v>
      </c>
      <c r="P2286" s="16">
        <v>6500</v>
      </c>
      <c r="Q2286" s="16">
        <f t="shared" si="485"/>
        <v>13000</v>
      </c>
      <c r="R2286" s="18">
        <v>0</v>
      </c>
      <c r="S2286" s="16">
        <f t="shared" si="486"/>
        <v>0</v>
      </c>
      <c r="T2286" s="16">
        <f t="shared" si="487"/>
        <v>13000</v>
      </c>
      <c r="U2286" s="16" t="s">
        <v>2675</v>
      </c>
      <c r="V2286" s="19">
        <v>46334</v>
      </c>
    </row>
    <row r="2287" spans="1:23" x14ac:dyDescent="0.3">
      <c r="A2287" s="1"/>
      <c r="B2287" s="1"/>
      <c r="C2287" s="1"/>
      <c r="D2287" s="1"/>
      <c r="E2287" s="16" t="s">
        <v>123</v>
      </c>
      <c r="F2287" s="39" t="s">
        <v>2380</v>
      </c>
      <c r="G2287" s="16">
        <v>40</v>
      </c>
      <c r="H2287" s="16" t="s">
        <v>252</v>
      </c>
      <c r="I2287" s="16">
        <v>325</v>
      </c>
      <c r="J2287" s="16">
        <f t="shared" si="457"/>
        <v>13000</v>
      </c>
      <c r="K2287" s="16" t="s">
        <v>2590</v>
      </c>
      <c r="L2287" s="16"/>
      <c r="M2287" s="16" t="s">
        <v>91</v>
      </c>
      <c r="N2287" s="16" t="s">
        <v>2589</v>
      </c>
      <c r="O2287" s="16">
        <v>40</v>
      </c>
      <c r="P2287" s="16">
        <v>325</v>
      </c>
      <c r="Q2287" s="16">
        <f t="shared" si="485"/>
        <v>13000</v>
      </c>
      <c r="R2287" s="18">
        <v>0</v>
      </c>
      <c r="S2287" s="16">
        <f t="shared" si="486"/>
        <v>0</v>
      </c>
      <c r="T2287" s="16">
        <f t="shared" si="487"/>
        <v>13000</v>
      </c>
      <c r="U2287" s="16" t="s">
        <v>2675</v>
      </c>
      <c r="V2287" s="19">
        <v>46334</v>
      </c>
    </row>
    <row r="2288" spans="1:23" x14ac:dyDescent="0.3">
      <c r="A2288" s="1"/>
      <c r="B2288" s="1"/>
      <c r="C2288" s="1"/>
      <c r="D2288" s="1"/>
      <c r="E2288" s="16" t="s">
        <v>123</v>
      </c>
      <c r="F2288" s="16" t="s">
        <v>2381</v>
      </c>
      <c r="G2288" s="16">
        <v>40</v>
      </c>
      <c r="H2288" s="16" t="s">
        <v>252</v>
      </c>
      <c r="I2288" s="16">
        <v>265</v>
      </c>
      <c r="J2288" s="16">
        <f t="shared" si="457"/>
        <v>10600</v>
      </c>
      <c r="K2288" s="16"/>
      <c r="L2288" s="16"/>
      <c r="M2288" s="16"/>
      <c r="N2288" s="16"/>
      <c r="O2288" s="16">
        <v>40</v>
      </c>
      <c r="P2288" s="16">
        <v>265</v>
      </c>
      <c r="Q2288" s="16">
        <f t="shared" si="485"/>
        <v>10600</v>
      </c>
      <c r="R2288" s="18">
        <v>0</v>
      </c>
      <c r="S2288" s="16">
        <f t="shared" si="486"/>
        <v>0</v>
      </c>
      <c r="T2288" s="16">
        <f t="shared" si="487"/>
        <v>10600</v>
      </c>
      <c r="U2288" s="16" t="s">
        <v>2675</v>
      </c>
      <c r="V2288" s="19">
        <v>46334</v>
      </c>
    </row>
    <row r="2289" spans="1:23" x14ac:dyDescent="0.3">
      <c r="A2289" s="1"/>
      <c r="B2289" s="1"/>
      <c r="C2289" s="1"/>
      <c r="D2289" s="1"/>
      <c r="E2289" s="16" t="s">
        <v>123</v>
      </c>
      <c r="F2289" s="16" t="s">
        <v>2382</v>
      </c>
      <c r="G2289" s="16">
        <v>2</v>
      </c>
      <c r="H2289" s="16" t="s">
        <v>87</v>
      </c>
      <c r="I2289" s="16">
        <v>5200</v>
      </c>
      <c r="J2289" s="16">
        <f t="shared" si="457"/>
        <v>10400</v>
      </c>
      <c r="K2289" s="16"/>
      <c r="L2289" s="16"/>
      <c r="M2289" s="16"/>
      <c r="N2289" s="16"/>
      <c r="O2289" s="16">
        <v>2</v>
      </c>
      <c r="P2289" s="16">
        <v>5200</v>
      </c>
      <c r="Q2289" s="16">
        <f t="shared" si="485"/>
        <v>10400</v>
      </c>
      <c r="R2289" s="18">
        <v>0</v>
      </c>
      <c r="S2289" s="16">
        <f t="shared" si="486"/>
        <v>0</v>
      </c>
      <c r="T2289" s="16">
        <f t="shared" si="487"/>
        <v>10400</v>
      </c>
      <c r="U2289" s="16" t="s">
        <v>2675</v>
      </c>
      <c r="V2289" s="19">
        <v>46334</v>
      </c>
    </row>
    <row r="2290" spans="1:23" x14ac:dyDescent="0.3">
      <c r="A2290" s="1"/>
      <c r="B2290" s="1"/>
      <c r="C2290" s="1"/>
      <c r="D2290" s="1"/>
      <c r="E2290" s="16" t="s">
        <v>123</v>
      </c>
      <c r="F2290" s="16" t="s">
        <v>2383</v>
      </c>
      <c r="G2290" s="16">
        <v>2</v>
      </c>
      <c r="H2290" s="16" t="s">
        <v>87</v>
      </c>
      <c r="I2290" s="16">
        <v>301</v>
      </c>
      <c r="J2290" s="16">
        <f t="shared" si="457"/>
        <v>602</v>
      </c>
      <c r="K2290" s="16"/>
      <c r="L2290" s="16"/>
      <c r="M2290" s="16"/>
      <c r="N2290" s="16"/>
      <c r="O2290" s="16">
        <v>2</v>
      </c>
      <c r="P2290" s="16">
        <v>301</v>
      </c>
      <c r="Q2290" s="16">
        <f t="shared" si="485"/>
        <v>602</v>
      </c>
      <c r="R2290" s="18">
        <v>0</v>
      </c>
      <c r="S2290" s="16">
        <f t="shared" si="486"/>
        <v>0</v>
      </c>
      <c r="T2290" s="16">
        <f t="shared" si="487"/>
        <v>602</v>
      </c>
      <c r="U2290" s="16" t="s">
        <v>2675</v>
      </c>
      <c r="V2290" s="19">
        <v>46334</v>
      </c>
    </row>
    <row r="2291" spans="1:23" x14ac:dyDescent="0.3">
      <c r="A2291" s="1"/>
      <c r="B2291" s="1"/>
      <c r="C2291" s="1"/>
      <c r="D2291" s="1"/>
      <c r="E2291" s="16" t="s">
        <v>123</v>
      </c>
      <c r="F2291" s="16" t="s">
        <v>2384</v>
      </c>
      <c r="G2291" s="16">
        <v>225</v>
      </c>
      <c r="H2291" s="16" t="s">
        <v>252</v>
      </c>
      <c r="I2291" s="16">
        <v>100</v>
      </c>
      <c r="J2291" s="16">
        <f t="shared" si="457"/>
        <v>22500</v>
      </c>
      <c r="K2291" s="16"/>
      <c r="L2291" s="16"/>
      <c r="M2291" s="16"/>
      <c r="N2291" s="16"/>
      <c r="O2291" s="16">
        <v>225</v>
      </c>
      <c r="P2291" s="16">
        <v>100</v>
      </c>
      <c r="Q2291" s="16">
        <f t="shared" si="485"/>
        <v>22500</v>
      </c>
      <c r="R2291" s="18">
        <v>0</v>
      </c>
      <c r="S2291" s="16">
        <f t="shared" si="486"/>
        <v>0</v>
      </c>
      <c r="T2291" s="16">
        <f t="shared" si="487"/>
        <v>22500</v>
      </c>
      <c r="U2291" s="16" t="s">
        <v>2675</v>
      </c>
      <c r="V2291" s="19">
        <v>46334</v>
      </c>
    </row>
    <row r="2292" spans="1:23" x14ac:dyDescent="0.3">
      <c r="A2292" s="1"/>
      <c r="B2292" s="1"/>
      <c r="C2292" s="1"/>
      <c r="D2292" s="1"/>
      <c r="E2292" s="16" t="s">
        <v>123</v>
      </c>
      <c r="F2292" s="16" t="s">
        <v>2385</v>
      </c>
      <c r="G2292" s="16">
        <v>225</v>
      </c>
      <c r="H2292" s="16" t="s">
        <v>252</v>
      </c>
      <c r="I2292" s="16">
        <v>25</v>
      </c>
      <c r="J2292" s="16">
        <f t="shared" si="457"/>
        <v>5625</v>
      </c>
      <c r="K2292" s="16">
        <v>4</v>
      </c>
      <c r="L2292" s="16" t="s">
        <v>53</v>
      </c>
      <c r="M2292" s="16" t="s">
        <v>91</v>
      </c>
      <c r="N2292" s="16" t="s">
        <v>2684</v>
      </c>
      <c r="O2292" s="16">
        <v>225</v>
      </c>
      <c r="P2292" s="16">
        <v>25</v>
      </c>
      <c r="Q2292" s="16">
        <f t="shared" si="485"/>
        <v>5625</v>
      </c>
      <c r="R2292" s="18">
        <v>0</v>
      </c>
      <c r="S2292" s="16">
        <f t="shared" si="486"/>
        <v>0</v>
      </c>
      <c r="T2292" s="16">
        <f t="shared" si="487"/>
        <v>5625</v>
      </c>
      <c r="U2292" s="16" t="s">
        <v>2675</v>
      </c>
      <c r="V2292" s="19">
        <v>46334</v>
      </c>
    </row>
    <row r="2293" spans="1:23" ht="25.2" x14ac:dyDescent="0.3">
      <c r="A2293" s="1"/>
      <c r="B2293" s="1"/>
      <c r="C2293" s="1"/>
      <c r="D2293" s="1"/>
      <c r="E2293" s="16" t="s">
        <v>123</v>
      </c>
      <c r="F2293" s="39" t="s">
        <v>2386</v>
      </c>
      <c r="G2293" s="16">
        <v>4</v>
      </c>
      <c r="H2293" s="16" t="s">
        <v>28</v>
      </c>
      <c r="I2293" s="16">
        <v>58600</v>
      </c>
      <c r="J2293" s="16">
        <f t="shared" si="457"/>
        <v>234400</v>
      </c>
      <c r="K2293" s="16">
        <v>4</v>
      </c>
      <c r="L2293" s="16" t="s">
        <v>28</v>
      </c>
      <c r="M2293" s="16" t="s">
        <v>91</v>
      </c>
      <c r="N2293" s="16" t="s">
        <v>2438</v>
      </c>
      <c r="O2293" s="16">
        <v>4</v>
      </c>
      <c r="P2293" s="16">
        <v>58600</v>
      </c>
      <c r="Q2293" s="16">
        <f t="shared" si="485"/>
        <v>234400</v>
      </c>
      <c r="R2293" s="18">
        <v>0</v>
      </c>
      <c r="S2293" s="16">
        <f t="shared" si="486"/>
        <v>0</v>
      </c>
      <c r="T2293" s="16">
        <f t="shared" si="487"/>
        <v>234400</v>
      </c>
      <c r="U2293" s="16" t="s">
        <v>2675</v>
      </c>
      <c r="V2293" s="19">
        <v>46334</v>
      </c>
    </row>
    <row r="2294" spans="1:23" x14ac:dyDescent="0.3">
      <c r="A2294" s="1"/>
      <c r="B2294" s="1"/>
      <c r="C2294" s="1"/>
      <c r="D2294" s="1"/>
      <c r="E2294" s="16" t="s">
        <v>123</v>
      </c>
      <c r="F2294" s="16" t="s">
        <v>2387</v>
      </c>
      <c r="G2294" s="16">
        <v>15</v>
      </c>
      <c r="H2294" s="16" t="s">
        <v>28</v>
      </c>
      <c r="I2294" s="16">
        <v>850</v>
      </c>
      <c r="J2294" s="16">
        <f t="shared" si="457"/>
        <v>12750</v>
      </c>
      <c r="K2294" s="16" t="s">
        <v>2576</v>
      </c>
      <c r="L2294" s="16"/>
      <c r="M2294" s="16" t="s">
        <v>91</v>
      </c>
      <c r="N2294" s="16" t="s">
        <v>2577</v>
      </c>
      <c r="O2294" s="16">
        <v>15</v>
      </c>
      <c r="P2294" s="16">
        <v>850</v>
      </c>
      <c r="Q2294" s="16">
        <f t="shared" si="485"/>
        <v>12750</v>
      </c>
      <c r="R2294" s="18">
        <v>0</v>
      </c>
      <c r="S2294" s="16">
        <f t="shared" si="486"/>
        <v>0</v>
      </c>
      <c r="T2294" s="16">
        <f t="shared" si="487"/>
        <v>12750</v>
      </c>
      <c r="U2294" s="16" t="s">
        <v>2675</v>
      </c>
      <c r="V2294" s="19">
        <v>46334</v>
      </c>
    </row>
    <row r="2295" spans="1:23" x14ac:dyDescent="0.3">
      <c r="A2295" s="1"/>
      <c r="B2295" s="1"/>
      <c r="C2295" s="1"/>
      <c r="D2295" s="1"/>
      <c r="E2295" s="16" t="s">
        <v>123</v>
      </c>
      <c r="F2295" s="16" t="s">
        <v>2388</v>
      </c>
      <c r="G2295" s="16">
        <v>2</v>
      </c>
      <c r="H2295" s="16" t="s">
        <v>28</v>
      </c>
      <c r="I2295" s="16">
        <v>17202</v>
      </c>
      <c r="J2295" s="16">
        <f t="shared" si="457"/>
        <v>34404</v>
      </c>
      <c r="K2295" s="16">
        <v>2</v>
      </c>
      <c r="L2295" s="16" t="s">
        <v>28</v>
      </c>
      <c r="M2295" s="16" t="s">
        <v>91</v>
      </c>
      <c r="N2295" s="16" t="s">
        <v>2575</v>
      </c>
      <c r="O2295" s="16">
        <v>2</v>
      </c>
      <c r="P2295" s="16">
        <v>17202</v>
      </c>
      <c r="Q2295" s="16">
        <f t="shared" si="485"/>
        <v>34404</v>
      </c>
      <c r="R2295" s="18">
        <v>0</v>
      </c>
      <c r="S2295" s="16">
        <f t="shared" si="486"/>
        <v>0</v>
      </c>
      <c r="T2295" s="16">
        <f t="shared" si="487"/>
        <v>34404</v>
      </c>
      <c r="U2295" s="16" t="s">
        <v>2675</v>
      </c>
      <c r="V2295" s="19">
        <v>46334</v>
      </c>
    </row>
    <row r="2296" spans="1:23" x14ac:dyDescent="0.3">
      <c r="A2296" s="1"/>
      <c r="B2296" s="1"/>
      <c r="C2296" s="1"/>
      <c r="D2296" s="1"/>
      <c r="E2296" s="1"/>
      <c r="F2296" s="124" t="s">
        <v>39</v>
      </c>
      <c r="G2296" s="1"/>
      <c r="H2296" s="1"/>
      <c r="I2296" s="1"/>
      <c r="J2296" s="124">
        <f>SUM(J2281:J2295)</f>
        <v>410001</v>
      </c>
      <c r="K2296" s="1"/>
      <c r="L2296" s="1"/>
      <c r="M2296" s="1"/>
      <c r="N2296" s="1"/>
      <c r="O2296" s="1"/>
      <c r="P2296" s="1"/>
      <c r="Q2296" s="1"/>
      <c r="R2296" s="1"/>
      <c r="S2296" s="1"/>
      <c r="T2296" s="1"/>
      <c r="U2296" s="1"/>
      <c r="V2296" s="1"/>
    </row>
    <row r="2297" spans="1:23" x14ac:dyDescent="0.3">
      <c r="A2297" s="1"/>
      <c r="B2297" s="1"/>
      <c r="C2297" s="1"/>
      <c r="D2297" s="1"/>
      <c r="E2297" s="1"/>
      <c r="F2297" s="124" t="s">
        <v>599</v>
      </c>
      <c r="G2297" s="1"/>
      <c r="H2297" s="1"/>
      <c r="I2297" s="1"/>
      <c r="J2297" s="124">
        <f>J2296*0/100</f>
        <v>0</v>
      </c>
      <c r="K2297" s="1"/>
      <c r="L2297" s="1"/>
      <c r="M2297" s="1"/>
      <c r="N2297" s="1"/>
      <c r="O2297" s="1"/>
      <c r="P2297" s="1"/>
      <c r="Q2297" s="1"/>
      <c r="R2297" s="1"/>
      <c r="S2297" s="1"/>
      <c r="T2297" s="1"/>
      <c r="U2297" s="1"/>
      <c r="V2297" s="1"/>
    </row>
    <row r="2298" spans="1:23" x14ac:dyDescent="0.3">
      <c r="A2298" s="1"/>
      <c r="B2298" s="1"/>
      <c r="C2298" s="1"/>
      <c r="D2298" s="1"/>
      <c r="E2298" s="1"/>
      <c r="F2298" s="124" t="s">
        <v>41</v>
      </c>
      <c r="G2298" s="1"/>
      <c r="H2298" s="1"/>
      <c r="I2298" s="1"/>
      <c r="J2298" s="124">
        <f>SUM(J2296:J2297)</f>
        <v>410001</v>
      </c>
      <c r="K2298" s="1"/>
      <c r="L2298" s="1"/>
      <c r="M2298" s="1"/>
      <c r="N2298" s="1"/>
      <c r="O2298" s="1"/>
      <c r="P2298" s="1"/>
      <c r="Q2298" s="1"/>
      <c r="R2298" s="1"/>
      <c r="S2298" s="1"/>
      <c r="T2298" s="1">
        <f>SUM(T2281:T2297)</f>
        <v>410001</v>
      </c>
      <c r="U2298" s="1"/>
      <c r="V2298" s="1"/>
    </row>
    <row r="2299" spans="1:23" x14ac:dyDescent="0.3">
      <c r="A2299" s="1"/>
      <c r="B2299" s="1"/>
      <c r="C2299" s="1"/>
      <c r="D2299" s="1"/>
      <c r="E2299" s="1"/>
      <c r="F2299" s="124"/>
      <c r="G2299" s="1"/>
      <c r="H2299" s="1"/>
      <c r="I2299" s="1"/>
      <c r="J2299" s="124"/>
      <c r="K2299" s="1"/>
      <c r="L2299" s="1"/>
      <c r="M2299" s="1"/>
      <c r="N2299" s="1"/>
      <c r="O2299" s="1"/>
      <c r="P2299" s="1"/>
      <c r="Q2299" s="1"/>
      <c r="R2299" s="1"/>
      <c r="S2299" s="1"/>
      <c r="T2299" s="1"/>
      <c r="U2299" s="1"/>
      <c r="V2299" s="1"/>
    </row>
    <row r="2300" spans="1:23" ht="63" x14ac:dyDescent="0.3">
      <c r="A2300" s="16">
        <v>211</v>
      </c>
      <c r="B2300" s="16">
        <v>9200166656</v>
      </c>
      <c r="C2300" s="16" t="s">
        <v>2448</v>
      </c>
      <c r="D2300" s="16" t="s">
        <v>43</v>
      </c>
      <c r="E2300" s="16" t="s">
        <v>123</v>
      </c>
      <c r="F2300" s="39" t="s">
        <v>2400</v>
      </c>
      <c r="G2300" s="16">
        <v>20</v>
      </c>
      <c r="H2300" s="16" t="s">
        <v>28</v>
      </c>
      <c r="I2300" s="16">
        <v>2050</v>
      </c>
      <c r="J2300" s="16">
        <f t="shared" si="457"/>
        <v>41000</v>
      </c>
      <c r="K2300" s="16"/>
      <c r="L2300" s="16"/>
      <c r="M2300" s="16"/>
      <c r="N2300" s="16"/>
      <c r="O2300" s="16">
        <v>20</v>
      </c>
      <c r="P2300" s="16">
        <v>2050</v>
      </c>
      <c r="Q2300" s="16">
        <f>O2300*P2300</f>
        <v>41000</v>
      </c>
      <c r="R2300" s="18">
        <v>0.18</v>
      </c>
      <c r="S2300" s="16">
        <f>Q2300*R2300</f>
        <v>7380</v>
      </c>
      <c r="T2300" s="16">
        <f>Q2300+S2300</f>
        <v>48380</v>
      </c>
      <c r="U2300" s="16" t="s">
        <v>2467</v>
      </c>
      <c r="V2300" s="19" t="s">
        <v>2468</v>
      </c>
      <c r="W2300" s="136" t="s">
        <v>2472</v>
      </c>
    </row>
    <row r="2301" spans="1:23" x14ac:dyDescent="0.3">
      <c r="A2301" s="1"/>
      <c r="B2301" s="101" t="s">
        <v>2449</v>
      </c>
      <c r="C2301" s="1"/>
      <c r="D2301" s="1"/>
      <c r="E2301" s="1"/>
      <c r="F2301" s="124" t="s">
        <v>39</v>
      </c>
      <c r="G2301" s="1"/>
      <c r="H2301" s="1"/>
      <c r="I2301" s="1"/>
      <c r="J2301" s="124">
        <f>SUM(J2300)</f>
        <v>41000</v>
      </c>
      <c r="K2301" s="1"/>
      <c r="L2301" s="1"/>
      <c r="M2301" s="1"/>
      <c r="N2301" s="1"/>
      <c r="O2301" s="1"/>
      <c r="P2301" s="1"/>
      <c r="Q2301" s="1"/>
      <c r="R2301" s="1"/>
      <c r="S2301" s="1"/>
      <c r="T2301" s="1"/>
      <c r="U2301" s="1"/>
      <c r="V2301" s="1"/>
    </row>
    <row r="2302" spans="1:23" x14ac:dyDescent="0.3">
      <c r="A2302" s="1"/>
      <c r="B2302" s="1"/>
      <c r="C2302" s="1"/>
      <c r="D2302" s="1"/>
      <c r="E2302" s="1"/>
      <c r="F2302" s="124" t="s">
        <v>187</v>
      </c>
      <c r="G2302" s="1"/>
      <c r="H2302" s="1"/>
      <c r="I2302" s="1"/>
      <c r="J2302" s="124">
        <f>J2301*18/100</f>
        <v>7380</v>
      </c>
      <c r="K2302" s="1"/>
      <c r="L2302" s="1"/>
      <c r="M2302" s="1"/>
      <c r="N2302" s="1"/>
      <c r="O2302" s="1"/>
      <c r="P2302" s="1"/>
      <c r="Q2302" s="1"/>
      <c r="R2302" s="1"/>
      <c r="S2302" s="1"/>
      <c r="T2302" s="1"/>
      <c r="U2302" s="1"/>
      <c r="V2302" s="1"/>
    </row>
    <row r="2303" spans="1:23" x14ac:dyDescent="0.3">
      <c r="A2303" s="1"/>
      <c r="B2303" s="1"/>
      <c r="C2303" s="1"/>
      <c r="D2303" s="1"/>
      <c r="E2303" s="1"/>
      <c r="F2303" s="124" t="s">
        <v>41</v>
      </c>
      <c r="G2303" s="1"/>
      <c r="H2303" s="1"/>
      <c r="I2303" s="1"/>
      <c r="J2303" s="124">
        <f>SUM(J2301:J2302)</f>
        <v>48380</v>
      </c>
      <c r="K2303" s="1"/>
      <c r="L2303" s="1"/>
      <c r="M2303" s="1"/>
      <c r="N2303" s="1"/>
      <c r="O2303" s="1"/>
      <c r="P2303" s="1"/>
      <c r="Q2303" s="1"/>
      <c r="R2303" s="1"/>
      <c r="S2303" s="1"/>
      <c r="T2303" s="1">
        <f>SUM(T2300:T2302)</f>
        <v>48380</v>
      </c>
      <c r="U2303" s="1"/>
      <c r="V2303" s="1"/>
    </row>
    <row r="2304" spans="1:23" x14ac:dyDescent="0.3">
      <c r="A2304" s="1"/>
      <c r="B2304" s="1"/>
      <c r="C2304" s="1"/>
      <c r="D2304" s="1"/>
      <c r="E2304" s="1"/>
      <c r="F2304" s="124"/>
      <c r="G2304" s="1"/>
      <c r="H2304" s="1"/>
      <c r="I2304" s="1"/>
      <c r="J2304" s="124"/>
      <c r="K2304" s="1"/>
      <c r="L2304" s="1"/>
      <c r="M2304" s="1"/>
      <c r="N2304" s="1"/>
      <c r="O2304" s="1"/>
      <c r="P2304" s="1"/>
      <c r="Q2304" s="1"/>
      <c r="R2304" s="1"/>
      <c r="S2304" s="1"/>
      <c r="T2304" s="1"/>
      <c r="U2304" s="1"/>
      <c r="V2304" s="1"/>
    </row>
    <row r="2305" spans="1:23" x14ac:dyDescent="0.3">
      <c r="A2305" s="1">
        <v>212</v>
      </c>
      <c r="B2305" s="1">
        <v>9200166718</v>
      </c>
      <c r="C2305" s="1" t="s">
        <v>2410</v>
      </c>
      <c r="D2305" s="1" t="s">
        <v>43</v>
      </c>
      <c r="E2305" s="1" t="s">
        <v>123</v>
      </c>
      <c r="F2305" s="1" t="s">
        <v>2402</v>
      </c>
      <c r="G2305" s="1">
        <v>250</v>
      </c>
      <c r="H2305" s="1" t="s">
        <v>111</v>
      </c>
      <c r="I2305" s="1">
        <v>395</v>
      </c>
      <c r="J2305" s="1">
        <f t="shared" si="457"/>
        <v>98750</v>
      </c>
      <c r="K2305" s="1"/>
      <c r="L2305" s="1"/>
      <c r="M2305" s="1"/>
      <c r="N2305" s="1"/>
      <c r="O2305" s="1"/>
      <c r="P2305" s="1"/>
      <c r="Q2305" s="1"/>
      <c r="R2305" s="1"/>
      <c r="S2305" s="1"/>
      <c r="T2305" s="1"/>
      <c r="U2305" s="1"/>
      <c r="V2305" s="1"/>
    </row>
    <row r="2306" spans="1:23" x14ac:dyDescent="0.3">
      <c r="A2306" s="1"/>
      <c r="B2306" s="1" t="s">
        <v>2419</v>
      </c>
      <c r="C2306" s="1"/>
      <c r="D2306" s="1"/>
      <c r="E2306" s="16" t="s">
        <v>123</v>
      </c>
      <c r="F2306" s="39" t="s">
        <v>2403</v>
      </c>
      <c r="G2306" s="16">
        <v>200</v>
      </c>
      <c r="H2306" s="16" t="s">
        <v>111</v>
      </c>
      <c r="I2306" s="16">
        <v>810</v>
      </c>
      <c r="J2306" s="16">
        <f t="shared" si="457"/>
        <v>162000</v>
      </c>
      <c r="K2306" s="16">
        <v>50</v>
      </c>
      <c r="L2306" s="16" t="s">
        <v>111</v>
      </c>
      <c r="M2306" s="16" t="s">
        <v>91</v>
      </c>
      <c r="N2306" s="16" t="s">
        <v>2475</v>
      </c>
      <c r="O2306" s="119">
        <v>38.25</v>
      </c>
      <c r="P2306" s="16">
        <v>810</v>
      </c>
      <c r="Q2306" s="16">
        <f>O2306*P2306</f>
        <v>30982.5</v>
      </c>
      <c r="R2306" s="18">
        <v>0.18</v>
      </c>
      <c r="S2306" s="16">
        <f>Q2306*R2306</f>
        <v>5576.8499999999995</v>
      </c>
      <c r="T2306" s="16">
        <f>Q2306+S2306</f>
        <v>36559.35</v>
      </c>
      <c r="U2306" s="16" t="s">
        <v>2499</v>
      </c>
      <c r="V2306" s="19">
        <v>46180</v>
      </c>
      <c r="W2306" s="136" t="s">
        <v>2555</v>
      </c>
    </row>
    <row r="2307" spans="1:23" x14ac:dyDescent="0.3">
      <c r="A2307" s="1"/>
      <c r="B2307" s="1"/>
      <c r="C2307" s="1"/>
      <c r="D2307" s="1"/>
      <c r="E2307" s="1"/>
      <c r="F2307" s="124" t="s">
        <v>39</v>
      </c>
      <c r="G2307" s="1"/>
      <c r="H2307" s="1"/>
      <c r="I2307" s="1"/>
      <c r="J2307" s="124">
        <f>SUM(J2305:J2306)</f>
        <v>260750</v>
      </c>
      <c r="K2307" s="1"/>
      <c r="L2307" s="1"/>
      <c r="M2307" s="1"/>
      <c r="N2307" s="1"/>
      <c r="O2307" s="1"/>
      <c r="P2307" s="1"/>
      <c r="Q2307" s="1"/>
      <c r="R2307" s="1"/>
      <c r="S2307" s="1"/>
      <c r="T2307" s="1"/>
      <c r="U2307" s="1"/>
      <c r="V2307" s="1"/>
    </row>
    <row r="2308" spans="1:23" x14ac:dyDescent="0.3">
      <c r="A2308" s="1"/>
      <c r="B2308" s="1"/>
      <c r="C2308" s="1"/>
      <c r="D2308" s="1"/>
      <c r="E2308" s="1"/>
      <c r="F2308" s="124" t="s">
        <v>187</v>
      </c>
      <c r="G2308" s="1"/>
      <c r="H2308" s="1"/>
      <c r="I2308" s="1"/>
      <c r="J2308" s="124">
        <f>J2307*18/100</f>
        <v>46935</v>
      </c>
      <c r="K2308" s="1"/>
      <c r="L2308" s="1"/>
      <c r="M2308" s="1"/>
      <c r="N2308" s="1"/>
      <c r="O2308" s="1"/>
      <c r="P2308" s="1"/>
      <c r="Q2308" s="1"/>
      <c r="R2308" s="1"/>
      <c r="S2308" s="1"/>
      <c r="T2308" s="1"/>
      <c r="U2308" s="1"/>
      <c r="V2308" s="1"/>
    </row>
    <row r="2309" spans="1:23" x14ac:dyDescent="0.3">
      <c r="A2309" s="1"/>
      <c r="B2309" s="1"/>
      <c r="C2309" s="1"/>
      <c r="D2309" s="1"/>
      <c r="E2309" s="1"/>
      <c r="F2309" s="124" t="s">
        <v>41</v>
      </c>
      <c r="G2309" s="1"/>
      <c r="H2309" s="1"/>
      <c r="I2309" s="1"/>
      <c r="J2309" s="124">
        <f>SUM(J2307:J2308)</f>
        <v>307685</v>
      </c>
      <c r="K2309" s="1"/>
      <c r="L2309" s="1"/>
      <c r="M2309" s="1"/>
      <c r="N2309" s="1"/>
      <c r="O2309" s="1"/>
      <c r="P2309" s="1"/>
      <c r="Q2309" s="1"/>
      <c r="R2309" s="1"/>
      <c r="S2309" s="1"/>
      <c r="T2309" s="1"/>
      <c r="U2309" s="1"/>
      <c r="V2309" s="1"/>
    </row>
    <row r="2310" spans="1:23" x14ac:dyDescent="0.3">
      <c r="A2310" s="1"/>
      <c r="B2310" s="1"/>
      <c r="C2310" s="1"/>
      <c r="D2310" s="1"/>
      <c r="E2310" s="1"/>
      <c r="F2310" s="1"/>
      <c r="G2310" s="1"/>
      <c r="H2310" s="1"/>
      <c r="I2310" s="1"/>
      <c r="J2310" s="1">
        <f t="shared" si="457"/>
        <v>0</v>
      </c>
      <c r="K2310" s="1"/>
      <c r="L2310" s="1"/>
      <c r="M2310" s="1"/>
      <c r="N2310" s="1"/>
      <c r="O2310" s="1"/>
      <c r="P2310" s="1"/>
      <c r="Q2310" s="1"/>
      <c r="R2310" s="1"/>
      <c r="S2310" s="1"/>
      <c r="T2310" s="1"/>
      <c r="U2310" s="1"/>
      <c r="V2310" s="1"/>
    </row>
    <row r="2311" spans="1:23" ht="50.4" x14ac:dyDescent="0.3">
      <c r="A2311" s="1">
        <v>213</v>
      </c>
      <c r="B2311" s="1" t="s">
        <v>2425</v>
      </c>
      <c r="C2311" s="37">
        <v>46028</v>
      </c>
      <c r="D2311" s="51" t="s">
        <v>2426</v>
      </c>
      <c r="E2311" s="1" t="s">
        <v>123</v>
      </c>
      <c r="F2311" s="22" t="s">
        <v>2434</v>
      </c>
      <c r="G2311" s="1">
        <v>176</v>
      </c>
      <c r="H2311" s="1" t="s">
        <v>2428</v>
      </c>
      <c r="I2311" s="1">
        <v>1689.02</v>
      </c>
      <c r="J2311" s="1">
        <f t="shared" si="457"/>
        <v>297267.52</v>
      </c>
      <c r="K2311" s="1"/>
      <c r="L2311" s="1"/>
      <c r="M2311" s="1"/>
      <c r="N2311" s="1"/>
      <c r="O2311" s="1"/>
      <c r="P2311" s="1"/>
      <c r="Q2311" s="1"/>
      <c r="R2311" s="1"/>
      <c r="S2311" s="1"/>
      <c r="T2311" s="1"/>
      <c r="U2311" s="1"/>
      <c r="V2311" s="1"/>
    </row>
    <row r="2312" spans="1:23" x14ac:dyDescent="0.3">
      <c r="A2312" s="1"/>
      <c r="B2312" s="1"/>
      <c r="C2312" s="1"/>
      <c r="D2312" s="1"/>
      <c r="E2312" s="1"/>
      <c r="F2312" s="124" t="s">
        <v>39</v>
      </c>
      <c r="G2312" s="1"/>
      <c r="H2312" s="1"/>
      <c r="I2312" s="1"/>
      <c r="J2312" s="124">
        <f>SUM(J2311)</f>
        <v>297267.52</v>
      </c>
      <c r="K2312" s="1"/>
      <c r="L2312" s="1"/>
      <c r="M2312" s="1"/>
      <c r="N2312" s="1"/>
      <c r="O2312" s="1"/>
      <c r="P2312" s="1"/>
      <c r="Q2312" s="1"/>
      <c r="R2312" s="1"/>
      <c r="S2312" s="1"/>
      <c r="T2312" s="1"/>
      <c r="U2312" s="1"/>
      <c r="V2312" s="1"/>
    </row>
    <row r="2313" spans="1:23" x14ac:dyDescent="0.3">
      <c r="A2313" s="1"/>
      <c r="B2313" s="1"/>
      <c r="C2313" s="1"/>
      <c r="D2313" s="1"/>
      <c r="E2313" s="1"/>
      <c r="F2313" s="124" t="s">
        <v>187</v>
      </c>
      <c r="G2313" s="1"/>
      <c r="H2313" s="1"/>
      <c r="I2313" s="1"/>
      <c r="J2313" s="124">
        <f>J2312*18/100</f>
        <v>53508.153600000005</v>
      </c>
      <c r="K2313" s="1"/>
      <c r="L2313" s="1"/>
      <c r="M2313" s="1"/>
      <c r="N2313" s="1"/>
      <c r="O2313" s="1"/>
      <c r="P2313" s="1"/>
      <c r="Q2313" s="1"/>
      <c r="R2313" s="1"/>
      <c r="S2313" s="1"/>
      <c r="T2313" s="1"/>
      <c r="U2313" s="1"/>
      <c r="V2313" s="1"/>
    </row>
    <row r="2314" spans="1:23" x14ac:dyDescent="0.3">
      <c r="A2314" s="1"/>
      <c r="B2314" s="1"/>
      <c r="C2314" s="1"/>
      <c r="D2314" s="1"/>
      <c r="E2314" s="1"/>
      <c r="F2314" s="124" t="s">
        <v>41</v>
      </c>
      <c r="G2314" s="1"/>
      <c r="H2314" s="1"/>
      <c r="I2314" s="1"/>
      <c r="J2314" s="124">
        <f>SUM(J2312:J2313)</f>
        <v>350775.67360000004</v>
      </c>
      <c r="K2314" s="1"/>
      <c r="L2314" s="1"/>
      <c r="M2314" s="1"/>
      <c r="N2314" s="1"/>
      <c r="O2314" s="1"/>
      <c r="P2314" s="1"/>
      <c r="Q2314" s="1"/>
      <c r="R2314" s="1"/>
      <c r="S2314" s="1"/>
      <c r="T2314" s="1"/>
      <c r="U2314" s="1"/>
      <c r="V2314" s="1"/>
    </row>
    <row r="2315" spans="1:23" x14ac:dyDescent="0.3">
      <c r="A2315" s="1"/>
      <c r="B2315" s="1"/>
      <c r="C2315" s="1"/>
      <c r="D2315" s="1"/>
      <c r="E2315" s="1"/>
      <c r="F2315" s="1"/>
      <c r="G2315" s="1"/>
      <c r="H2315" s="1"/>
      <c r="I2315" s="1"/>
      <c r="J2315" s="1">
        <f t="shared" si="457"/>
        <v>0</v>
      </c>
      <c r="K2315" s="1"/>
      <c r="L2315" s="1"/>
      <c r="M2315" s="1"/>
      <c r="N2315" s="1"/>
      <c r="O2315" s="1"/>
      <c r="P2315" s="1"/>
      <c r="Q2315" s="1"/>
      <c r="R2315" s="1"/>
      <c r="S2315" s="1"/>
      <c r="T2315" s="1"/>
      <c r="U2315" s="1"/>
      <c r="V2315" s="1"/>
    </row>
    <row r="2316" spans="1:23" ht="37.799999999999997" x14ac:dyDescent="0.3">
      <c r="A2316" s="16">
        <v>214</v>
      </c>
      <c r="B2316" s="16">
        <v>9200167922</v>
      </c>
      <c r="C2316" s="19">
        <v>46240</v>
      </c>
      <c r="D2316" s="16" t="s">
        <v>43</v>
      </c>
      <c r="E2316" s="16" t="s">
        <v>123</v>
      </c>
      <c r="F2316" s="39" t="s">
        <v>2436</v>
      </c>
      <c r="G2316" s="16">
        <v>19</v>
      </c>
      <c r="H2316" s="16" t="s">
        <v>28</v>
      </c>
      <c r="I2316" s="16">
        <v>1200</v>
      </c>
      <c r="J2316" s="16">
        <f t="shared" si="457"/>
        <v>22800</v>
      </c>
      <c r="K2316" s="16"/>
      <c r="L2316" s="16"/>
      <c r="M2316" s="16"/>
      <c r="N2316" s="16"/>
      <c r="O2316" s="16">
        <v>19</v>
      </c>
      <c r="P2316" s="16">
        <v>1200</v>
      </c>
      <c r="Q2316" s="16">
        <f>O2316*P2316</f>
        <v>22800</v>
      </c>
      <c r="R2316" s="18">
        <v>0</v>
      </c>
      <c r="S2316" s="16">
        <f>Q2316*R2316</f>
        <v>0</v>
      </c>
      <c r="T2316" s="16">
        <f>Q2316+S2316</f>
        <v>22800</v>
      </c>
      <c r="U2316" s="16" t="s">
        <v>2509</v>
      </c>
      <c r="V2316" s="19">
        <v>46241</v>
      </c>
      <c r="W2316" s="136" t="s">
        <v>2640</v>
      </c>
    </row>
    <row r="2317" spans="1:23" x14ac:dyDescent="0.3">
      <c r="A2317" s="1"/>
      <c r="B2317" s="1"/>
      <c r="C2317" s="1"/>
      <c r="D2317" s="1"/>
      <c r="E2317" s="1"/>
      <c r="F2317" s="124" t="s">
        <v>39</v>
      </c>
      <c r="G2317" s="1"/>
      <c r="H2317" s="1"/>
      <c r="I2317" s="1"/>
      <c r="J2317" s="124">
        <f>SUM(J2316:J2316)</f>
        <v>22800</v>
      </c>
      <c r="K2317" s="1"/>
      <c r="L2317" s="1"/>
      <c r="M2317" s="1"/>
      <c r="N2317" s="1"/>
      <c r="O2317" s="1"/>
      <c r="P2317" s="1"/>
      <c r="Q2317" s="1"/>
      <c r="R2317" s="1"/>
      <c r="S2317" s="1"/>
      <c r="T2317" s="1"/>
      <c r="U2317" s="1"/>
      <c r="V2317" s="1"/>
    </row>
    <row r="2318" spans="1:23" x14ac:dyDescent="0.3">
      <c r="A2318" s="1"/>
      <c r="B2318" s="1"/>
      <c r="C2318" s="1"/>
      <c r="D2318" s="1"/>
      <c r="E2318" s="1"/>
      <c r="F2318" s="124" t="s">
        <v>599</v>
      </c>
      <c r="G2318" s="1"/>
      <c r="H2318" s="1"/>
      <c r="I2318" s="1"/>
      <c r="J2318" s="124">
        <f>J2317*0/100</f>
        <v>0</v>
      </c>
      <c r="K2318" s="1"/>
      <c r="L2318" s="1"/>
      <c r="M2318" s="1"/>
      <c r="N2318" s="1"/>
      <c r="O2318" s="1"/>
      <c r="P2318" s="1"/>
      <c r="Q2318" s="1"/>
      <c r="R2318" s="1"/>
      <c r="S2318" s="1"/>
      <c r="T2318" s="1"/>
      <c r="U2318" s="1"/>
      <c r="V2318" s="1"/>
    </row>
    <row r="2319" spans="1:23" x14ac:dyDescent="0.3">
      <c r="A2319" s="1"/>
      <c r="B2319" s="1"/>
      <c r="C2319" s="1"/>
      <c r="D2319" s="1"/>
      <c r="E2319" s="1"/>
      <c r="F2319" s="124" t="s">
        <v>41</v>
      </c>
      <c r="G2319" s="1"/>
      <c r="H2319" s="1"/>
      <c r="I2319" s="1"/>
      <c r="J2319" s="124">
        <f>SUM(J2317:J2318)</f>
        <v>22800</v>
      </c>
      <c r="K2319" s="1"/>
      <c r="L2319" s="1"/>
      <c r="M2319" s="1"/>
      <c r="N2319" s="1"/>
      <c r="O2319" s="1"/>
      <c r="P2319" s="1"/>
      <c r="Q2319" s="1"/>
      <c r="R2319" s="1"/>
      <c r="S2319" s="1"/>
      <c r="T2319" s="1">
        <f>SUM(T2316:T2318)</f>
        <v>22800</v>
      </c>
      <c r="U2319" s="1"/>
      <c r="V2319" s="1"/>
    </row>
    <row r="2320" spans="1:23" x14ac:dyDescent="0.3">
      <c r="A2320" s="1"/>
      <c r="B2320" s="1"/>
      <c r="C2320" s="1"/>
      <c r="D2320" s="1"/>
      <c r="E2320" s="1"/>
      <c r="F2320" s="1"/>
      <c r="G2320" s="1"/>
      <c r="H2320" s="1"/>
      <c r="I2320" s="1"/>
      <c r="J2320" s="1"/>
      <c r="K2320" s="1"/>
      <c r="L2320" s="1"/>
      <c r="M2320" s="1"/>
      <c r="N2320" s="1"/>
      <c r="O2320" s="1"/>
      <c r="P2320" s="1"/>
      <c r="Q2320" s="1"/>
      <c r="R2320" s="1"/>
      <c r="S2320" s="1"/>
      <c r="T2320" s="1"/>
      <c r="U2320" s="1"/>
      <c r="V2320" s="1"/>
    </row>
    <row r="2321" spans="1:22" ht="50.4" x14ac:dyDescent="0.3">
      <c r="A2321" s="16">
        <v>215</v>
      </c>
      <c r="B2321" s="16">
        <v>9200168145</v>
      </c>
      <c r="C2321" s="19">
        <v>46332</v>
      </c>
      <c r="D2321" s="16" t="s">
        <v>43</v>
      </c>
      <c r="E2321" s="16" t="s">
        <v>123</v>
      </c>
      <c r="F2321" s="39" t="s">
        <v>2439</v>
      </c>
      <c r="G2321" s="16">
        <v>42</v>
      </c>
      <c r="H2321" s="16" t="s">
        <v>111</v>
      </c>
      <c r="I2321" s="16">
        <v>950</v>
      </c>
      <c r="J2321" s="16">
        <f t="shared" si="457"/>
        <v>39900</v>
      </c>
      <c r="K2321" s="16">
        <v>42</v>
      </c>
      <c r="L2321" s="16" t="s">
        <v>111</v>
      </c>
      <c r="M2321" s="16" t="s">
        <v>91</v>
      </c>
      <c r="N2321" s="16" t="s">
        <v>2683</v>
      </c>
      <c r="O2321" s="16">
        <v>42</v>
      </c>
      <c r="P2321" s="16">
        <v>950</v>
      </c>
      <c r="Q2321" s="16">
        <f>O2321*P2321</f>
        <v>39900</v>
      </c>
      <c r="R2321" s="18">
        <v>0</v>
      </c>
      <c r="S2321" s="16">
        <f>Q2321*R2321</f>
        <v>0</v>
      </c>
      <c r="T2321" s="16">
        <f>Q2321+S2321</f>
        <v>39900</v>
      </c>
      <c r="U2321" s="16" t="s">
        <v>2709</v>
      </c>
      <c r="V2321" s="16" t="s">
        <v>2710</v>
      </c>
    </row>
    <row r="2322" spans="1:22" x14ac:dyDescent="0.3">
      <c r="A2322" s="1"/>
      <c r="B2322" s="1"/>
      <c r="C2322" s="1"/>
      <c r="D2322" s="1"/>
      <c r="E2322" s="16" t="s">
        <v>123</v>
      </c>
      <c r="F2322" s="16" t="s">
        <v>2440</v>
      </c>
      <c r="G2322" s="16">
        <v>600</v>
      </c>
      <c r="H2322" s="16" t="s">
        <v>111</v>
      </c>
      <c r="I2322" s="16">
        <v>30</v>
      </c>
      <c r="J2322" s="16">
        <f t="shared" si="457"/>
        <v>18000</v>
      </c>
      <c r="K2322" s="16"/>
      <c r="L2322" s="16" t="s">
        <v>1570</v>
      </c>
      <c r="M2322" s="38" t="s">
        <v>2649</v>
      </c>
      <c r="N2322" s="16"/>
      <c r="O2322" s="16">
        <v>600</v>
      </c>
      <c r="P2322" s="16">
        <v>30</v>
      </c>
      <c r="Q2322" s="16">
        <f>O2322*P2322</f>
        <v>18000</v>
      </c>
      <c r="R2322" s="18">
        <v>0</v>
      </c>
      <c r="S2322" s="16">
        <f>Q2322*R2322</f>
        <v>0</v>
      </c>
      <c r="T2322" s="16">
        <f>Q2322+S2322</f>
        <v>18000</v>
      </c>
      <c r="U2322" s="16" t="s">
        <v>2709</v>
      </c>
      <c r="V2322" s="16" t="s">
        <v>2710</v>
      </c>
    </row>
    <row r="2323" spans="1:22" x14ac:dyDescent="0.3">
      <c r="A2323" s="1"/>
      <c r="B2323" s="1"/>
      <c r="C2323" s="1"/>
      <c r="D2323" s="1"/>
      <c r="E2323" s="1"/>
      <c r="F2323" s="124" t="s">
        <v>39</v>
      </c>
      <c r="G2323" s="1"/>
      <c r="H2323" s="1"/>
      <c r="I2323" s="1"/>
      <c r="J2323" s="124">
        <f>SUM(J2321:J2322)</f>
        <v>57900</v>
      </c>
      <c r="K2323" s="1"/>
      <c r="L2323" s="1"/>
      <c r="M2323" s="1"/>
      <c r="N2323" s="1"/>
      <c r="O2323" s="1"/>
      <c r="P2323" s="1"/>
      <c r="Q2323" s="1"/>
      <c r="R2323" s="1"/>
      <c r="S2323" s="1"/>
      <c r="T2323" s="1"/>
      <c r="U2323" s="1"/>
      <c r="V2323" s="1"/>
    </row>
    <row r="2324" spans="1:22" x14ac:dyDescent="0.3">
      <c r="A2324" s="1"/>
      <c r="B2324" s="1"/>
      <c r="C2324" s="1"/>
      <c r="D2324" s="1"/>
      <c r="E2324" s="1"/>
      <c r="F2324" s="124" t="s">
        <v>599</v>
      </c>
      <c r="G2324" s="1"/>
      <c r="H2324" s="1"/>
      <c r="I2324" s="1"/>
      <c r="J2324" s="124">
        <f>J2323*0/100</f>
        <v>0</v>
      </c>
      <c r="K2324" s="1"/>
      <c r="L2324" s="1"/>
      <c r="M2324" s="1"/>
      <c r="N2324" s="1"/>
      <c r="O2324" s="1"/>
      <c r="P2324" s="1"/>
      <c r="Q2324" s="1"/>
      <c r="R2324" s="1"/>
      <c r="S2324" s="1"/>
      <c r="T2324" s="1"/>
      <c r="U2324" s="1"/>
      <c r="V2324" s="1"/>
    </row>
    <row r="2325" spans="1:22" x14ac:dyDescent="0.3">
      <c r="A2325" s="1"/>
      <c r="B2325" s="1"/>
      <c r="C2325" s="1"/>
      <c r="D2325" s="1"/>
      <c r="E2325" s="1"/>
      <c r="F2325" s="124" t="s">
        <v>41</v>
      </c>
      <c r="G2325" s="1"/>
      <c r="H2325" s="1"/>
      <c r="I2325" s="1"/>
      <c r="J2325" s="124">
        <f>SUM(J2323:J2324)</f>
        <v>57900</v>
      </c>
      <c r="K2325" s="1"/>
      <c r="L2325" s="1"/>
      <c r="M2325" s="1"/>
      <c r="N2325" s="1"/>
      <c r="O2325" s="1"/>
      <c r="P2325" s="1"/>
      <c r="Q2325" s="1"/>
      <c r="R2325" s="1"/>
      <c r="S2325" s="1"/>
      <c r="T2325" s="1">
        <f>SUM(T2321:T2324)</f>
        <v>57900</v>
      </c>
      <c r="U2325" s="1"/>
      <c r="V2325" s="1"/>
    </row>
    <row r="2326" spans="1:22" x14ac:dyDescent="0.3">
      <c r="A2326" s="1"/>
      <c r="B2326" s="1"/>
      <c r="C2326" s="1"/>
      <c r="D2326" s="1"/>
      <c r="E2326" s="1"/>
      <c r="F2326" s="1"/>
      <c r="G2326" s="1"/>
      <c r="H2326" s="1"/>
      <c r="I2326" s="1"/>
      <c r="J2326" s="1"/>
      <c r="K2326" s="1"/>
      <c r="L2326" s="1"/>
      <c r="M2326" s="1"/>
      <c r="N2326" s="1"/>
      <c r="O2326" s="1"/>
      <c r="P2326" s="1"/>
      <c r="Q2326" s="1"/>
      <c r="R2326" s="1"/>
      <c r="S2326" s="1"/>
      <c r="T2326" s="1"/>
      <c r="U2326" s="1"/>
      <c r="V2326" s="1"/>
    </row>
    <row r="2327" spans="1:22" ht="37.799999999999997" x14ac:dyDescent="0.3">
      <c r="A2327" s="16">
        <v>216</v>
      </c>
      <c r="B2327" s="16">
        <v>9200168288</v>
      </c>
      <c r="C2327" s="19">
        <v>46362</v>
      </c>
      <c r="D2327" s="16" t="s">
        <v>300</v>
      </c>
      <c r="E2327" s="16" t="s">
        <v>123</v>
      </c>
      <c r="F2327" s="39" t="s">
        <v>2447</v>
      </c>
      <c r="G2327" s="16">
        <v>2</v>
      </c>
      <c r="H2327" s="16" t="s">
        <v>28</v>
      </c>
      <c r="I2327" s="16">
        <v>24500</v>
      </c>
      <c r="J2327" s="16">
        <f t="shared" si="457"/>
        <v>49000</v>
      </c>
      <c r="K2327" s="16">
        <v>4</v>
      </c>
      <c r="L2327" s="16" t="s">
        <v>28</v>
      </c>
      <c r="M2327" s="16" t="s">
        <v>91</v>
      </c>
      <c r="N2327" s="16" t="s">
        <v>2473</v>
      </c>
      <c r="O2327" s="16">
        <v>2</v>
      </c>
      <c r="P2327" s="16">
        <v>24500</v>
      </c>
      <c r="Q2327" s="16">
        <f>O2327*P2327</f>
        <v>49000</v>
      </c>
      <c r="R2327" s="18">
        <v>0.18</v>
      </c>
      <c r="S2327" s="16">
        <f>Q2327*R2327</f>
        <v>8820</v>
      </c>
      <c r="T2327" s="16">
        <f>Q2327+S2327</f>
        <v>57820</v>
      </c>
      <c r="U2327" s="16" t="s">
        <v>2677</v>
      </c>
      <c r="V2327" s="19">
        <v>46334</v>
      </c>
    </row>
    <row r="2328" spans="1:22" ht="25.2" x14ac:dyDescent="0.3">
      <c r="A2328" s="1"/>
      <c r="B2328" s="1"/>
      <c r="C2328" s="1"/>
      <c r="D2328" s="1"/>
      <c r="E2328" s="16" t="s">
        <v>123</v>
      </c>
      <c r="F2328" s="39" t="s">
        <v>2442</v>
      </c>
      <c r="G2328" s="16">
        <v>34</v>
      </c>
      <c r="H2328" s="16" t="s">
        <v>252</v>
      </c>
      <c r="I2328" s="16">
        <v>350</v>
      </c>
      <c r="J2328" s="16">
        <f t="shared" si="457"/>
        <v>11900</v>
      </c>
      <c r="K2328" s="16">
        <v>1</v>
      </c>
      <c r="L2328" s="16" t="s">
        <v>28</v>
      </c>
      <c r="M2328" s="16" t="s">
        <v>91</v>
      </c>
      <c r="N2328" s="16" t="s">
        <v>2473</v>
      </c>
      <c r="O2328" s="58">
        <v>32</v>
      </c>
      <c r="P2328" s="16">
        <v>350</v>
      </c>
      <c r="Q2328" s="16">
        <f t="shared" ref="Q2328:Q2332" si="488">O2328*P2328</f>
        <v>11200</v>
      </c>
      <c r="R2328" s="18">
        <v>0.18</v>
      </c>
      <c r="S2328" s="16">
        <f t="shared" ref="S2328:S2332" si="489">Q2328*R2328</f>
        <v>2016</v>
      </c>
      <c r="T2328" s="16">
        <f t="shared" ref="T2328:T2332" si="490">Q2328+S2328</f>
        <v>13216</v>
      </c>
      <c r="U2328" s="16" t="s">
        <v>2677</v>
      </c>
      <c r="V2328" s="19">
        <v>46334</v>
      </c>
    </row>
    <row r="2329" spans="1:22" x14ac:dyDescent="0.3">
      <c r="A2329" s="1"/>
      <c r="B2329" s="1"/>
      <c r="C2329" s="1"/>
      <c r="D2329" s="1"/>
      <c r="E2329" s="16" t="s">
        <v>123</v>
      </c>
      <c r="F2329" s="16" t="s">
        <v>2443</v>
      </c>
      <c r="G2329" s="16">
        <v>15</v>
      </c>
      <c r="H2329" s="16" t="s">
        <v>28</v>
      </c>
      <c r="I2329" s="16">
        <v>1200</v>
      </c>
      <c r="J2329" s="16">
        <f t="shared" si="457"/>
        <v>18000</v>
      </c>
      <c r="K2329" s="16">
        <v>15</v>
      </c>
      <c r="L2329" s="16" t="s">
        <v>181</v>
      </c>
      <c r="M2329" s="16" t="s">
        <v>91</v>
      </c>
      <c r="N2329" s="16" t="s">
        <v>2495</v>
      </c>
      <c r="O2329" s="16">
        <v>15</v>
      </c>
      <c r="P2329" s="16">
        <v>1200</v>
      </c>
      <c r="Q2329" s="16">
        <f t="shared" si="488"/>
        <v>18000</v>
      </c>
      <c r="R2329" s="18">
        <v>0.18</v>
      </c>
      <c r="S2329" s="16">
        <f t="shared" si="489"/>
        <v>3240</v>
      </c>
      <c r="T2329" s="16">
        <f t="shared" si="490"/>
        <v>21240</v>
      </c>
      <c r="U2329" s="16" t="s">
        <v>2677</v>
      </c>
      <c r="V2329" s="19">
        <v>46334</v>
      </c>
    </row>
    <row r="2330" spans="1:22" x14ac:dyDescent="0.3">
      <c r="A2330" s="1"/>
      <c r="B2330" s="1"/>
      <c r="C2330" s="1"/>
      <c r="D2330" s="1"/>
      <c r="E2330" s="16" t="s">
        <v>123</v>
      </c>
      <c r="F2330" s="16" t="s">
        <v>2444</v>
      </c>
      <c r="G2330" s="16">
        <v>100</v>
      </c>
      <c r="H2330" s="16" t="s">
        <v>60</v>
      </c>
      <c r="I2330" s="16">
        <v>210</v>
      </c>
      <c r="J2330" s="16">
        <f t="shared" si="457"/>
        <v>21000</v>
      </c>
      <c r="K2330" s="58">
        <v>43</v>
      </c>
      <c r="L2330" s="16" t="s">
        <v>60</v>
      </c>
      <c r="M2330" s="16" t="s">
        <v>91</v>
      </c>
      <c r="N2330" s="16" t="s">
        <v>2495</v>
      </c>
      <c r="O2330" s="58">
        <v>43</v>
      </c>
      <c r="P2330" s="16">
        <v>210</v>
      </c>
      <c r="Q2330" s="16">
        <f t="shared" si="488"/>
        <v>9030</v>
      </c>
      <c r="R2330" s="18">
        <v>0.18</v>
      </c>
      <c r="S2330" s="16">
        <f t="shared" si="489"/>
        <v>1625.3999999999999</v>
      </c>
      <c r="T2330" s="16">
        <f t="shared" si="490"/>
        <v>10655.4</v>
      </c>
      <c r="U2330" s="16" t="s">
        <v>2677</v>
      </c>
      <c r="V2330" s="19">
        <v>46334</v>
      </c>
    </row>
    <row r="2331" spans="1:22" ht="37.799999999999997" x14ac:dyDescent="0.3">
      <c r="A2331" s="1"/>
      <c r="B2331" s="1"/>
      <c r="C2331" s="1"/>
      <c r="D2331" s="1"/>
      <c r="E2331" s="16" t="s">
        <v>123</v>
      </c>
      <c r="F2331" s="39" t="s">
        <v>2445</v>
      </c>
      <c r="G2331" s="16">
        <v>20</v>
      </c>
      <c r="H2331" s="16" t="s">
        <v>111</v>
      </c>
      <c r="I2331" s="16">
        <v>550</v>
      </c>
      <c r="J2331" s="16">
        <f t="shared" si="457"/>
        <v>11000</v>
      </c>
      <c r="K2331" s="16"/>
      <c r="L2331" s="16"/>
      <c r="M2331" s="16"/>
      <c r="N2331" s="16"/>
      <c r="O2331" s="58">
        <v>15.6</v>
      </c>
      <c r="P2331" s="16">
        <v>550</v>
      </c>
      <c r="Q2331" s="16">
        <f t="shared" si="488"/>
        <v>8580</v>
      </c>
      <c r="R2331" s="18">
        <v>0.18</v>
      </c>
      <c r="S2331" s="16">
        <f t="shared" si="489"/>
        <v>1544.3999999999999</v>
      </c>
      <c r="T2331" s="16">
        <f t="shared" si="490"/>
        <v>10124.4</v>
      </c>
      <c r="U2331" s="16" t="s">
        <v>2677</v>
      </c>
      <c r="V2331" s="19">
        <v>46334</v>
      </c>
    </row>
    <row r="2332" spans="1:22" ht="25.2" x14ac:dyDescent="0.3">
      <c r="A2332" s="1"/>
      <c r="B2332" s="1"/>
      <c r="C2332" s="1"/>
      <c r="D2332" s="1"/>
      <c r="E2332" s="16" t="s">
        <v>123</v>
      </c>
      <c r="F2332" s="39" t="s">
        <v>2446</v>
      </c>
      <c r="G2332" s="16">
        <v>2000</v>
      </c>
      <c r="H2332" s="16" t="s">
        <v>111</v>
      </c>
      <c r="I2332" s="16">
        <v>22</v>
      </c>
      <c r="J2332" s="16">
        <f t="shared" si="457"/>
        <v>44000</v>
      </c>
      <c r="K2332" s="16" t="s">
        <v>2521</v>
      </c>
      <c r="L2332" s="16"/>
      <c r="M2332" s="16" t="s">
        <v>91</v>
      </c>
      <c r="N2332" s="16" t="s">
        <v>2522</v>
      </c>
      <c r="O2332" s="58">
        <v>755</v>
      </c>
      <c r="P2332" s="16">
        <v>22</v>
      </c>
      <c r="Q2332" s="16">
        <f t="shared" si="488"/>
        <v>16610</v>
      </c>
      <c r="R2332" s="18">
        <v>0.18</v>
      </c>
      <c r="S2332" s="16">
        <f t="shared" si="489"/>
        <v>2989.7999999999997</v>
      </c>
      <c r="T2332" s="16">
        <f t="shared" si="490"/>
        <v>19599.8</v>
      </c>
      <c r="U2332" s="16" t="s">
        <v>2677</v>
      </c>
      <c r="V2332" s="19">
        <v>46334</v>
      </c>
    </row>
    <row r="2333" spans="1:22" x14ac:dyDescent="0.3">
      <c r="A2333" s="1"/>
      <c r="B2333" s="1"/>
      <c r="C2333" s="1"/>
      <c r="D2333" s="1"/>
      <c r="E2333" s="1"/>
      <c r="F2333" s="124" t="s">
        <v>39</v>
      </c>
      <c r="G2333" s="1"/>
      <c r="H2333" s="1"/>
      <c r="I2333" s="1"/>
      <c r="J2333" s="1">
        <f>SUM(J2327:J2332)</f>
        <v>154900</v>
      </c>
      <c r="K2333" s="1"/>
      <c r="L2333" s="1"/>
      <c r="M2333" s="1"/>
      <c r="N2333" s="1"/>
      <c r="O2333" s="1"/>
      <c r="P2333" s="1"/>
      <c r="Q2333" s="1"/>
      <c r="R2333" s="1"/>
      <c r="S2333" s="1"/>
      <c r="T2333" s="1"/>
      <c r="U2333" s="1"/>
      <c r="V2333" s="1"/>
    </row>
    <row r="2334" spans="1:22" x14ac:dyDescent="0.3">
      <c r="A2334" s="1"/>
      <c r="B2334" s="1"/>
      <c r="C2334" s="1"/>
      <c r="D2334" s="1"/>
      <c r="E2334" s="1"/>
      <c r="F2334" s="124" t="s">
        <v>187</v>
      </c>
      <c r="G2334" s="1"/>
      <c r="H2334" s="1"/>
      <c r="I2334" s="1"/>
      <c r="J2334" s="1">
        <f>J2333*18/100</f>
        <v>27882</v>
      </c>
      <c r="K2334" s="1"/>
      <c r="L2334" s="1"/>
      <c r="M2334" s="1"/>
      <c r="N2334" s="1"/>
      <c r="O2334" s="1"/>
      <c r="P2334" s="1"/>
      <c r="Q2334" s="1"/>
      <c r="R2334" s="1"/>
      <c r="S2334" s="1"/>
      <c r="T2334" s="1"/>
      <c r="U2334" s="1"/>
      <c r="V2334" s="1"/>
    </row>
    <row r="2335" spans="1:22" x14ac:dyDescent="0.3">
      <c r="A2335" s="1"/>
      <c r="B2335" s="1"/>
      <c r="C2335" s="1"/>
      <c r="D2335" s="1"/>
      <c r="E2335" s="1"/>
      <c r="F2335" s="124" t="s">
        <v>41</v>
      </c>
      <c r="G2335" s="1"/>
      <c r="H2335" s="1"/>
      <c r="I2335" s="1"/>
      <c r="J2335" s="1">
        <f>SUM(J2333:J2334)</f>
        <v>182782</v>
      </c>
      <c r="K2335" s="1"/>
      <c r="L2335" s="1"/>
      <c r="M2335" s="1"/>
      <c r="N2335" s="1"/>
      <c r="O2335" s="1"/>
      <c r="P2335" s="1"/>
      <c r="Q2335" s="1"/>
      <c r="R2335" s="1"/>
      <c r="S2335" s="1"/>
      <c r="T2335" s="1">
        <f>SUM(T2327:T2334)</f>
        <v>132655.59999999998</v>
      </c>
      <c r="U2335" s="1"/>
      <c r="V2335" s="1"/>
    </row>
    <row r="2336" spans="1:22" x14ac:dyDescent="0.3">
      <c r="A2336" s="1"/>
      <c r="B2336" s="1"/>
      <c r="C2336" s="1"/>
      <c r="D2336" s="1"/>
      <c r="E2336" s="1"/>
      <c r="F2336" s="124"/>
      <c r="G2336" s="1"/>
      <c r="H2336" s="1"/>
      <c r="I2336" s="1"/>
      <c r="J2336" s="1"/>
      <c r="K2336" s="1"/>
      <c r="L2336" s="1"/>
      <c r="M2336" s="1"/>
      <c r="N2336" s="1"/>
      <c r="O2336" s="1"/>
      <c r="P2336" s="1"/>
      <c r="Q2336" s="1"/>
      <c r="R2336" s="1"/>
      <c r="S2336" s="1"/>
      <c r="T2336" s="1"/>
      <c r="U2336" s="1"/>
      <c r="V2336" s="1"/>
    </row>
    <row r="2337" spans="1:23" ht="25.2" x14ac:dyDescent="0.3">
      <c r="A2337" s="16">
        <v>217</v>
      </c>
      <c r="B2337" s="16">
        <v>8100025346</v>
      </c>
      <c r="C2337" s="16" t="s">
        <v>2455</v>
      </c>
      <c r="D2337" s="39" t="s">
        <v>1502</v>
      </c>
      <c r="E2337" s="16" t="s">
        <v>127</v>
      </c>
      <c r="F2337" s="39" t="s">
        <v>2456</v>
      </c>
      <c r="G2337" s="16">
        <v>1</v>
      </c>
      <c r="H2337" s="16" t="s">
        <v>28</v>
      </c>
      <c r="I2337" s="16">
        <v>8300</v>
      </c>
      <c r="J2337" s="16">
        <f t="shared" si="457"/>
        <v>8300</v>
      </c>
      <c r="K2337" s="16"/>
      <c r="L2337" s="16"/>
      <c r="M2337" s="16"/>
      <c r="N2337" s="16"/>
      <c r="O2337" s="16">
        <v>1</v>
      </c>
      <c r="P2337" s="16">
        <v>8300</v>
      </c>
      <c r="Q2337" s="16">
        <f>O2337*P2337</f>
        <v>8300</v>
      </c>
      <c r="R2337" s="18">
        <v>0.18</v>
      </c>
      <c r="S2337" s="16">
        <f>Q2337*R2337</f>
        <v>1494</v>
      </c>
      <c r="T2337" s="16">
        <f>Q2337+S2337</f>
        <v>9794</v>
      </c>
      <c r="U2337" s="16" t="s">
        <v>2497</v>
      </c>
      <c r="V2337" s="19">
        <v>46060</v>
      </c>
      <c r="W2337" s="136" t="s">
        <v>2496</v>
      </c>
    </row>
    <row r="2338" spans="1:23" ht="25.2" x14ac:dyDescent="0.3">
      <c r="A2338" s="1"/>
      <c r="B2338" s="1"/>
      <c r="C2338" s="1"/>
      <c r="D2338" s="1"/>
      <c r="E2338" s="16" t="s">
        <v>123</v>
      </c>
      <c r="F2338" s="39" t="s">
        <v>2457</v>
      </c>
      <c r="G2338" s="16">
        <v>1</v>
      </c>
      <c r="H2338" s="16" t="s">
        <v>28</v>
      </c>
      <c r="I2338" s="16">
        <v>3800</v>
      </c>
      <c r="J2338" s="16">
        <f t="shared" si="457"/>
        <v>3800</v>
      </c>
      <c r="K2338" s="16"/>
      <c r="L2338" s="16"/>
      <c r="M2338" s="16"/>
      <c r="N2338" s="16"/>
      <c r="O2338" s="16">
        <v>1</v>
      </c>
      <c r="P2338" s="16">
        <v>3800</v>
      </c>
      <c r="Q2338" s="16">
        <f t="shared" ref="Q2338:Q2340" si="491">O2338*P2338</f>
        <v>3800</v>
      </c>
      <c r="R2338" s="18">
        <v>0.18</v>
      </c>
      <c r="S2338" s="16">
        <f t="shared" ref="S2338:S2340" si="492">Q2338*R2338</f>
        <v>684</v>
      </c>
      <c r="T2338" s="16">
        <f t="shared" ref="T2338:T2340" si="493">Q2338+S2338</f>
        <v>4484</v>
      </c>
      <c r="U2338" s="121" t="s">
        <v>2498</v>
      </c>
      <c r="V2338" s="123">
        <v>46180</v>
      </c>
      <c r="W2338" s="136" t="s">
        <v>2620</v>
      </c>
    </row>
    <row r="2339" spans="1:23" x14ac:dyDescent="0.3">
      <c r="A2339" s="1"/>
      <c r="B2339" s="1"/>
      <c r="C2339" s="1"/>
      <c r="D2339" s="1"/>
      <c r="E2339" s="16" t="s">
        <v>127</v>
      </c>
      <c r="F2339" s="16" t="s">
        <v>2458</v>
      </c>
      <c r="G2339" s="16">
        <v>1</v>
      </c>
      <c r="H2339" s="16" t="s">
        <v>28</v>
      </c>
      <c r="I2339" s="16">
        <v>2300</v>
      </c>
      <c r="J2339" s="16">
        <f t="shared" si="457"/>
        <v>2300</v>
      </c>
      <c r="K2339" s="16"/>
      <c r="L2339" s="16"/>
      <c r="M2339" s="16"/>
      <c r="N2339" s="16"/>
      <c r="O2339" s="16">
        <v>1</v>
      </c>
      <c r="P2339" s="16">
        <v>2300</v>
      </c>
      <c r="Q2339" s="16">
        <f t="shared" si="491"/>
        <v>2300</v>
      </c>
      <c r="R2339" s="18">
        <v>0.18</v>
      </c>
      <c r="S2339" s="16">
        <f t="shared" si="492"/>
        <v>414</v>
      </c>
      <c r="T2339" s="16">
        <f t="shared" si="493"/>
        <v>2714</v>
      </c>
      <c r="U2339" s="16" t="s">
        <v>2497</v>
      </c>
      <c r="V2339" s="19">
        <v>46060</v>
      </c>
      <c r="W2339" s="136" t="s">
        <v>2496</v>
      </c>
    </row>
    <row r="2340" spans="1:23" x14ac:dyDescent="0.3">
      <c r="A2340" s="1"/>
      <c r="B2340" s="1"/>
      <c r="C2340" s="1"/>
      <c r="D2340" s="1"/>
      <c r="E2340" s="16" t="s">
        <v>123</v>
      </c>
      <c r="F2340" s="16" t="s">
        <v>2459</v>
      </c>
      <c r="G2340" s="16">
        <v>1</v>
      </c>
      <c r="H2340" s="16" t="s">
        <v>28</v>
      </c>
      <c r="I2340" s="16">
        <v>3600</v>
      </c>
      <c r="J2340" s="16">
        <f t="shared" si="457"/>
        <v>3600</v>
      </c>
      <c r="K2340" s="16"/>
      <c r="L2340" s="16"/>
      <c r="M2340" s="16"/>
      <c r="N2340" s="16"/>
      <c r="O2340" s="16">
        <v>1</v>
      </c>
      <c r="P2340" s="16">
        <v>3600</v>
      </c>
      <c r="Q2340" s="16">
        <f t="shared" si="491"/>
        <v>3600</v>
      </c>
      <c r="R2340" s="18">
        <v>0.18</v>
      </c>
      <c r="S2340" s="16">
        <f t="shared" si="492"/>
        <v>648</v>
      </c>
      <c r="T2340" s="16">
        <f t="shared" si="493"/>
        <v>4248</v>
      </c>
      <c r="U2340" s="121" t="s">
        <v>2498</v>
      </c>
      <c r="V2340" s="123">
        <v>46180</v>
      </c>
      <c r="W2340" s="136" t="s">
        <v>2620</v>
      </c>
    </row>
    <row r="2341" spans="1:23" x14ac:dyDescent="0.3">
      <c r="A2341" s="1"/>
      <c r="B2341" s="1"/>
      <c r="C2341" s="1"/>
      <c r="D2341" s="1"/>
      <c r="E2341" s="1"/>
      <c r="F2341" s="124" t="s">
        <v>39</v>
      </c>
      <c r="G2341" s="1"/>
      <c r="H2341" s="1"/>
      <c r="I2341" s="1"/>
      <c r="J2341" s="124">
        <f>SUM(J2337:J2340)</f>
        <v>18000</v>
      </c>
      <c r="K2341" s="1"/>
      <c r="L2341" s="1"/>
      <c r="M2341" s="1"/>
      <c r="N2341" s="1"/>
      <c r="O2341" s="1"/>
      <c r="P2341" s="1"/>
      <c r="Q2341" s="1"/>
      <c r="R2341" s="1"/>
      <c r="S2341" s="1"/>
      <c r="T2341" s="1"/>
      <c r="U2341" s="1"/>
      <c r="V2341" s="1"/>
    </row>
    <row r="2342" spans="1:23" x14ac:dyDescent="0.3">
      <c r="A2342" s="1"/>
      <c r="B2342" s="1"/>
      <c r="C2342" s="1"/>
      <c r="D2342" s="1"/>
      <c r="E2342" s="1"/>
      <c r="F2342" s="124" t="s">
        <v>187</v>
      </c>
      <c r="G2342" s="1"/>
      <c r="H2342" s="1"/>
      <c r="I2342" s="1"/>
      <c r="J2342" s="124">
        <f>J2341*18/100</f>
        <v>3240</v>
      </c>
      <c r="K2342" s="1"/>
      <c r="L2342" s="1"/>
      <c r="M2342" s="1"/>
      <c r="N2342" s="1"/>
      <c r="O2342" s="1"/>
      <c r="P2342" s="1"/>
      <c r="Q2342" s="1"/>
      <c r="R2342" s="1"/>
      <c r="S2342" s="1"/>
      <c r="T2342" s="1"/>
      <c r="U2342" s="1"/>
      <c r="V2342" s="1"/>
    </row>
    <row r="2343" spans="1:23" x14ac:dyDescent="0.3">
      <c r="A2343" s="1"/>
      <c r="B2343" s="1"/>
      <c r="C2343" s="1"/>
      <c r="D2343" s="1"/>
      <c r="E2343" s="1"/>
      <c r="F2343" s="124" t="s">
        <v>41</v>
      </c>
      <c r="G2343" s="1"/>
      <c r="H2343" s="1"/>
      <c r="I2343" s="1"/>
      <c r="J2343" s="124">
        <f>SUM(J2341:J2342)</f>
        <v>21240</v>
      </c>
      <c r="K2343" s="1"/>
      <c r="L2343" s="1"/>
      <c r="M2343" s="1"/>
      <c r="N2343" s="1"/>
      <c r="O2343" s="1"/>
      <c r="P2343" s="1"/>
      <c r="Q2343" s="1"/>
      <c r="R2343" s="1"/>
      <c r="S2343" s="1"/>
      <c r="T2343" s="1">
        <f>SUM(T2337:T2342)</f>
        <v>21240</v>
      </c>
      <c r="U2343" s="1"/>
      <c r="V2343" s="1"/>
    </row>
    <row r="2344" spans="1:23" x14ac:dyDescent="0.3">
      <c r="A2344" s="1"/>
      <c r="B2344" s="1"/>
      <c r="C2344" s="1"/>
      <c r="D2344" s="1"/>
      <c r="E2344" s="1"/>
      <c r="F2344" s="124"/>
      <c r="G2344" s="1"/>
      <c r="H2344" s="1"/>
      <c r="I2344" s="1"/>
      <c r="J2344" s="124"/>
      <c r="K2344" s="1"/>
      <c r="L2344" s="1"/>
      <c r="M2344" s="1"/>
      <c r="N2344" s="1"/>
      <c r="O2344" s="1"/>
      <c r="P2344" s="1"/>
      <c r="Q2344" s="1"/>
      <c r="R2344" s="1"/>
      <c r="S2344" s="1"/>
      <c r="T2344" s="1"/>
      <c r="U2344" s="1"/>
      <c r="V2344" s="1"/>
    </row>
    <row r="2345" spans="1:23" ht="25.2" x14ac:dyDescent="0.3">
      <c r="A2345" s="16">
        <v>218</v>
      </c>
      <c r="B2345" s="16">
        <v>8600067413</v>
      </c>
      <c r="C2345" s="16" t="s">
        <v>2455</v>
      </c>
      <c r="D2345" s="16" t="s">
        <v>43</v>
      </c>
      <c r="E2345" s="16" t="s">
        <v>127</v>
      </c>
      <c r="F2345" s="39" t="s">
        <v>2460</v>
      </c>
      <c r="G2345" s="16">
        <v>20</v>
      </c>
      <c r="H2345" s="16" t="s">
        <v>28</v>
      </c>
      <c r="I2345" s="16">
        <v>915</v>
      </c>
      <c r="J2345" s="16">
        <f t="shared" si="457"/>
        <v>18300</v>
      </c>
      <c r="K2345" s="16"/>
      <c r="L2345" s="16"/>
      <c r="M2345" s="16"/>
      <c r="N2345" s="16"/>
      <c r="O2345" s="16">
        <v>20</v>
      </c>
      <c r="P2345" s="16">
        <v>915</v>
      </c>
      <c r="Q2345" s="16">
        <f>O2345*P2345</f>
        <v>18300</v>
      </c>
      <c r="R2345" s="18">
        <v>0</v>
      </c>
      <c r="S2345" s="16">
        <f>Q2345*R2345</f>
        <v>0</v>
      </c>
      <c r="T2345" s="16">
        <f>Q2345+S2345</f>
        <v>18300</v>
      </c>
      <c r="U2345" s="16" t="s">
        <v>2500</v>
      </c>
      <c r="V2345" s="19">
        <v>46210</v>
      </c>
      <c r="W2345" s="136" t="s">
        <v>2570</v>
      </c>
    </row>
    <row r="2346" spans="1:23" x14ac:dyDescent="0.3">
      <c r="A2346" s="1"/>
      <c r="B2346" s="1"/>
      <c r="C2346" s="1"/>
      <c r="D2346" s="1"/>
      <c r="E2346" s="1"/>
      <c r="F2346" s="124" t="s">
        <v>39</v>
      </c>
      <c r="G2346" s="1"/>
      <c r="H2346" s="1"/>
      <c r="I2346" s="1"/>
      <c r="J2346" s="124">
        <f>SUM(J2345)</f>
        <v>18300</v>
      </c>
      <c r="K2346" s="1"/>
      <c r="L2346" s="1"/>
      <c r="M2346" s="1"/>
      <c r="N2346" s="1"/>
      <c r="O2346" s="1"/>
      <c r="P2346" s="1"/>
      <c r="Q2346" s="1"/>
      <c r="R2346" s="1"/>
      <c r="S2346" s="1"/>
      <c r="T2346" s="1"/>
      <c r="U2346" s="1"/>
      <c r="V2346" s="1"/>
    </row>
    <row r="2347" spans="1:23" x14ac:dyDescent="0.3">
      <c r="A2347" s="1"/>
      <c r="B2347" s="1"/>
      <c r="C2347" s="1"/>
      <c r="D2347" s="1"/>
      <c r="E2347" s="1"/>
      <c r="F2347" s="124" t="s">
        <v>187</v>
      </c>
      <c r="G2347" s="1"/>
      <c r="H2347" s="1"/>
      <c r="I2347" s="1"/>
      <c r="J2347" s="124">
        <f>J2346*0/100</f>
        <v>0</v>
      </c>
      <c r="K2347" s="1"/>
      <c r="L2347" s="1"/>
      <c r="M2347" s="1"/>
      <c r="N2347" s="1"/>
      <c r="O2347" s="1"/>
      <c r="P2347" s="1"/>
      <c r="Q2347" s="1"/>
      <c r="R2347" s="1"/>
      <c r="S2347" s="1"/>
      <c r="T2347" s="1"/>
      <c r="U2347" s="1"/>
      <c r="V2347" s="1"/>
    </row>
    <row r="2348" spans="1:23" x14ac:dyDescent="0.3">
      <c r="A2348" s="1"/>
      <c r="B2348" s="1"/>
      <c r="C2348" s="1"/>
      <c r="D2348" s="1"/>
      <c r="E2348" s="1"/>
      <c r="F2348" s="124" t="s">
        <v>41</v>
      </c>
      <c r="G2348" s="1"/>
      <c r="H2348" s="1"/>
      <c r="I2348" s="1"/>
      <c r="J2348" s="124">
        <f>SUM(J2346:J2347)</f>
        <v>18300</v>
      </c>
      <c r="K2348" s="1"/>
      <c r="L2348" s="1"/>
      <c r="M2348" s="1"/>
      <c r="N2348" s="1"/>
      <c r="O2348" s="1"/>
      <c r="P2348" s="1"/>
      <c r="Q2348" s="1"/>
      <c r="R2348" s="1"/>
      <c r="S2348" s="1"/>
      <c r="T2348" s="1"/>
      <c r="U2348" s="1"/>
      <c r="V2348" s="1"/>
    </row>
    <row r="2349" spans="1:23" x14ac:dyDescent="0.3">
      <c r="A2349" s="1"/>
      <c r="B2349" s="1"/>
      <c r="C2349" s="1"/>
      <c r="D2349" s="1"/>
      <c r="E2349" s="1"/>
      <c r="F2349" s="1"/>
      <c r="G2349" s="1"/>
      <c r="H2349" s="1"/>
      <c r="I2349" s="1"/>
      <c r="J2349" s="1">
        <f t="shared" si="457"/>
        <v>0</v>
      </c>
      <c r="K2349" s="1"/>
      <c r="L2349" s="1"/>
      <c r="M2349" s="1"/>
      <c r="N2349" s="1"/>
      <c r="O2349" s="1"/>
      <c r="P2349" s="1"/>
      <c r="Q2349" s="1"/>
      <c r="R2349" s="1"/>
      <c r="S2349" s="1"/>
      <c r="T2349" s="1"/>
      <c r="U2349" s="1"/>
      <c r="V2349" s="1"/>
    </row>
    <row r="2350" spans="1:23" ht="37.799999999999997" x14ac:dyDescent="0.3">
      <c r="A2350" s="16">
        <v>219</v>
      </c>
      <c r="B2350" s="16">
        <v>8600067521</v>
      </c>
      <c r="C2350" s="16" t="s">
        <v>2641</v>
      </c>
      <c r="D2350" s="16" t="s">
        <v>43</v>
      </c>
      <c r="E2350" s="16" t="s">
        <v>127</v>
      </c>
      <c r="F2350" s="39" t="s">
        <v>2643</v>
      </c>
      <c r="G2350" s="16">
        <v>2</v>
      </c>
      <c r="H2350" s="16" t="s">
        <v>28</v>
      </c>
      <c r="I2350" s="16">
        <v>10200</v>
      </c>
      <c r="J2350" s="16">
        <f t="shared" si="457"/>
        <v>20400</v>
      </c>
      <c r="K2350" s="16"/>
      <c r="L2350" s="16"/>
      <c r="M2350" s="16"/>
      <c r="N2350" s="16"/>
      <c r="O2350" s="16">
        <v>2</v>
      </c>
      <c r="P2350" s="16">
        <v>10200</v>
      </c>
      <c r="Q2350" s="16">
        <f>O2350*P2350</f>
        <v>20400</v>
      </c>
      <c r="R2350" s="18">
        <v>0.18</v>
      </c>
      <c r="S2350" s="16">
        <f>Q2350*R2350</f>
        <v>3672</v>
      </c>
      <c r="T2350" s="16">
        <f>Q2350+S2350</f>
        <v>24072</v>
      </c>
      <c r="U2350" s="16" t="s">
        <v>2645</v>
      </c>
      <c r="V2350" s="19">
        <v>46150</v>
      </c>
      <c r="W2350" s="136" t="s">
        <v>2723</v>
      </c>
    </row>
    <row r="2351" spans="1:23" x14ac:dyDescent="0.3">
      <c r="A2351" s="1"/>
      <c r="B2351" s="101" t="s">
        <v>2642</v>
      </c>
      <c r="C2351" s="1"/>
      <c r="D2351" s="1"/>
      <c r="E2351" s="1"/>
      <c r="F2351" s="124" t="s">
        <v>39</v>
      </c>
      <c r="G2351" s="1"/>
      <c r="H2351" s="1"/>
      <c r="I2351" s="1"/>
      <c r="J2351" s="124">
        <f>SUM(J2350)</f>
        <v>20400</v>
      </c>
      <c r="K2351" s="1"/>
      <c r="L2351" s="1"/>
      <c r="M2351" s="1"/>
      <c r="N2351" s="1"/>
      <c r="O2351" s="1"/>
      <c r="P2351" s="1"/>
      <c r="Q2351" s="1"/>
      <c r="R2351" s="1"/>
      <c r="S2351" s="1"/>
      <c r="T2351" s="1"/>
      <c r="U2351" s="1"/>
      <c r="V2351" s="1"/>
    </row>
    <row r="2352" spans="1:23" x14ac:dyDescent="0.3">
      <c r="A2352" s="1"/>
      <c r="B2352" s="1"/>
      <c r="C2352" s="1"/>
      <c r="D2352" s="1"/>
      <c r="E2352" s="1"/>
      <c r="F2352" s="124" t="s">
        <v>187</v>
      </c>
      <c r="G2352" s="1"/>
      <c r="H2352" s="1"/>
      <c r="I2352" s="1"/>
      <c r="J2352" s="124">
        <f>J2351*18/100</f>
        <v>3672</v>
      </c>
      <c r="K2352" s="1"/>
      <c r="L2352" s="1"/>
      <c r="M2352" s="1"/>
      <c r="N2352" s="1"/>
      <c r="O2352" s="1"/>
      <c r="P2352" s="1"/>
      <c r="Q2352" s="1"/>
      <c r="R2352" s="1"/>
      <c r="S2352" s="1"/>
      <c r="T2352" s="1"/>
      <c r="U2352" s="1"/>
      <c r="V2352" s="1"/>
    </row>
    <row r="2353" spans="1:22" x14ac:dyDescent="0.3">
      <c r="A2353" s="1"/>
      <c r="B2353" s="1"/>
      <c r="C2353" s="1"/>
      <c r="D2353" s="1"/>
      <c r="E2353" s="1"/>
      <c r="F2353" s="124" t="s">
        <v>41</v>
      </c>
      <c r="G2353" s="1"/>
      <c r="H2353" s="1"/>
      <c r="I2353" s="1"/>
      <c r="J2353" s="124">
        <f>SUM(J2351:J2352)</f>
        <v>24072</v>
      </c>
      <c r="K2353" s="1"/>
      <c r="L2353" s="1"/>
      <c r="M2353" s="1"/>
      <c r="N2353" s="1"/>
      <c r="O2353" s="1"/>
      <c r="P2353" s="1"/>
      <c r="Q2353" s="1"/>
      <c r="R2353" s="1"/>
      <c r="S2353" s="1"/>
      <c r="T2353" s="1">
        <f>SUM(T2350:T2352)</f>
        <v>24072</v>
      </c>
      <c r="U2353" s="1"/>
      <c r="V2353" s="1"/>
    </row>
    <row r="2354" spans="1:22" x14ac:dyDescent="0.3">
      <c r="A2354" s="1"/>
      <c r="B2354" s="1"/>
      <c r="C2354" s="1"/>
      <c r="D2354" s="1"/>
      <c r="E2354" s="1"/>
      <c r="F2354" s="124"/>
      <c r="G2354" s="1"/>
      <c r="H2354" s="1"/>
      <c r="I2354" s="1"/>
      <c r="J2354" s="124"/>
      <c r="K2354" s="1"/>
      <c r="L2354" s="1"/>
      <c r="M2354" s="1"/>
      <c r="N2354" s="1"/>
      <c r="O2354" s="1"/>
      <c r="P2354" s="1"/>
      <c r="Q2354" s="1"/>
      <c r="R2354" s="1"/>
      <c r="S2354" s="1"/>
      <c r="T2354" s="1"/>
      <c r="U2354" s="1"/>
      <c r="V2354" s="1"/>
    </row>
    <row r="2355" spans="1:22" ht="25.2" x14ac:dyDescent="0.3">
      <c r="A2355" s="16">
        <v>220</v>
      </c>
      <c r="B2355" s="16">
        <v>9200169394</v>
      </c>
      <c r="C2355" s="16" t="s">
        <v>2476</v>
      </c>
      <c r="D2355" s="16" t="s">
        <v>43</v>
      </c>
      <c r="E2355" s="16" t="s">
        <v>123</v>
      </c>
      <c r="F2355" s="39" t="s">
        <v>2477</v>
      </c>
      <c r="G2355" s="16">
        <v>1</v>
      </c>
      <c r="H2355" s="16" t="s">
        <v>28</v>
      </c>
      <c r="I2355" s="16">
        <v>43000</v>
      </c>
      <c r="J2355" s="16">
        <f t="shared" si="457"/>
        <v>43000</v>
      </c>
      <c r="K2355" s="16">
        <v>1</v>
      </c>
      <c r="L2355" s="16" t="s">
        <v>28</v>
      </c>
      <c r="M2355" s="16" t="s">
        <v>91</v>
      </c>
      <c r="N2355" s="16" t="s">
        <v>2594</v>
      </c>
      <c r="O2355" s="16">
        <v>1</v>
      </c>
      <c r="P2355" s="16">
        <v>43000</v>
      </c>
      <c r="Q2355" s="16">
        <f>O2355*P2355</f>
        <v>43000</v>
      </c>
      <c r="R2355" s="18">
        <v>0</v>
      </c>
      <c r="S2355" s="16">
        <f>Q2355*R2355</f>
        <v>0</v>
      </c>
      <c r="T2355" s="16">
        <f>Q2355+S2355</f>
        <v>43000</v>
      </c>
      <c r="U2355" s="16" t="s">
        <v>2678</v>
      </c>
      <c r="V2355" s="19">
        <v>46334</v>
      </c>
    </row>
    <row r="2356" spans="1:22" x14ac:dyDescent="0.3">
      <c r="A2356" s="1"/>
      <c r="B2356" s="1"/>
      <c r="C2356" s="1"/>
      <c r="D2356" s="1"/>
      <c r="E2356" s="1"/>
      <c r="F2356" s="124" t="s">
        <v>39</v>
      </c>
      <c r="G2356" s="1"/>
      <c r="H2356" s="1"/>
      <c r="I2356" s="1"/>
      <c r="J2356" s="124">
        <f>SUM(J2355)</f>
        <v>43000</v>
      </c>
      <c r="K2356" s="1"/>
      <c r="L2356" s="1"/>
      <c r="M2356" s="1"/>
      <c r="N2356" s="1"/>
      <c r="O2356" s="1"/>
      <c r="P2356" s="1"/>
      <c r="Q2356" s="1"/>
      <c r="R2356" s="1"/>
      <c r="S2356" s="1"/>
      <c r="T2356" s="1"/>
      <c r="U2356" s="1"/>
      <c r="V2356" s="1"/>
    </row>
    <row r="2357" spans="1:22" x14ac:dyDescent="0.3">
      <c r="A2357" s="1"/>
      <c r="B2357" s="1"/>
      <c r="C2357" s="1"/>
      <c r="D2357" s="1"/>
      <c r="E2357" s="1"/>
      <c r="F2357" s="124" t="s">
        <v>599</v>
      </c>
      <c r="G2357" s="1"/>
      <c r="H2357" s="1"/>
      <c r="I2357" s="1"/>
      <c r="J2357" s="124">
        <f>J2356*0/100</f>
        <v>0</v>
      </c>
      <c r="K2357" s="1"/>
      <c r="L2357" s="1"/>
      <c r="M2357" s="1"/>
      <c r="N2357" s="1"/>
      <c r="O2357" s="1"/>
      <c r="P2357" s="1"/>
      <c r="Q2357" s="1"/>
      <c r="R2357" s="1"/>
      <c r="S2357" s="1"/>
      <c r="T2357" s="1"/>
      <c r="U2357" s="1"/>
      <c r="V2357" s="1"/>
    </row>
    <row r="2358" spans="1:22" x14ac:dyDescent="0.3">
      <c r="A2358" s="1"/>
      <c r="B2358" s="1"/>
      <c r="C2358" s="1"/>
      <c r="D2358" s="1"/>
      <c r="E2358" s="1"/>
      <c r="F2358" s="124" t="s">
        <v>41</v>
      </c>
      <c r="G2358" s="1"/>
      <c r="H2358" s="1"/>
      <c r="I2358" s="1"/>
      <c r="J2358" s="124">
        <f>SUM(J2356:J2357)</f>
        <v>43000</v>
      </c>
      <c r="K2358" s="1"/>
      <c r="L2358" s="1"/>
      <c r="M2358" s="1"/>
      <c r="N2358" s="1"/>
      <c r="O2358" s="1"/>
      <c r="P2358" s="1"/>
      <c r="Q2358" s="1"/>
      <c r="R2358" s="1"/>
      <c r="S2358" s="1"/>
      <c r="T2358" s="1"/>
      <c r="U2358" s="1"/>
      <c r="V2358" s="1"/>
    </row>
    <row r="2359" spans="1:22" x14ac:dyDescent="0.3">
      <c r="A2359" s="1"/>
      <c r="B2359" s="1"/>
      <c r="C2359" s="1"/>
      <c r="D2359" s="1"/>
      <c r="E2359" s="1"/>
      <c r="F2359" s="124"/>
      <c r="G2359" s="1"/>
      <c r="H2359" s="1"/>
      <c r="I2359" s="1"/>
      <c r="J2359" s="124"/>
      <c r="K2359" s="1"/>
      <c r="L2359" s="1"/>
      <c r="M2359" s="1"/>
      <c r="N2359" s="1"/>
      <c r="O2359" s="1"/>
      <c r="P2359" s="1"/>
      <c r="Q2359" s="1"/>
      <c r="R2359" s="1"/>
      <c r="S2359" s="1"/>
      <c r="T2359" s="1"/>
      <c r="U2359" s="1"/>
      <c r="V2359" s="1"/>
    </row>
    <row r="2360" spans="1:22" ht="25.2" x14ac:dyDescent="0.3">
      <c r="A2360" s="16">
        <v>221</v>
      </c>
      <c r="B2360" s="16">
        <v>9200169396</v>
      </c>
      <c r="C2360" s="16" t="s">
        <v>2476</v>
      </c>
      <c r="D2360" s="16" t="s">
        <v>43</v>
      </c>
      <c r="E2360" s="16" t="s">
        <v>123</v>
      </c>
      <c r="F2360" s="39" t="s">
        <v>2478</v>
      </c>
      <c r="G2360" s="16">
        <v>32</v>
      </c>
      <c r="H2360" s="16" t="s">
        <v>87</v>
      </c>
      <c r="I2360" s="16">
        <v>1000</v>
      </c>
      <c r="J2360" s="16">
        <f t="shared" si="457"/>
        <v>32000</v>
      </c>
      <c r="K2360" s="16">
        <v>30</v>
      </c>
      <c r="L2360" s="16" t="s">
        <v>252</v>
      </c>
      <c r="M2360" s="16" t="s">
        <v>1570</v>
      </c>
      <c r="N2360" s="16" t="s">
        <v>2571</v>
      </c>
      <c r="O2360" s="58">
        <v>30</v>
      </c>
      <c r="P2360" s="16">
        <v>1000</v>
      </c>
      <c r="Q2360" s="16">
        <f>O2360*P2360</f>
        <v>30000</v>
      </c>
      <c r="R2360" s="18">
        <v>0</v>
      </c>
      <c r="S2360" s="16">
        <f>Q2360*R2360</f>
        <v>0</v>
      </c>
      <c r="T2360" s="16">
        <f>Q2360+S2360</f>
        <v>30000</v>
      </c>
      <c r="U2360" s="16" t="s">
        <v>2672</v>
      </c>
      <c r="V2360" s="19">
        <v>46334</v>
      </c>
    </row>
    <row r="2361" spans="1:22" x14ac:dyDescent="0.3">
      <c r="A2361" s="1"/>
      <c r="B2361" s="1"/>
      <c r="C2361" s="1"/>
      <c r="D2361" s="1"/>
      <c r="E2361" s="1"/>
      <c r="F2361" s="16" t="s">
        <v>2479</v>
      </c>
      <c r="G2361" s="16">
        <v>8</v>
      </c>
      <c r="H2361" s="16" t="s">
        <v>87</v>
      </c>
      <c r="I2361" s="16">
        <v>700</v>
      </c>
      <c r="J2361" s="16">
        <f t="shared" si="457"/>
        <v>5600</v>
      </c>
      <c r="K2361" s="16">
        <v>8</v>
      </c>
      <c r="L2361" s="16" t="s">
        <v>252</v>
      </c>
      <c r="M2361" s="16" t="s">
        <v>1570</v>
      </c>
      <c r="N2361" s="16" t="s">
        <v>2571</v>
      </c>
      <c r="O2361" s="16">
        <v>8</v>
      </c>
      <c r="P2361" s="16">
        <v>700</v>
      </c>
      <c r="Q2361" s="16">
        <f>O2361*P2361</f>
        <v>5600</v>
      </c>
      <c r="R2361" s="18">
        <v>0</v>
      </c>
      <c r="S2361" s="16">
        <f>Q2361*R2361</f>
        <v>0</v>
      </c>
      <c r="T2361" s="16">
        <f>Q2361+S2361</f>
        <v>5600</v>
      </c>
      <c r="U2361" s="16" t="s">
        <v>2672</v>
      </c>
      <c r="V2361" s="19">
        <v>46334</v>
      </c>
    </row>
    <row r="2362" spans="1:22" x14ac:dyDescent="0.3">
      <c r="A2362" s="1"/>
      <c r="B2362" s="1"/>
      <c r="C2362" s="1"/>
      <c r="D2362" s="1"/>
      <c r="E2362" s="1"/>
      <c r="F2362" s="124" t="s">
        <v>39</v>
      </c>
      <c r="G2362" s="1"/>
      <c r="H2362" s="1"/>
      <c r="I2362" s="1"/>
      <c r="J2362" s="124">
        <f>SUM(J2360:J2361)</f>
        <v>37600</v>
      </c>
      <c r="K2362" s="1"/>
      <c r="L2362" s="1"/>
      <c r="M2362" s="1"/>
      <c r="N2362" s="1"/>
      <c r="O2362" s="1"/>
      <c r="P2362" s="1"/>
      <c r="Q2362" s="1"/>
      <c r="R2362" s="1"/>
      <c r="S2362" s="1"/>
      <c r="T2362" s="1"/>
      <c r="U2362" s="1"/>
      <c r="V2362" s="1"/>
    </row>
    <row r="2363" spans="1:22" x14ac:dyDescent="0.3">
      <c r="A2363" s="1"/>
      <c r="B2363" s="1"/>
      <c r="C2363" s="1"/>
      <c r="D2363" s="1"/>
      <c r="E2363" s="1"/>
      <c r="F2363" s="124" t="s">
        <v>599</v>
      </c>
      <c r="G2363" s="1"/>
      <c r="H2363" s="1"/>
      <c r="I2363" s="1"/>
      <c r="J2363" s="124">
        <f>J2362*0/100</f>
        <v>0</v>
      </c>
      <c r="K2363" s="1"/>
      <c r="L2363" s="1"/>
      <c r="M2363" s="1"/>
      <c r="N2363" s="1"/>
      <c r="O2363" s="1"/>
      <c r="P2363" s="1"/>
      <c r="Q2363" s="1"/>
      <c r="R2363" s="1"/>
      <c r="S2363" s="1"/>
      <c r="T2363" s="1"/>
      <c r="U2363" s="1"/>
      <c r="V2363" s="1"/>
    </row>
    <row r="2364" spans="1:22" x14ac:dyDescent="0.3">
      <c r="A2364" s="1"/>
      <c r="B2364" s="1"/>
      <c r="C2364" s="1"/>
      <c r="D2364" s="1"/>
      <c r="E2364" s="1"/>
      <c r="F2364" s="124" t="s">
        <v>41</v>
      </c>
      <c r="G2364" s="1"/>
      <c r="H2364" s="1"/>
      <c r="I2364" s="1"/>
      <c r="J2364" s="124">
        <f>SUM(J2362:J2363)</f>
        <v>37600</v>
      </c>
      <c r="K2364" s="1"/>
      <c r="L2364" s="1"/>
      <c r="M2364" s="1"/>
      <c r="N2364" s="1"/>
      <c r="O2364" s="1"/>
      <c r="P2364" s="1"/>
      <c r="Q2364" s="1"/>
      <c r="R2364" s="1"/>
      <c r="S2364" s="1"/>
      <c r="T2364" s="1">
        <f>SUM(T2360:T2363)</f>
        <v>35600</v>
      </c>
      <c r="U2364" s="1"/>
      <c r="V2364" s="1"/>
    </row>
    <row r="2365" spans="1:22" x14ac:dyDescent="0.3">
      <c r="A2365" s="1"/>
      <c r="B2365" s="1"/>
      <c r="C2365" s="1"/>
      <c r="D2365" s="1"/>
      <c r="E2365" s="1"/>
      <c r="F2365" s="124"/>
      <c r="G2365" s="1"/>
      <c r="H2365" s="1"/>
      <c r="I2365" s="1"/>
      <c r="J2365" s="124"/>
      <c r="K2365" s="1"/>
      <c r="L2365" s="1"/>
      <c r="M2365" s="1"/>
      <c r="N2365" s="1"/>
      <c r="O2365" s="1"/>
      <c r="P2365" s="1"/>
      <c r="Q2365" s="1"/>
      <c r="R2365" s="1"/>
      <c r="S2365" s="1"/>
      <c r="T2365" s="1"/>
      <c r="U2365" s="1"/>
      <c r="V2365" s="1"/>
    </row>
    <row r="2366" spans="1:22" ht="25.2" x14ac:dyDescent="0.3">
      <c r="A2366" s="1">
        <v>222</v>
      </c>
      <c r="B2366" s="1">
        <v>9200169521</v>
      </c>
      <c r="C2366" s="1" t="s">
        <v>2480</v>
      </c>
      <c r="D2366" s="1" t="s">
        <v>43</v>
      </c>
      <c r="E2366" s="1" t="s">
        <v>123</v>
      </c>
      <c r="F2366" s="22" t="s">
        <v>2481</v>
      </c>
      <c r="G2366" s="1">
        <v>55</v>
      </c>
      <c r="H2366" s="1" t="s">
        <v>111</v>
      </c>
      <c r="I2366" s="1">
        <v>480</v>
      </c>
      <c r="J2366" s="1">
        <f t="shared" si="457"/>
        <v>26400</v>
      </c>
      <c r="K2366" s="58">
        <v>20</v>
      </c>
      <c r="L2366" s="58" t="s">
        <v>252</v>
      </c>
      <c r="M2366" s="58" t="s">
        <v>91</v>
      </c>
      <c r="N2366" s="58" t="s">
        <v>2573</v>
      </c>
      <c r="O2366" s="1"/>
      <c r="P2366" s="1"/>
      <c r="Q2366" s="1"/>
      <c r="R2366" s="1"/>
      <c r="S2366" s="1"/>
      <c r="T2366" s="1"/>
      <c r="U2366" s="1"/>
      <c r="V2366" s="1"/>
    </row>
    <row r="2367" spans="1:22" ht="50.4" x14ac:dyDescent="0.3">
      <c r="A2367" s="1"/>
      <c r="B2367" s="1"/>
      <c r="C2367" s="1"/>
      <c r="D2367" s="1"/>
      <c r="E2367" s="1" t="s">
        <v>123</v>
      </c>
      <c r="F2367" s="22" t="s">
        <v>2482</v>
      </c>
      <c r="G2367" s="1">
        <v>50</v>
      </c>
      <c r="H2367" s="1" t="s">
        <v>111</v>
      </c>
      <c r="I2367" s="1">
        <v>320</v>
      </c>
      <c r="J2367" s="1">
        <f t="shared" si="457"/>
        <v>16000</v>
      </c>
      <c r="K2367" s="1"/>
      <c r="L2367" s="1"/>
      <c r="M2367" s="1"/>
      <c r="N2367" s="1"/>
      <c r="O2367" s="1"/>
      <c r="P2367" s="1"/>
      <c r="Q2367" s="1"/>
      <c r="R2367" s="1"/>
      <c r="S2367" s="1"/>
      <c r="T2367" s="1"/>
      <c r="U2367" s="1"/>
      <c r="V2367" s="1"/>
    </row>
    <row r="2368" spans="1:22" x14ac:dyDescent="0.3">
      <c r="A2368" s="1"/>
      <c r="B2368" s="1"/>
      <c r="C2368" s="1"/>
      <c r="D2368" s="1"/>
      <c r="E2368" s="1"/>
      <c r="F2368" s="124" t="s">
        <v>39</v>
      </c>
      <c r="G2368" s="1"/>
      <c r="H2368" s="1"/>
      <c r="I2368" s="1"/>
      <c r="J2368" s="124">
        <f>SUM(J2366:J2367)</f>
        <v>42400</v>
      </c>
      <c r="K2368" s="1"/>
      <c r="L2368" s="1"/>
      <c r="M2368" s="1"/>
      <c r="N2368" s="1"/>
      <c r="O2368" s="1"/>
      <c r="P2368" s="1"/>
      <c r="Q2368" s="1"/>
      <c r="R2368" s="1"/>
      <c r="S2368" s="1"/>
      <c r="T2368" s="1"/>
      <c r="U2368" s="1"/>
      <c r="V2368" s="1"/>
    </row>
    <row r="2369" spans="1:23" x14ac:dyDescent="0.3">
      <c r="A2369" s="1"/>
      <c r="B2369" s="1"/>
      <c r="C2369" s="1"/>
      <c r="D2369" s="1"/>
      <c r="E2369" s="1"/>
      <c r="F2369" s="124" t="s">
        <v>599</v>
      </c>
      <c r="G2369" s="1"/>
      <c r="H2369" s="1"/>
      <c r="I2369" s="1"/>
      <c r="J2369" s="124">
        <f>J2368*0/100</f>
        <v>0</v>
      </c>
      <c r="K2369" s="1"/>
      <c r="L2369" s="1"/>
      <c r="M2369" s="1"/>
      <c r="N2369" s="1"/>
      <c r="O2369" s="1"/>
      <c r="P2369" s="1"/>
      <c r="Q2369" s="1"/>
      <c r="R2369" s="1"/>
      <c r="S2369" s="1"/>
      <c r="T2369" s="1"/>
      <c r="U2369" s="1"/>
      <c r="V2369" s="1"/>
    </row>
    <row r="2370" spans="1:23" x14ac:dyDescent="0.3">
      <c r="A2370" s="1"/>
      <c r="B2370" s="1"/>
      <c r="C2370" s="1"/>
      <c r="D2370" s="1"/>
      <c r="E2370" s="1"/>
      <c r="F2370" s="124" t="s">
        <v>41</v>
      </c>
      <c r="G2370" s="1"/>
      <c r="H2370" s="1"/>
      <c r="I2370" s="1"/>
      <c r="J2370" s="124">
        <f>SUM(J2368:J2369)</f>
        <v>42400</v>
      </c>
      <c r="K2370" s="1"/>
      <c r="L2370" s="1"/>
      <c r="M2370" s="1"/>
      <c r="N2370" s="1"/>
      <c r="O2370" s="1"/>
      <c r="P2370" s="1"/>
      <c r="Q2370" s="1"/>
      <c r="R2370" s="1"/>
      <c r="S2370" s="1"/>
      <c r="T2370" s="1"/>
      <c r="U2370" s="1"/>
      <c r="V2370" s="1"/>
    </row>
    <row r="2371" spans="1:23" x14ac:dyDescent="0.3">
      <c r="A2371" s="1"/>
      <c r="B2371" s="1"/>
      <c r="C2371" s="1"/>
      <c r="D2371" s="1"/>
      <c r="E2371" s="1"/>
      <c r="F2371" s="124"/>
      <c r="G2371" s="1"/>
      <c r="H2371" s="1"/>
      <c r="I2371" s="1"/>
      <c r="J2371" s="124"/>
      <c r="K2371" s="1"/>
      <c r="L2371" s="1"/>
      <c r="M2371" s="1"/>
      <c r="N2371" s="1"/>
      <c r="O2371" s="1"/>
      <c r="P2371" s="1"/>
      <c r="Q2371" s="1"/>
      <c r="R2371" s="1"/>
      <c r="S2371" s="1"/>
      <c r="T2371" s="1"/>
      <c r="U2371" s="1"/>
      <c r="V2371" s="1"/>
    </row>
    <row r="2372" spans="1:23" x14ac:dyDescent="0.3">
      <c r="A2372" s="16">
        <v>223</v>
      </c>
      <c r="B2372" s="16">
        <v>9200169529</v>
      </c>
      <c r="C2372" s="16" t="s">
        <v>2480</v>
      </c>
      <c r="D2372" s="16" t="s">
        <v>43</v>
      </c>
      <c r="E2372" s="16" t="s">
        <v>123</v>
      </c>
      <c r="F2372" s="16" t="s">
        <v>2483</v>
      </c>
      <c r="G2372" s="16">
        <v>11</v>
      </c>
      <c r="H2372" s="16" t="s">
        <v>28</v>
      </c>
      <c r="I2372" s="16">
        <v>1630</v>
      </c>
      <c r="J2372" s="16">
        <f t="shared" si="457"/>
        <v>17930</v>
      </c>
      <c r="K2372" s="16">
        <v>11</v>
      </c>
      <c r="L2372" s="16" t="s">
        <v>28</v>
      </c>
      <c r="M2372" s="16" t="s">
        <v>91</v>
      </c>
      <c r="N2372" s="16" t="s">
        <v>2595</v>
      </c>
      <c r="O2372" s="16">
        <v>11</v>
      </c>
      <c r="P2372" s="16">
        <v>1630</v>
      </c>
      <c r="Q2372" s="16">
        <f>O2372*P2372</f>
        <v>17930</v>
      </c>
      <c r="R2372" s="18">
        <v>0</v>
      </c>
      <c r="S2372" s="16">
        <f>Q2372*R2372</f>
        <v>0</v>
      </c>
      <c r="T2372" s="16">
        <f>Q2372+S2372</f>
        <v>17930</v>
      </c>
      <c r="U2372" s="16" t="s">
        <v>2618</v>
      </c>
      <c r="V2372" s="19" t="s">
        <v>2619</v>
      </c>
      <c r="W2372" s="136" t="s">
        <v>2640</v>
      </c>
    </row>
    <row r="2373" spans="1:23" x14ac:dyDescent="0.3">
      <c r="A2373" s="1"/>
      <c r="B2373" s="1"/>
      <c r="C2373" s="1"/>
      <c r="D2373" s="1"/>
      <c r="E2373" s="16" t="s">
        <v>123</v>
      </c>
      <c r="F2373" s="16" t="s">
        <v>2484</v>
      </c>
      <c r="G2373" s="16">
        <v>1</v>
      </c>
      <c r="H2373" s="16" t="s">
        <v>28</v>
      </c>
      <c r="I2373" s="16">
        <v>2445</v>
      </c>
      <c r="J2373" s="16">
        <f t="shared" si="457"/>
        <v>2445</v>
      </c>
      <c r="K2373" s="16">
        <v>1</v>
      </c>
      <c r="L2373" s="16" t="s">
        <v>28</v>
      </c>
      <c r="M2373" s="16" t="s">
        <v>91</v>
      </c>
      <c r="N2373" s="16" t="s">
        <v>2595</v>
      </c>
      <c r="O2373" s="16">
        <v>1</v>
      </c>
      <c r="P2373" s="16">
        <v>2445</v>
      </c>
      <c r="Q2373" s="16">
        <f t="shared" ref="Q2373:Q2376" si="494">O2373*P2373</f>
        <v>2445</v>
      </c>
      <c r="R2373" s="18">
        <v>0</v>
      </c>
      <c r="S2373" s="16">
        <f t="shared" ref="S2373:S2376" si="495">Q2373*R2373</f>
        <v>0</v>
      </c>
      <c r="T2373" s="16">
        <f t="shared" ref="T2373:T2376" si="496">Q2373+S2373</f>
        <v>2445</v>
      </c>
      <c r="U2373" s="16" t="s">
        <v>2618</v>
      </c>
      <c r="V2373" s="19" t="s">
        <v>2619</v>
      </c>
      <c r="W2373" s="136" t="s">
        <v>2640</v>
      </c>
    </row>
    <row r="2374" spans="1:23" x14ac:dyDescent="0.3">
      <c r="A2374" s="1"/>
      <c r="B2374" s="1"/>
      <c r="C2374" s="1"/>
      <c r="D2374" s="1"/>
      <c r="E2374" s="16" t="s">
        <v>123</v>
      </c>
      <c r="F2374" s="16" t="s">
        <v>2485</v>
      </c>
      <c r="G2374" s="16">
        <v>150</v>
      </c>
      <c r="H2374" s="16" t="s">
        <v>252</v>
      </c>
      <c r="I2374" s="16">
        <v>113</v>
      </c>
      <c r="J2374" s="16">
        <f t="shared" si="457"/>
        <v>16950</v>
      </c>
      <c r="K2374" s="16">
        <v>156</v>
      </c>
      <c r="L2374" s="16" t="s">
        <v>252</v>
      </c>
      <c r="M2374" s="16" t="s">
        <v>91</v>
      </c>
      <c r="N2374" s="16" t="s">
        <v>2574</v>
      </c>
      <c r="O2374" s="16">
        <v>150</v>
      </c>
      <c r="P2374" s="16">
        <v>113</v>
      </c>
      <c r="Q2374" s="16">
        <f t="shared" si="494"/>
        <v>16950</v>
      </c>
      <c r="R2374" s="18">
        <v>0</v>
      </c>
      <c r="S2374" s="16">
        <f t="shared" si="495"/>
        <v>0</v>
      </c>
      <c r="T2374" s="16">
        <f t="shared" si="496"/>
        <v>16950</v>
      </c>
      <c r="U2374" s="16" t="s">
        <v>2618</v>
      </c>
      <c r="V2374" s="19" t="s">
        <v>2619</v>
      </c>
      <c r="W2374" s="136" t="s">
        <v>2640</v>
      </c>
    </row>
    <row r="2375" spans="1:23" x14ac:dyDescent="0.3">
      <c r="A2375" s="1"/>
      <c r="B2375" s="1"/>
      <c r="C2375" s="1"/>
      <c r="D2375" s="1"/>
      <c r="E2375" s="16" t="s">
        <v>123</v>
      </c>
      <c r="F2375" s="16" t="s">
        <v>2486</v>
      </c>
      <c r="G2375" s="16">
        <v>120</v>
      </c>
      <c r="H2375" s="16" t="s">
        <v>111</v>
      </c>
      <c r="I2375" s="16">
        <v>370</v>
      </c>
      <c r="J2375" s="16">
        <f t="shared" si="457"/>
        <v>44400</v>
      </c>
      <c r="K2375" s="16">
        <v>120</v>
      </c>
      <c r="L2375" s="16" t="s">
        <v>111</v>
      </c>
      <c r="M2375" s="16" t="s">
        <v>91</v>
      </c>
      <c r="N2375" s="16" t="s">
        <v>2574</v>
      </c>
      <c r="O2375" s="16">
        <v>120</v>
      </c>
      <c r="P2375" s="16">
        <v>370</v>
      </c>
      <c r="Q2375" s="16">
        <f t="shared" si="494"/>
        <v>44400</v>
      </c>
      <c r="R2375" s="18">
        <v>0</v>
      </c>
      <c r="S2375" s="16">
        <f t="shared" si="495"/>
        <v>0</v>
      </c>
      <c r="T2375" s="16">
        <f t="shared" si="496"/>
        <v>44400</v>
      </c>
      <c r="U2375" s="16" t="s">
        <v>2618</v>
      </c>
      <c r="V2375" s="19" t="s">
        <v>2619</v>
      </c>
      <c r="W2375" s="136" t="s">
        <v>2640</v>
      </c>
    </row>
    <row r="2376" spans="1:23" ht="25.2" x14ac:dyDescent="0.3">
      <c r="A2376" s="1"/>
      <c r="B2376" s="1"/>
      <c r="C2376" s="1"/>
      <c r="D2376" s="1"/>
      <c r="E2376" s="16" t="s">
        <v>123</v>
      </c>
      <c r="F2376" s="39" t="s">
        <v>2487</v>
      </c>
      <c r="G2376" s="16">
        <v>100</v>
      </c>
      <c r="H2376" s="16" t="s">
        <v>111</v>
      </c>
      <c r="I2376" s="16">
        <v>45</v>
      </c>
      <c r="J2376" s="16">
        <f t="shared" si="457"/>
        <v>4500</v>
      </c>
      <c r="K2376" s="16"/>
      <c r="L2376" s="16"/>
      <c r="M2376" s="16"/>
      <c r="N2376" s="16"/>
      <c r="O2376" s="16">
        <v>100</v>
      </c>
      <c r="P2376" s="16">
        <v>45</v>
      </c>
      <c r="Q2376" s="16">
        <f t="shared" si="494"/>
        <v>4500</v>
      </c>
      <c r="R2376" s="18">
        <v>0</v>
      </c>
      <c r="S2376" s="16">
        <f t="shared" si="495"/>
        <v>0</v>
      </c>
      <c r="T2376" s="16">
        <f t="shared" si="496"/>
        <v>4500</v>
      </c>
      <c r="U2376" s="16" t="s">
        <v>2618</v>
      </c>
      <c r="V2376" s="19" t="s">
        <v>2619</v>
      </c>
      <c r="W2376" s="136" t="s">
        <v>2640</v>
      </c>
    </row>
    <row r="2377" spans="1:23" x14ac:dyDescent="0.3">
      <c r="A2377" s="1"/>
      <c r="B2377" s="1"/>
      <c r="C2377" s="1"/>
      <c r="D2377" s="1"/>
      <c r="E2377" s="1"/>
      <c r="F2377" s="124" t="s">
        <v>39</v>
      </c>
      <c r="G2377" s="1"/>
      <c r="H2377" s="1"/>
      <c r="I2377" s="1"/>
      <c r="J2377" s="124">
        <f>SUM(J2372:J2376)</f>
        <v>86225</v>
      </c>
      <c r="K2377" s="1"/>
      <c r="L2377" s="1"/>
      <c r="M2377" s="1"/>
      <c r="N2377" s="1"/>
      <c r="O2377" s="1"/>
      <c r="P2377" s="1"/>
      <c r="Q2377" s="1"/>
      <c r="R2377" s="1"/>
      <c r="S2377" s="1"/>
      <c r="T2377" s="1"/>
      <c r="U2377" s="1"/>
      <c r="V2377" s="1"/>
    </row>
    <row r="2378" spans="1:23" x14ac:dyDescent="0.3">
      <c r="A2378" s="1"/>
      <c r="B2378" s="1"/>
      <c r="C2378" s="1"/>
      <c r="D2378" s="1"/>
      <c r="E2378" s="1"/>
      <c r="F2378" s="124" t="s">
        <v>599</v>
      </c>
      <c r="G2378" s="1"/>
      <c r="H2378" s="1"/>
      <c r="I2378" s="1"/>
      <c r="J2378" s="124">
        <f>J2377*0/100</f>
        <v>0</v>
      </c>
      <c r="K2378" s="1"/>
      <c r="L2378" s="1"/>
      <c r="M2378" s="1"/>
      <c r="N2378" s="1"/>
      <c r="O2378" s="1"/>
      <c r="P2378" s="1"/>
      <c r="Q2378" s="1"/>
      <c r="R2378" s="1"/>
      <c r="S2378" s="1"/>
      <c r="T2378" s="1"/>
      <c r="U2378" s="1"/>
      <c r="V2378" s="1"/>
    </row>
    <row r="2379" spans="1:23" x14ac:dyDescent="0.3">
      <c r="A2379" s="1"/>
      <c r="B2379" s="1"/>
      <c r="C2379" s="1"/>
      <c r="D2379" s="1"/>
      <c r="E2379" s="1"/>
      <c r="F2379" s="124" t="s">
        <v>41</v>
      </c>
      <c r="G2379" s="1"/>
      <c r="H2379" s="1"/>
      <c r="I2379" s="1"/>
      <c r="J2379" s="124">
        <f>SUM(J2377:J2378)</f>
        <v>86225</v>
      </c>
      <c r="K2379" s="1"/>
      <c r="L2379" s="1"/>
      <c r="M2379" s="1"/>
      <c r="N2379" s="1"/>
      <c r="O2379" s="1"/>
      <c r="P2379" s="1"/>
      <c r="Q2379" s="1"/>
      <c r="R2379" s="1"/>
      <c r="S2379" s="1"/>
      <c r="T2379" s="1">
        <f>SUM(T2372:T2378)</f>
        <v>86225</v>
      </c>
      <c r="U2379" s="1"/>
      <c r="V2379" s="1"/>
    </row>
    <row r="2380" spans="1:23" x14ac:dyDescent="0.3">
      <c r="A2380" s="1"/>
      <c r="B2380" s="1"/>
      <c r="C2380" s="1"/>
      <c r="D2380" s="1"/>
      <c r="E2380" s="1"/>
      <c r="F2380" s="124"/>
      <c r="G2380" s="1"/>
      <c r="H2380" s="1"/>
      <c r="I2380" s="1"/>
      <c r="J2380" s="124"/>
      <c r="K2380" s="1"/>
      <c r="L2380" s="1"/>
      <c r="M2380" s="1"/>
      <c r="N2380" s="1"/>
      <c r="O2380" s="1"/>
      <c r="P2380" s="1"/>
      <c r="Q2380" s="1"/>
      <c r="R2380" s="1"/>
      <c r="S2380" s="1"/>
      <c r="T2380" s="1"/>
      <c r="U2380" s="1"/>
      <c r="V2380" s="1"/>
    </row>
    <row r="2381" spans="1:23" ht="37.799999999999997" x14ac:dyDescent="0.3">
      <c r="A2381" s="1">
        <v>224</v>
      </c>
      <c r="B2381" s="1">
        <v>9200170088</v>
      </c>
      <c r="C2381" s="37">
        <v>46180</v>
      </c>
      <c r="D2381" s="1" t="s">
        <v>43</v>
      </c>
      <c r="E2381" s="1" t="s">
        <v>123</v>
      </c>
      <c r="F2381" s="22" t="s">
        <v>2490</v>
      </c>
      <c r="G2381" s="1">
        <v>30</v>
      </c>
      <c r="H2381" s="1" t="s">
        <v>28</v>
      </c>
      <c r="I2381" s="1">
        <v>2350</v>
      </c>
      <c r="J2381" s="1">
        <f t="shared" si="457"/>
        <v>70500</v>
      </c>
      <c r="K2381" s="58">
        <v>30</v>
      </c>
      <c r="L2381" s="58" t="s">
        <v>28</v>
      </c>
      <c r="M2381" s="58" t="s">
        <v>91</v>
      </c>
      <c r="N2381" s="58" t="s">
        <v>2647</v>
      </c>
      <c r="O2381" s="1"/>
      <c r="P2381" s="1"/>
      <c r="Q2381" s="1"/>
      <c r="R2381" s="1"/>
      <c r="S2381" s="1"/>
      <c r="T2381" s="1"/>
      <c r="U2381" s="1"/>
      <c r="V2381" s="1"/>
    </row>
    <row r="2382" spans="1:23" ht="25.2" x14ac:dyDescent="0.3">
      <c r="A2382" s="1"/>
      <c r="B2382" s="1"/>
      <c r="C2382" s="37"/>
      <c r="D2382" s="1"/>
      <c r="E2382" s="1" t="s">
        <v>123</v>
      </c>
      <c r="F2382" s="22" t="s">
        <v>2494</v>
      </c>
      <c r="G2382" s="1">
        <v>1350</v>
      </c>
      <c r="H2382" s="1" t="s">
        <v>60</v>
      </c>
      <c r="I2382" s="1">
        <v>124</v>
      </c>
      <c r="J2382" s="1">
        <f t="shared" si="457"/>
        <v>167400</v>
      </c>
      <c r="K2382" s="119">
        <v>300</v>
      </c>
      <c r="L2382" s="119" t="s">
        <v>60</v>
      </c>
      <c r="M2382" s="119" t="s">
        <v>91</v>
      </c>
      <c r="N2382" s="119" t="s">
        <v>2646</v>
      </c>
      <c r="O2382" s="1"/>
      <c r="P2382" s="1"/>
      <c r="Q2382" s="1"/>
      <c r="R2382" s="1"/>
      <c r="S2382" s="1"/>
      <c r="T2382" s="1"/>
      <c r="U2382" s="1"/>
      <c r="V2382" s="1"/>
    </row>
    <row r="2383" spans="1:23" ht="25.2" x14ac:dyDescent="0.3">
      <c r="A2383" s="1"/>
      <c r="B2383" s="1"/>
      <c r="C2383" s="1"/>
      <c r="D2383" s="1"/>
      <c r="E2383" s="1" t="s">
        <v>123</v>
      </c>
      <c r="F2383" s="22" t="s">
        <v>2491</v>
      </c>
      <c r="G2383" s="1">
        <v>1350</v>
      </c>
      <c r="H2383" s="1" t="s">
        <v>60</v>
      </c>
      <c r="I2383" s="1">
        <v>50</v>
      </c>
      <c r="J2383" s="1">
        <f t="shared" si="457"/>
        <v>67500</v>
      </c>
      <c r="K2383" s="119">
        <v>300</v>
      </c>
      <c r="L2383" s="119" t="s">
        <v>60</v>
      </c>
      <c r="M2383" s="119" t="s">
        <v>91</v>
      </c>
      <c r="N2383" s="119" t="s">
        <v>2646</v>
      </c>
      <c r="O2383" s="1"/>
      <c r="P2383" s="1"/>
      <c r="Q2383" s="1"/>
      <c r="R2383" s="1"/>
      <c r="S2383" s="1"/>
      <c r="T2383" s="1"/>
      <c r="U2383" s="1"/>
      <c r="V2383" s="1"/>
    </row>
    <row r="2384" spans="1:23" ht="25.2" x14ac:dyDescent="0.3">
      <c r="A2384" s="1"/>
      <c r="B2384" s="1"/>
      <c r="C2384" s="1"/>
      <c r="D2384" s="1"/>
      <c r="E2384" s="1" t="s">
        <v>123</v>
      </c>
      <c r="F2384" s="22" t="s">
        <v>2492</v>
      </c>
      <c r="G2384" s="1">
        <v>30</v>
      </c>
      <c r="H2384" s="1" t="s">
        <v>28</v>
      </c>
      <c r="I2384" s="1">
        <v>350</v>
      </c>
      <c r="J2384" s="1">
        <f t="shared" si="457"/>
        <v>10500</v>
      </c>
      <c r="K2384" s="119">
        <v>30</v>
      </c>
      <c r="L2384" s="119" t="s">
        <v>28</v>
      </c>
      <c r="M2384" s="119" t="s">
        <v>91</v>
      </c>
      <c r="N2384" s="119" t="s">
        <v>2646</v>
      </c>
      <c r="O2384" s="1"/>
      <c r="P2384" s="1"/>
      <c r="Q2384" s="1"/>
      <c r="R2384" s="1"/>
      <c r="S2384" s="1"/>
      <c r="T2384" s="1"/>
      <c r="U2384" s="1"/>
      <c r="V2384" s="1"/>
    </row>
    <row r="2385" spans="1:22" ht="25.2" x14ac:dyDescent="0.3">
      <c r="A2385" s="1"/>
      <c r="B2385" s="1"/>
      <c r="C2385" s="1"/>
      <c r="D2385" s="1"/>
      <c r="E2385" s="1" t="s">
        <v>123</v>
      </c>
      <c r="F2385" s="22" t="s">
        <v>2493</v>
      </c>
      <c r="G2385" s="1">
        <v>20</v>
      </c>
      <c r="H2385" s="1" t="s">
        <v>87</v>
      </c>
      <c r="I2385" s="1">
        <v>405</v>
      </c>
      <c r="J2385" s="1">
        <f t="shared" si="457"/>
        <v>8100</v>
      </c>
      <c r="K2385" s="1"/>
      <c r="L2385" s="1"/>
      <c r="M2385" s="1"/>
      <c r="N2385" s="1"/>
      <c r="O2385" s="1"/>
      <c r="P2385" s="1"/>
      <c r="Q2385" s="1"/>
      <c r="R2385" s="1"/>
      <c r="S2385" s="1"/>
      <c r="T2385" s="1"/>
      <c r="U2385" s="1"/>
      <c r="V2385" s="1"/>
    </row>
    <row r="2386" spans="1:22" x14ac:dyDescent="0.3">
      <c r="A2386" s="1"/>
      <c r="B2386" s="1"/>
      <c r="C2386" s="1"/>
      <c r="D2386" s="1"/>
      <c r="E2386" s="1"/>
      <c r="F2386" s="124" t="s">
        <v>39</v>
      </c>
      <c r="G2386" s="1"/>
      <c r="H2386" s="1"/>
      <c r="I2386" s="1"/>
      <c r="J2386" s="124">
        <f>SUM(J2381:J2385)</f>
        <v>324000</v>
      </c>
      <c r="K2386" s="1"/>
      <c r="L2386" s="1"/>
      <c r="M2386" s="1"/>
      <c r="N2386" s="1"/>
      <c r="O2386" s="1"/>
      <c r="P2386" s="1"/>
      <c r="Q2386" s="1"/>
      <c r="R2386" s="1"/>
      <c r="S2386" s="1"/>
      <c r="T2386" s="1"/>
      <c r="U2386" s="1"/>
      <c r="V2386" s="1"/>
    </row>
    <row r="2387" spans="1:22" x14ac:dyDescent="0.3">
      <c r="A2387" s="1"/>
      <c r="B2387" s="1"/>
      <c r="C2387" s="1"/>
      <c r="D2387" s="1"/>
      <c r="E2387" s="1"/>
      <c r="F2387" s="124" t="s">
        <v>599</v>
      </c>
      <c r="G2387" s="1"/>
      <c r="H2387" s="1"/>
      <c r="I2387" s="1"/>
      <c r="J2387" s="124">
        <f>J2386*0/100</f>
        <v>0</v>
      </c>
      <c r="K2387" s="1"/>
      <c r="L2387" s="1"/>
      <c r="M2387" s="1"/>
      <c r="N2387" s="1"/>
      <c r="O2387" s="1"/>
      <c r="P2387" s="1"/>
      <c r="Q2387" s="1"/>
      <c r="R2387" s="1"/>
      <c r="S2387" s="1"/>
      <c r="T2387" s="1"/>
      <c r="U2387" s="1"/>
      <c r="V2387" s="1"/>
    </row>
    <row r="2388" spans="1:22" x14ac:dyDescent="0.3">
      <c r="A2388" s="1"/>
      <c r="B2388" s="1"/>
      <c r="C2388" s="1"/>
      <c r="D2388" s="1"/>
      <c r="E2388" s="1"/>
      <c r="F2388" s="124" t="s">
        <v>41</v>
      </c>
      <c r="G2388" s="1"/>
      <c r="H2388" s="1"/>
      <c r="I2388" s="1"/>
      <c r="J2388" s="124">
        <f>SUM(J2386:J2387)</f>
        <v>324000</v>
      </c>
      <c r="K2388" s="1"/>
      <c r="L2388" s="1"/>
      <c r="M2388" s="1"/>
      <c r="N2388" s="1"/>
      <c r="O2388" s="1"/>
      <c r="P2388" s="1"/>
      <c r="Q2388" s="1"/>
      <c r="R2388" s="1"/>
      <c r="S2388" s="1"/>
      <c r="T2388" s="1"/>
      <c r="U2388" s="1"/>
      <c r="V2388" s="1"/>
    </row>
    <row r="2389" spans="1:22" x14ac:dyDescent="0.3">
      <c r="A2389" s="1"/>
      <c r="B2389" s="1"/>
      <c r="C2389" s="1"/>
      <c r="D2389" s="1"/>
      <c r="E2389" s="1"/>
      <c r="F2389" s="1"/>
      <c r="G2389" s="1"/>
      <c r="H2389" s="1"/>
      <c r="I2389" s="1"/>
      <c r="J2389" s="1"/>
      <c r="K2389" s="1"/>
      <c r="L2389" s="1"/>
      <c r="M2389" s="1"/>
      <c r="N2389" s="1"/>
      <c r="O2389" s="1"/>
      <c r="P2389" s="1"/>
      <c r="Q2389" s="1"/>
      <c r="R2389" s="1"/>
      <c r="S2389" s="1"/>
      <c r="T2389" s="1"/>
      <c r="U2389" s="1"/>
      <c r="V2389" s="1"/>
    </row>
    <row r="2390" spans="1:22" ht="25.2" x14ac:dyDescent="0.3">
      <c r="A2390" s="16">
        <v>225</v>
      </c>
      <c r="B2390" s="16">
        <v>9200170260</v>
      </c>
      <c r="C2390" s="19">
        <v>46210</v>
      </c>
      <c r="D2390" s="16" t="s">
        <v>43</v>
      </c>
      <c r="E2390" s="16" t="s">
        <v>123</v>
      </c>
      <c r="F2390" s="39" t="s">
        <v>2648</v>
      </c>
      <c r="G2390" s="16">
        <v>60</v>
      </c>
      <c r="H2390" s="16" t="s">
        <v>252</v>
      </c>
      <c r="I2390" s="16">
        <v>205</v>
      </c>
      <c r="J2390" s="16">
        <f t="shared" si="457"/>
        <v>12300</v>
      </c>
      <c r="K2390" s="16">
        <v>20</v>
      </c>
      <c r="L2390" s="16" t="s">
        <v>252</v>
      </c>
      <c r="M2390" s="16" t="s">
        <v>91</v>
      </c>
      <c r="N2390" s="16" t="s">
        <v>2572</v>
      </c>
      <c r="O2390" s="16">
        <v>60</v>
      </c>
      <c r="P2390" s="16">
        <v>205</v>
      </c>
      <c r="Q2390" s="16">
        <f>O2390*P2390</f>
        <v>12300</v>
      </c>
      <c r="R2390" s="18">
        <v>0</v>
      </c>
      <c r="S2390" s="16">
        <f>Q2390*R2390</f>
        <v>0</v>
      </c>
      <c r="T2390" s="16">
        <f>Q2390+S2390</f>
        <v>12300</v>
      </c>
      <c r="U2390" s="16" t="s">
        <v>2688</v>
      </c>
      <c r="V2390" s="19">
        <v>46120</v>
      </c>
    </row>
    <row r="2391" spans="1:22" x14ac:dyDescent="0.3">
      <c r="A2391" s="1"/>
      <c r="B2391" s="1"/>
      <c r="C2391" s="1"/>
      <c r="D2391" s="1"/>
      <c r="E2391" s="16" t="s">
        <v>123</v>
      </c>
      <c r="F2391" s="16" t="s">
        <v>2502</v>
      </c>
      <c r="G2391" s="16">
        <v>180</v>
      </c>
      <c r="H2391" s="16" t="s">
        <v>252</v>
      </c>
      <c r="I2391" s="16">
        <v>85</v>
      </c>
      <c r="J2391" s="16">
        <f t="shared" si="457"/>
        <v>15300</v>
      </c>
      <c r="K2391" s="16"/>
      <c r="L2391" s="16"/>
      <c r="M2391" s="16"/>
      <c r="N2391" s="16"/>
      <c r="O2391" s="16">
        <v>180</v>
      </c>
      <c r="P2391" s="16">
        <v>85</v>
      </c>
      <c r="Q2391" s="16">
        <f t="shared" ref="Q2391:Q2392" si="497">O2391*P2391</f>
        <v>15300</v>
      </c>
      <c r="R2391" s="18">
        <v>0</v>
      </c>
      <c r="S2391" s="16">
        <f t="shared" ref="S2391:S2392" si="498">Q2391*R2391</f>
        <v>0</v>
      </c>
      <c r="T2391" s="16">
        <f t="shared" ref="T2391:T2392" si="499">Q2391+S2391</f>
        <v>15300</v>
      </c>
      <c r="U2391" s="16" t="s">
        <v>2688</v>
      </c>
      <c r="V2391" s="19">
        <v>46120</v>
      </c>
    </row>
    <row r="2392" spans="1:22" ht="25.2" x14ac:dyDescent="0.3">
      <c r="A2392" s="1"/>
      <c r="B2392" s="1"/>
      <c r="C2392" s="1"/>
      <c r="D2392" s="1"/>
      <c r="E2392" s="16" t="s">
        <v>123</v>
      </c>
      <c r="F2392" s="39" t="s">
        <v>2503</v>
      </c>
      <c r="G2392" s="16">
        <v>100</v>
      </c>
      <c r="H2392" s="16" t="s">
        <v>252</v>
      </c>
      <c r="I2392" s="16">
        <v>220</v>
      </c>
      <c r="J2392" s="16">
        <f t="shared" si="457"/>
        <v>22000</v>
      </c>
      <c r="K2392" s="16">
        <v>50</v>
      </c>
      <c r="L2392" s="16" t="s">
        <v>252</v>
      </c>
      <c r="M2392" s="16" t="s">
        <v>91</v>
      </c>
      <c r="N2392" s="16" t="s">
        <v>2572</v>
      </c>
      <c r="O2392" s="16">
        <v>100</v>
      </c>
      <c r="P2392" s="16">
        <v>220</v>
      </c>
      <c r="Q2392" s="16">
        <f t="shared" si="497"/>
        <v>22000</v>
      </c>
      <c r="R2392" s="18">
        <v>0</v>
      </c>
      <c r="S2392" s="16">
        <f t="shared" si="498"/>
        <v>0</v>
      </c>
      <c r="T2392" s="16">
        <f t="shared" si="499"/>
        <v>22000</v>
      </c>
      <c r="U2392" s="16" t="s">
        <v>2688</v>
      </c>
      <c r="V2392" s="19">
        <v>46120</v>
      </c>
    </row>
    <row r="2393" spans="1:22" x14ac:dyDescent="0.3">
      <c r="A2393" s="1"/>
      <c r="B2393" s="1"/>
      <c r="C2393" s="1"/>
      <c r="D2393" s="1"/>
      <c r="E2393" s="1"/>
      <c r="F2393" s="124" t="s">
        <v>39</v>
      </c>
      <c r="G2393" s="1"/>
      <c r="H2393" s="1"/>
      <c r="I2393" s="1"/>
      <c r="J2393" s="124">
        <f>SUM(J2390:J2392)</f>
        <v>49600</v>
      </c>
      <c r="K2393" s="1"/>
      <c r="L2393" s="1"/>
      <c r="M2393" s="1"/>
      <c r="N2393" s="1"/>
      <c r="O2393" s="1"/>
      <c r="P2393" s="1"/>
      <c r="Q2393" s="1"/>
      <c r="R2393" s="1"/>
      <c r="S2393" s="1"/>
      <c r="T2393" s="1"/>
      <c r="U2393" s="1"/>
      <c r="V2393" s="1"/>
    </row>
    <row r="2394" spans="1:22" x14ac:dyDescent="0.3">
      <c r="A2394" s="1"/>
      <c r="B2394" s="1"/>
      <c r="C2394" s="1"/>
      <c r="D2394" s="1"/>
      <c r="E2394" s="1"/>
      <c r="F2394" s="124" t="s">
        <v>599</v>
      </c>
      <c r="G2394" s="1"/>
      <c r="H2394" s="1"/>
      <c r="I2394" s="1"/>
      <c r="J2394" s="124">
        <f>J2393*0/100</f>
        <v>0</v>
      </c>
      <c r="K2394" s="1"/>
      <c r="L2394" s="1"/>
      <c r="M2394" s="1"/>
      <c r="N2394" s="1"/>
      <c r="O2394" s="1"/>
      <c r="P2394" s="1"/>
      <c r="Q2394" s="1"/>
      <c r="R2394" s="1"/>
      <c r="S2394" s="1"/>
      <c r="T2394" s="1"/>
      <c r="U2394" s="1"/>
      <c r="V2394" s="1"/>
    </row>
    <row r="2395" spans="1:22" x14ac:dyDescent="0.3">
      <c r="A2395" s="1"/>
      <c r="B2395" s="1"/>
      <c r="C2395" s="1"/>
      <c r="D2395" s="1"/>
      <c r="E2395" s="1"/>
      <c r="F2395" s="124" t="s">
        <v>41</v>
      </c>
      <c r="G2395" s="1"/>
      <c r="H2395" s="1"/>
      <c r="I2395" s="1"/>
      <c r="J2395" s="124">
        <f>SUM(J2393:J2394)</f>
        <v>49600</v>
      </c>
      <c r="K2395" s="1"/>
      <c r="L2395" s="1"/>
      <c r="M2395" s="1"/>
      <c r="N2395" s="1"/>
      <c r="O2395" s="1"/>
      <c r="P2395" s="1"/>
      <c r="Q2395" s="1"/>
      <c r="R2395" s="1"/>
      <c r="S2395" s="1"/>
      <c r="T2395" s="1">
        <f>SUM(T2390:T2394)</f>
        <v>49600</v>
      </c>
      <c r="U2395" s="1"/>
      <c r="V2395" s="1"/>
    </row>
    <row r="2396" spans="1:22" x14ac:dyDescent="0.3">
      <c r="A2396" s="1"/>
      <c r="B2396" s="1"/>
      <c r="C2396" s="1"/>
      <c r="D2396" s="1"/>
      <c r="E2396" s="1"/>
      <c r="F2396" s="1"/>
      <c r="G2396" s="1"/>
      <c r="H2396" s="1"/>
      <c r="I2396" s="1"/>
      <c r="J2396" s="1"/>
      <c r="K2396" s="1"/>
      <c r="L2396" s="1"/>
      <c r="M2396" s="1"/>
      <c r="N2396" s="1"/>
      <c r="O2396" s="1"/>
      <c r="P2396" s="1"/>
      <c r="Q2396" s="1"/>
      <c r="R2396" s="1"/>
      <c r="S2396" s="1"/>
      <c r="T2396" s="1"/>
      <c r="U2396" s="1"/>
      <c r="V2396" s="1"/>
    </row>
    <row r="2397" spans="1:22" ht="25.2" x14ac:dyDescent="0.3">
      <c r="A2397" s="1">
        <v>226</v>
      </c>
      <c r="B2397" s="1">
        <v>9200170418</v>
      </c>
      <c r="C2397" s="37">
        <v>46241</v>
      </c>
      <c r="D2397" s="1" t="s">
        <v>43</v>
      </c>
      <c r="E2397" s="1" t="s">
        <v>123</v>
      </c>
      <c r="F2397" s="22" t="s">
        <v>2512</v>
      </c>
      <c r="G2397" s="1">
        <v>600</v>
      </c>
      <c r="H2397" s="1" t="s">
        <v>111</v>
      </c>
      <c r="I2397" s="1">
        <v>18</v>
      </c>
      <c r="J2397" s="1">
        <f t="shared" si="457"/>
        <v>10800</v>
      </c>
      <c r="K2397" s="227">
        <v>320</v>
      </c>
      <c r="L2397" s="227" t="s">
        <v>111</v>
      </c>
      <c r="M2397" s="227" t="s">
        <v>91</v>
      </c>
      <c r="N2397" s="227" t="s">
        <v>2722</v>
      </c>
      <c r="O2397" s="1"/>
      <c r="P2397" s="1"/>
      <c r="Q2397" s="1"/>
      <c r="R2397" s="1"/>
      <c r="S2397" s="1"/>
      <c r="T2397" s="1"/>
      <c r="U2397" s="1"/>
      <c r="V2397" s="1"/>
    </row>
    <row r="2398" spans="1:22" ht="25.2" x14ac:dyDescent="0.3">
      <c r="A2398" s="1"/>
      <c r="B2398" s="1"/>
      <c r="C2398" s="1"/>
      <c r="D2398" s="1">
        <v>2</v>
      </c>
      <c r="E2398" s="1" t="s">
        <v>123</v>
      </c>
      <c r="F2398" s="22" t="s">
        <v>2513</v>
      </c>
      <c r="G2398" s="1">
        <v>350</v>
      </c>
      <c r="H2398" s="1" t="s">
        <v>111</v>
      </c>
      <c r="I2398" s="1">
        <v>220</v>
      </c>
      <c r="J2398" s="1">
        <f t="shared" si="457"/>
        <v>77000</v>
      </c>
      <c r="K2398" s="119">
        <v>350</v>
      </c>
      <c r="L2398" s="119" t="s">
        <v>111</v>
      </c>
      <c r="M2398" s="119" t="s">
        <v>91</v>
      </c>
      <c r="N2398" s="119" t="s">
        <v>2596</v>
      </c>
      <c r="O2398" s="1"/>
      <c r="P2398" s="1"/>
      <c r="Q2398" s="1"/>
      <c r="R2398" s="1"/>
      <c r="S2398" s="1"/>
      <c r="T2398" s="1"/>
      <c r="U2398" s="1"/>
      <c r="V2398" s="1"/>
    </row>
    <row r="2399" spans="1:22" ht="25.2" x14ac:dyDescent="0.3">
      <c r="A2399" s="1"/>
      <c r="B2399" s="1"/>
      <c r="C2399" s="1"/>
      <c r="D2399" s="1">
        <v>3</v>
      </c>
      <c r="E2399" s="1" t="s">
        <v>123</v>
      </c>
      <c r="F2399" s="22" t="s">
        <v>2514</v>
      </c>
      <c r="G2399" s="1">
        <v>250</v>
      </c>
      <c r="H2399" s="1" t="s">
        <v>111</v>
      </c>
      <c r="I2399" s="1">
        <v>220</v>
      </c>
      <c r="J2399" s="1">
        <f t="shared" si="457"/>
        <v>55000</v>
      </c>
      <c r="K2399" s="119">
        <v>250</v>
      </c>
      <c r="L2399" s="119" t="s">
        <v>111</v>
      </c>
      <c r="M2399" s="119" t="s">
        <v>91</v>
      </c>
      <c r="N2399" s="119" t="s">
        <v>2596</v>
      </c>
      <c r="O2399" s="1"/>
      <c r="P2399" s="1"/>
      <c r="Q2399" s="1"/>
      <c r="R2399" s="1"/>
      <c r="S2399" s="1"/>
      <c r="T2399" s="1"/>
      <c r="U2399" s="1"/>
      <c r="V2399" s="1"/>
    </row>
    <row r="2400" spans="1:22" x14ac:dyDescent="0.3">
      <c r="A2400" s="1"/>
      <c r="B2400" s="1"/>
      <c r="C2400" s="1"/>
      <c r="D2400" s="1">
        <v>4</v>
      </c>
      <c r="E2400" s="1" t="s">
        <v>123</v>
      </c>
      <c r="F2400" s="1" t="s">
        <v>2515</v>
      </c>
      <c r="G2400" s="1">
        <v>1</v>
      </c>
      <c r="H2400" s="1" t="s">
        <v>87</v>
      </c>
      <c r="I2400" s="1">
        <v>15000</v>
      </c>
      <c r="J2400" s="1">
        <f t="shared" si="457"/>
        <v>15000</v>
      </c>
      <c r="K2400" s="1"/>
      <c r="L2400" s="1"/>
      <c r="M2400" s="1"/>
      <c r="N2400" s="1"/>
      <c r="O2400" s="1"/>
      <c r="P2400" s="1"/>
      <c r="Q2400" s="1"/>
      <c r="R2400" s="1"/>
      <c r="S2400" s="1"/>
      <c r="T2400" s="1"/>
      <c r="U2400" s="1"/>
      <c r="V2400" s="1"/>
    </row>
    <row r="2401" spans="1:22" ht="25.2" x14ac:dyDescent="0.3">
      <c r="A2401" s="1"/>
      <c r="B2401" s="1"/>
      <c r="C2401" s="1"/>
      <c r="D2401" s="1">
        <v>5</v>
      </c>
      <c r="E2401" s="1" t="s">
        <v>123</v>
      </c>
      <c r="F2401" s="22" t="s">
        <v>2516</v>
      </c>
      <c r="G2401" s="1">
        <v>1100</v>
      </c>
      <c r="H2401" s="1" t="s">
        <v>111</v>
      </c>
      <c r="I2401" s="1">
        <v>12</v>
      </c>
      <c r="J2401" s="1">
        <f t="shared" si="457"/>
        <v>13200</v>
      </c>
      <c r="K2401" s="1" t="s">
        <v>2615</v>
      </c>
      <c r="L2401" s="1"/>
      <c r="M2401" s="1" t="s">
        <v>91</v>
      </c>
      <c r="N2401" s="1" t="s">
        <v>2614</v>
      </c>
      <c r="O2401" s="1"/>
      <c r="P2401" s="1"/>
      <c r="Q2401" s="1"/>
      <c r="R2401" s="1"/>
      <c r="S2401" s="1"/>
      <c r="T2401" s="1"/>
      <c r="U2401" s="1"/>
      <c r="V2401" s="1"/>
    </row>
    <row r="2402" spans="1:22" ht="25.2" x14ac:dyDescent="0.3">
      <c r="A2402" s="1"/>
      <c r="B2402" s="1"/>
      <c r="C2402" s="1"/>
      <c r="D2402" s="1">
        <v>6</v>
      </c>
      <c r="E2402" s="1" t="s">
        <v>123</v>
      </c>
      <c r="F2402" s="22" t="s">
        <v>2517</v>
      </c>
      <c r="G2402" s="1">
        <v>1100</v>
      </c>
      <c r="H2402" s="1" t="s">
        <v>111</v>
      </c>
      <c r="I2402" s="1">
        <v>70</v>
      </c>
      <c r="J2402" s="1">
        <f t="shared" si="457"/>
        <v>77000</v>
      </c>
      <c r="K2402" s="58">
        <v>120</v>
      </c>
      <c r="L2402" s="58" t="s">
        <v>2611</v>
      </c>
      <c r="M2402" s="58" t="s">
        <v>91</v>
      </c>
      <c r="N2402" s="58" t="s">
        <v>2612</v>
      </c>
      <c r="O2402" s="1"/>
      <c r="P2402" s="1"/>
      <c r="Q2402" s="1"/>
      <c r="R2402" s="1"/>
      <c r="S2402" s="1"/>
      <c r="T2402" s="1"/>
      <c r="U2402" s="1"/>
      <c r="V2402" s="1"/>
    </row>
    <row r="2403" spans="1:22" x14ac:dyDescent="0.3">
      <c r="A2403" s="1"/>
      <c r="B2403" s="1"/>
      <c r="C2403" s="1"/>
      <c r="D2403" s="1">
        <v>7</v>
      </c>
      <c r="E2403" s="1" t="s">
        <v>123</v>
      </c>
      <c r="F2403" s="22" t="s">
        <v>2518</v>
      </c>
      <c r="G2403" s="1">
        <v>1</v>
      </c>
      <c r="H2403" s="1" t="s">
        <v>87</v>
      </c>
      <c r="I2403" s="1">
        <v>6500</v>
      </c>
      <c r="J2403" s="1">
        <f t="shared" si="457"/>
        <v>6500</v>
      </c>
      <c r="K2403" s="1"/>
      <c r="L2403" s="1"/>
      <c r="M2403" s="1"/>
      <c r="N2403" s="1"/>
      <c r="O2403" s="1"/>
      <c r="P2403" s="1"/>
      <c r="Q2403" s="1"/>
      <c r="R2403" s="1"/>
      <c r="S2403" s="1"/>
      <c r="T2403" s="1"/>
      <c r="U2403" s="1"/>
      <c r="V2403" s="1"/>
    </row>
    <row r="2404" spans="1:22" ht="25.2" x14ac:dyDescent="0.3">
      <c r="A2404" s="1"/>
      <c r="B2404" s="1"/>
      <c r="C2404" s="1"/>
      <c r="D2404" s="1">
        <v>8</v>
      </c>
      <c r="E2404" s="1" t="s">
        <v>123</v>
      </c>
      <c r="F2404" s="22" t="s">
        <v>2512</v>
      </c>
      <c r="G2404" s="1">
        <v>150</v>
      </c>
      <c r="H2404" s="1" t="s">
        <v>111</v>
      </c>
      <c r="I2404" s="1">
        <v>18</v>
      </c>
      <c r="J2404" s="1">
        <f t="shared" si="457"/>
        <v>2700</v>
      </c>
      <c r="K2404" s="1"/>
      <c r="L2404" s="1"/>
      <c r="M2404" s="1"/>
      <c r="N2404" s="1"/>
      <c r="O2404" s="1"/>
      <c r="P2404" s="1"/>
      <c r="Q2404" s="1"/>
      <c r="R2404" s="1"/>
      <c r="S2404" s="1"/>
      <c r="T2404" s="1"/>
      <c r="U2404" s="1"/>
      <c r="V2404" s="1"/>
    </row>
    <row r="2405" spans="1:22" ht="25.2" x14ac:dyDescent="0.3">
      <c r="A2405" s="1"/>
      <c r="B2405" s="1"/>
      <c r="C2405" s="1"/>
      <c r="D2405" s="1">
        <v>9</v>
      </c>
      <c r="E2405" s="1" t="s">
        <v>123</v>
      </c>
      <c r="F2405" s="22" t="s">
        <v>2519</v>
      </c>
      <c r="G2405" s="1">
        <v>150</v>
      </c>
      <c r="H2405" s="1" t="s">
        <v>111</v>
      </c>
      <c r="I2405" s="1">
        <v>220</v>
      </c>
      <c r="J2405" s="1">
        <f t="shared" si="457"/>
        <v>33000</v>
      </c>
      <c r="K2405" s="119">
        <v>150</v>
      </c>
      <c r="L2405" s="119" t="s">
        <v>111</v>
      </c>
      <c r="M2405" s="119" t="s">
        <v>91</v>
      </c>
      <c r="N2405" s="119" t="s">
        <v>2596</v>
      </c>
      <c r="O2405" s="1"/>
      <c r="P2405" s="1"/>
      <c r="Q2405" s="1"/>
      <c r="R2405" s="1"/>
      <c r="S2405" s="1"/>
      <c r="T2405" s="1"/>
      <c r="U2405" s="1"/>
      <c r="V2405" s="1"/>
    </row>
    <row r="2406" spans="1:22" x14ac:dyDescent="0.3">
      <c r="A2406" s="1"/>
      <c r="B2406" s="1"/>
      <c r="C2406" s="1"/>
      <c r="D2406" s="1">
        <v>10</v>
      </c>
      <c r="E2406" s="1" t="s">
        <v>123</v>
      </c>
      <c r="F2406" s="1" t="s">
        <v>2515</v>
      </c>
      <c r="G2406" s="1">
        <v>1</v>
      </c>
      <c r="H2406" s="1" t="s">
        <v>87</v>
      </c>
      <c r="I2406" s="1">
        <v>6500</v>
      </c>
      <c r="J2406" s="1">
        <f t="shared" si="457"/>
        <v>6500</v>
      </c>
      <c r="K2406" s="1"/>
      <c r="L2406" s="1"/>
      <c r="M2406" s="1"/>
      <c r="N2406" s="1"/>
      <c r="O2406" s="1"/>
      <c r="P2406" s="1"/>
      <c r="Q2406" s="1"/>
      <c r="R2406" s="1"/>
      <c r="S2406" s="1"/>
      <c r="T2406" s="1"/>
      <c r="U2406" s="1"/>
      <c r="V2406" s="1"/>
    </row>
    <row r="2407" spans="1:22" ht="25.2" x14ac:dyDescent="0.3">
      <c r="A2407" s="1"/>
      <c r="B2407" s="1"/>
      <c r="C2407" s="1"/>
      <c r="D2407" s="1">
        <v>11</v>
      </c>
      <c r="E2407" s="1" t="s">
        <v>123</v>
      </c>
      <c r="F2407" s="22" t="s">
        <v>2512</v>
      </c>
      <c r="G2407" s="1">
        <v>975</v>
      </c>
      <c r="H2407" s="1" t="s">
        <v>111</v>
      </c>
      <c r="I2407" s="1">
        <v>18</v>
      </c>
      <c r="J2407" s="1">
        <f t="shared" si="457"/>
        <v>17550</v>
      </c>
      <c r="K2407" s="1"/>
      <c r="L2407" s="1"/>
      <c r="M2407" s="1"/>
      <c r="N2407" s="1"/>
      <c r="O2407" s="1"/>
      <c r="P2407" s="1"/>
      <c r="Q2407" s="1"/>
      <c r="R2407" s="1"/>
      <c r="S2407" s="1"/>
      <c r="T2407" s="1"/>
      <c r="U2407" s="1"/>
      <c r="V2407" s="1"/>
    </row>
    <row r="2408" spans="1:22" x14ac:dyDescent="0.3">
      <c r="A2408" s="1"/>
      <c r="B2408" s="1"/>
      <c r="C2408" s="1"/>
      <c r="D2408" s="1">
        <v>12</v>
      </c>
      <c r="E2408" s="1" t="s">
        <v>123</v>
      </c>
      <c r="F2408" s="1" t="s">
        <v>2515</v>
      </c>
      <c r="G2408" s="1">
        <v>1</v>
      </c>
      <c r="H2408" s="1" t="s">
        <v>87</v>
      </c>
      <c r="I2408" s="1">
        <v>15000</v>
      </c>
      <c r="J2408" s="1">
        <f t="shared" si="457"/>
        <v>15000</v>
      </c>
      <c r="K2408" s="1"/>
      <c r="L2408" s="1"/>
      <c r="M2408" s="1"/>
      <c r="N2408" s="1"/>
      <c r="O2408" s="1"/>
      <c r="P2408" s="1"/>
      <c r="Q2408" s="1"/>
      <c r="R2408" s="1"/>
      <c r="S2408" s="1"/>
      <c r="T2408" s="1"/>
      <c r="U2408" s="1"/>
      <c r="V2408" s="1"/>
    </row>
    <row r="2409" spans="1:22" ht="25.2" x14ac:dyDescent="0.3">
      <c r="A2409" s="1"/>
      <c r="B2409" s="1"/>
      <c r="C2409" s="1"/>
      <c r="D2409" s="1">
        <v>13</v>
      </c>
      <c r="E2409" s="1" t="s">
        <v>123</v>
      </c>
      <c r="F2409" s="22" t="s">
        <v>2512</v>
      </c>
      <c r="G2409" s="1">
        <v>390</v>
      </c>
      <c r="H2409" s="1" t="s">
        <v>111</v>
      </c>
      <c r="I2409" s="1">
        <v>18</v>
      </c>
      <c r="J2409" s="1">
        <f t="shared" si="457"/>
        <v>7020</v>
      </c>
      <c r="K2409" s="1"/>
      <c r="L2409" s="1"/>
      <c r="M2409" s="1"/>
      <c r="N2409" s="1"/>
      <c r="O2409" s="1"/>
      <c r="P2409" s="1"/>
      <c r="Q2409" s="1"/>
      <c r="R2409" s="1"/>
      <c r="S2409" s="1"/>
      <c r="T2409" s="1"/>
      <c r="U2409" s="1"/>
      <c r="V2409" s="1"/>
    </row>
    <row r="2410" spans="1:22" ht="25.2" x14ac:dyDescent="0.3">
      <c r="A2410" s="1"/>
      <c r="B2410" s="1"/>
      <c r="C2410" s="1"/>
      <c r="D2410" s="1">
        <v>14</v>
      </c>
      <c r="E2410" s="1" t="s">
        <v>123</v>
      </c>
      <c r="F2410" s="22" t="s">
        <v>2513</v>
      </c>
      <c r="G2410" s="1">
        <v>390</v>
      </c>
      <c r="H2410" s="1" t="s">
        <v>111</v>
      </c>
      <c r="I2410" s="1">
        <v>220</v>
      </c>
      <c r="J2410" s="1">
        <f t="shared" si="457"/>
        <v>85800</v>
      </c>
      <c r="K2410" s="119">
        <v>390</v>
      </c>
      <c r="L2410" s="119" t="s">
        <v>111</v>
      </c>
      <c r="M2410" s="119" t="s">
        <v>91</v>
      </c>
      <c r="N2410" s="119" t="s">
        <v>2596</v>
      </c>
      <c r="O2410" s="1"/>
      <c r="P2410" s="1"/>
      <c r="Q2410" s="1"/>
      <c r="R2410" s="1"/>
      <c r="S2410" s="1"/>
      <c r="T2410" s="1"/>
      <c r="U2410" s="1"/>
      <c r="V2410" s="1"/>
    </row>
    <row r="2411" spans="1:22" x14ac:dyDescent="0.3">
      <c r="A2411" s="1"/>
      <c r="B2411" s="1"/>
      <c r="C2411" s="1"/>
      <c r="D2411" s="1">
        <v>15</v>
      </c>
      <c r="E2411" s="1" t="s">
        <v>123</v>
      </c>
      <c r="F2411" s="1" t="s">
        <v>2515</v>
      </c>
      <c r="G2411" s="1">
        <v>1</v>
      </c>
      <c r="H2411" s="1" t="s">
        <v>87</v>
      </c>
      <c r="I2411" s="1">
        <v>15000</v>
      </c>
      <c r="J2411" s="1">
        <f t="shared" si="457"/>
        <v>15000</v>
      </c>
      <c r="K2411" s="1"/>
      <c r="L2411" s="1"/>
      <c r="M2411" s="1"/>
      <c r="N2411" s="1"/>
      <c r="O2411" s="1"/>
      <c r="P2411" s="1"/>
      <c r="Q2411" s="1"/>
      <c r="R2411" s="1"/>
      <c r="S2411" s="1"/>
      <c r="T2411" s="1"/>
      <c r="U2411" s="1"/>
      <c r="V2411" s="1"/>
    </row>
    <row r="2412" spans="1:22" ht="25.2" x14ac:dyDescent="0.3">
      <c r="A2412" s="1"/>
      <c r="B2412" s="1"/>
      <c r="C2412" s="1"/>
      <c r="D2412" s="1">
        <v>16</v>
      </c>
      <c r="E2412" s="1" t="s">
        <v>123</v>
      </c>
      <c r="F2412" s="22" t="s">
        <v>2512</v>
      </c>
      <c r="G2412" s="1">
        <v>385</v>
      </c>
      <c r="H2412" s="1" t="s">
        <v>111</v>
      </c>
      <c r="I2412" s="1">
        <v>18</v>
      </c>
      <c r="J2412" s="1">
        <f t="shared" si="457"/>
        <v>6930</v>
      </c>
      <c r="K2412" s="1"/>
      <c r="L2412" s="1"/>
      <c r="M2412" s="1"/>
      <c r="N2412" s="1"/>
      <c r="O2412" s="1"/>
      <c r="P2412" s="1"/>
      <c r="Q2412" s="1"/>
      <c r="R2412" s="1"/>
      <c r="S2412" s="1"/>
      <c r="T2412" s="1"/>
      <c r="U2412" s="1"/>
      <c r="V2412" s="1"/>
    </row>
    <row r="2413" spans="1:22" ht="25.2" x14ac:dyDescent="0.3">
      <c r="A2413" s="1"/>
      <c r="B2413" s="1"/>
      <c r="C2413" s="1"/>
      <c r="D2413" s="1">
        <v>17</v>
      </c>
      <c r="E2413" s="1" t="s">
        <v>123</v>
      </c>
      <c r="F2413" s="22" t="s">
        <v>2514</v>
      </c>
      <c r="G2413" s="1">
        <v>385</v>
      </c>
      <c r="H2413" s="1" t="s">
        <v>111</v>
      </c>
      <c r="I2413" s="1">
        <v>220</v>
      </c>
      <c r="J2413" s="1">
        <f t="shared" si="457"/>
        <v>84700</v>
      </c>
      <c r="K2413" s="119">
        <v>385</v>
      </c>
      <c r="L2413" s="119" t="s">
        <v>111</v>
      </c>
      <c r="M2413" s="119" t="s">
        <v>91</v>
      </c>
      <c r="N2413" s="119" t="s">
        <v>2596</v>
      </c>
      <c r="O2413" s="1"/>
      <c r="P2413" s="1"/>
      <c r="Q2413" s="1"/>
      <c r="R2413" s="1"/>
      <c r="S2413" s="1"/>
      <c r="T2413" s="1"/>
      <c r="U2413" s="1"/>
      <c r="V2413" s="1"/>
    </row>
    <row r="2414" spans="1:22" x14ac:dyDescent="0.3">
      <c r="A2414" s="1"/>
      <c r="B2414" s="1"/>
      <c r="C2414" s="1"/>
      <c r="D2414" s="1">
        <v>18</v>
      </c>
      <c r="E2414" s="1" t="s">
        <v>123</v>
      </c>
      <c r="F2414" s="1" t="s">
        <v>2515</v>
      </c>
      <c r="G2414" s="1">
        <v>1</v>
      </c>
      <c r="H2414" s="1" t="s">
        <v>87</v>
      </c>
      <c r="I2414" s="1">
        <v>13000</v>
      </c>
      <c r="J2414" s="1">
        <f t="shared" si="457"/>
        <v>13000</v>
      </c>
      <c r="K2414" s="1"/>
      <c r="L2414" s="1"/>
      <c r="M2414" s="1"/>
      <c r="N2414" s="1"/>
      <c r="O2414" s="1"/>
      <c r="P2414" s="1"/>
      <c r="Q2414" s="1"/>
      <c r="R2414" s="1"/>
      <c r="S2414" s="1"/>
      <c r="T2414" s="1"/>
      <c r="U2414" s="1"/>
      <c r="V2414" s="1"/>
    </row>
    <row r="2415" spans="1:22" x14ac:dyDescent="0.3">
      <c r="A2415" s="1"/>
      <c r="B2415" s="1"/>
      <c r="C2415" s="1"/>
      <c r="D2415" s="1">
        <v>19</v>
      </c>
      <c r="E2415" s="1" t="s">
        <v>123</v>
      </c>
      <c r="F2415" s="1" t="s">
        <v>2520</v>
      </c>
      <c r="G2415" s="1">
        <v>1</v>
      </c>
      <c r="H2415" s="1" t="s">
        <v>87</v>
      </c>
      <c r="I2415" s="1">
        <v>18800</v>
      </c>
      <c r="J2415" s="1">
        <f t="shared" si="457"/>
        <v>18800</v>
      </c>
      <c r="K2415" s="1"/>
      <c r="L2415" s="1"/>
      <c r="M2415" s="1"/>
      <c r="N2415" s="1"/>
      <c r="O2415" s="1"/>
      <c r="P2415" s="1"/>
      <c r="Q2415" s="1"/>
      <c r="R2415" s="1"/>
      <c r="S2415" s="1"/>
      <c r="T2415" s="1"/>
      <c r="U2415" s="1"/>
      <c r="V2415" s="1"/>
    </row>
    <row r="2416" spans="1:22" ht="25.2" x14ac:dyDescent="0.3">
      <c r="A2416" s="1"/>
      <c r="B2416" s="1"/>
      <c r="C2416" s="1"/>
      <c r="D2416" s="1">
        <v>20</v>
      </c>
      <c r="E2416" s="1" t="s">
        <v>123</v>
      </c>
      <c r="F2416" s="22" t="s">
        <v>2512</v>
      </c>
      <c r="G2416" s="1">
        <v>625</v>
      </c>
      <c r="H2416" s="1" t="s">
        <v>111</v>
      </c>
      <c r="I2416" s="1">
        <v>18</v>
      </c>
      <c r="J2416" s="1">
        <f t="shared" si="457"/>
        <v>11250</v>
      </c>
      <c r="K2416" s="1"/>
      <c r="L2416" s="1"/>
      <c r="M2416" s="1"/>
      <c r="N2416" s="1"/>
      <c r="O2416" s="1"/>
      <c r="P2416" s="1"/>
      <c r="Q2416" s="1"/>
      <c r="R2416" s="1"/>
      <c r="S2416" s="1"/>
      <c r="T2416" s="1"/>
      <c r="U2416" s="1"/>
      <c r="V2416" s="1"/>
    </row>
    <row r="2417" spans="1:22" x14ac:dyDescent="0.3">
      <c r="A2417" s="1"/>
      <c r="B2417" s="1"/>
      <c r="C2417" s="1"/>
      <c r="D2417" s="1">
        <v>21</v>
      </c>
      <c r="E2417" s="1" t="s">
        <v>123</v>
      </c>
      <c r="F2417" s="1" t="s">
        <v>2515</v>
      </c>
      <c r="G2417" s="1">
        <v>1</v>
      </c>
      <c r="H2417" s="1" t="s">
        <v>87</v>
      </c>
      <c r="I2417" s="1">
        <v>14500</v>
      </c>
      <c r="J2417" s="1">
        <f t="shared" si="457"/>
        <v>14500</v>
      </c>
      <c r="K2417" s="1"/>
      <c r="L2417" s="1"/>
      <c r="M2417" s="1"/>
      <c r="N2417" s="1"/>
      <c r="O2417" s="1"/>
      <c r="P2417" s="1"/>
      <c r="Q2417" s="1"/>
      <c r="R2417" s="1"/>
      <c r="S2417" s="1"/>
      <c r="T2417" s="1"/>
      <c r="U2417" s="1"/>
      <c r="V2417" s="1"/>
    </row>
    <row r="2418" spans="1:22" ht="25.2" x14ac:dyDescent="0.3">
      <c r="A2418" s="1"/>
      <c r="B2418" s="1"/>
      <c r="C2418" s="1"/>
      <c r="D2418" s="1">
        <v>22</v>
      </c>
      <c r="E2418" s="1" t="s">
        <v>123</v>
      </c>
      <c r="F2418" s="22" t="s">
        <v>2512</v>
      </c>
      <c r="G2418" s="1">
        <v>400</v>
      </c>
      <c r="H2418" s="1" t="s">
        <v>111</v>
      </c>
      <c r="I2418" s="1">
        <v>18</v>
      </c>
      <c r="J2418" s="1">
        <f t="shared" si="457"/>
        <v>7200</v>
      </c>
      <c r="K2418" s="1"/>
      <c r="L2418" s="1"/>
      <c r="M2418" s="1"/>
      <c r="N2418" s="1"/>
      <c r="O2418" s="1"/>
      <c r="P2418" s="1"/>
      <c r="Q2418" s="1"/>
      <c r="R2418" s="1"/>
      <c r="S2418" s="1"/>
      <c r="T2418" s="1"/>
      <c r="U2418" s="1"/>
      <c r="V2418" s="1"/>
    </row>
    <row r="2419" spans="1:22" ht="25.2" x14ac:dyDescent="0.3">
      <c r="A2419" s="1"/>
      <c r="B2419" s="1"/>
      <c r="C2419" s="1"/>
      <c r="D2419" s="1">
        <v>23</v>
      </c>
      <c r="E2419" s="1" t="s">
        <v>123</v>
      </c>
      <c r="F2419" s="22" t="s">
        <v>2513</v>
      </c>
      <c r="G2419" s="1">
        <v>400</v>
      </c>
      <c r="H2419" s="1" t="s">
        <v>111</v>
      </c>
      <c r="I2419" s="1">
        <v>220</v>
      </c>
      <c r="J2419" s="1">
        <f t="shared" si="457"/>
        <v>88000</v>
      </c>
      <c r="K2419" s="119">
        <v>400</v>
      </c>
      <c r="L2419" s="119" t="s">
        <v>111</v>
      </c>
      <c r="M2419" s="119" t="s">
        <v>91</v>
      </c>
      <c r="N2419" s="119" t="s">
        <v>2596</v>
      </c>
      <c r="O2419" s="1"/>
      <c r="P2419" s="1"/>
      <c r="Q2419" s="1"/>
      <c r="R2419" s="1"/>
      <c r="S2419" s="1"/>
      <c r="T2419" s="1"/>
      <c r="U2419" s="1"/>
      <c r="V2419" s="1"/>
    </row>
    <row r="2420" spans="1:22" x14ac:dyDescent="0.3">
      <c r="A2420" s="1"/>
      <c r="B2420" s="1"/>
      <c r="C2420" s="1"/>
      <c r="D2420" s="1">
        <v>24</v>
      </c>
      <c r="E2420" s="1" t="s">
        <v>123</v>
      </c>
      <c r="F2420" s="1" t="s">
        <v>2515</v>
      </c>
      <c r="G2420" s="1">
        <v>1</v>
      </c>
      <c r="H2420" s="1" t="s">
        <v>87</v>
      </c>
      <c r="I2420" s="1">
        <v>8550</v>
      </c>
      <c r="J2420" s="1">
        <f t="shared" si="457"/>
        <v>8550</v>
      </c>
      <c r="K2420" s="1"/>
      <c r="L2420" s="1"/>
      <c r="M2420" s="1"/>
      <c r="N2420" s="1"/>
      <c r="O2420" s="1"/>
      <c r="P2420" s="1"/>
      <c r="Q2420" s="1"/>
      <c r="R2420" s="1"/>
      <c r="S2420" s="1"/>
      <c r="T2420" s="1"/>
      <c r="U2420" s="1"/>
      <c r="V2420" s="1"/>
    </row>
    <row r="2421" spans="1:22" x14ac:dyDescent="0.3">
      <c r="A2421" s="1"/>
      <c r="B2421" s="1"/>
      <c r="C2421" s="1"/>
      <c r="D2421" s="1"/>
      <c r="E2421" s="1"/>
      <c r="F2421" s="124" t="s">
        <v>39</v>
      </c>
      <c r="G2421" s="1"/>
      <c r="H2421" s="1"/>
      <c r="I2421" s="1"/>
      <c r="J2421" s="124">
        <f>SUM(J2397:J2420)</f>
        <v>690000</v>
      </c>
      <c r="K2421" s="1"/>
      <c r="L2421" s="1"/>
      <c r="M2421" s="1"/>
      <c r="N2421" s="1"/>
      <c r="O2421" s="1"/>
      <c r="P2421" s="1"/>
      <c r="Q2421" s="1"/>
      <c r="R2421" s="1"/>
      <c r="S2421" s="1"/>
      <c r="T2421" s="1"/>
      <c r="U2421" s="1"/>
      <c r="V2421" s="1"/>
    </row>
    <row r="2422" spans="1:22" x14ac:dyDescent="0.3">
      <c r="A2422" s="1"/>
      <c r="B2422" s="1"/>
      <c r="C2422" s="1"/>
      <c r="D2422" s="1"/>
      <c r="E2422" s="1"/>
      <c r="F2422" s="124" t="s">
        <v>599</v>
      </c>
      <c r="G2422" s="1"/>
      <c r="H2422" s="1"/>
      <c r="I2422" s="1"/>
      <c r="J2422" s="124">
        <f>J2421*0/100</f>
        <v>0</v>
      </c>
      <c r="K2422" s="1"/>
      <c r="L2422" s="1"/>
      <c r="M2422" s="1"/>
      <c r="N2422" s="1"/>
      <c r="O2422" s="1"/>
      <c r="P2422" s="1"/>
      <c r="Q2422" s="1"/>
      <c r="R2422" s="1"/>
      <c r="S2422" s="1"/>
      <c r="T2422" s="1"/>
      <c r="U2422" s="1"/>
      <c r="V2422" s="1"/>
    </row>
    <row r="2423" spans="1:22" x14ac:dyDescent="0.3">
      <c r="A2423" s="1"/>
      <c r="B2423" s="1"/>
      <c r="C2423" s="1"/>
      <c r="D2423" s="1"/>
      <c r="E2423" s="1"/>
      <c r="F2423" s="124" t="s">
        <v>41</v>
      </c>
      <c r="G2423" s="1"/>
      <c r="H2423" s="1"/>
      <c r="I2423" s="1"/>
      <c r="J2423" s="124">
        <f>SUM(J2421:J2422)</f>
        <v>690000</v>
      </c>
      <c r="K2423" s="1"/>
      <c r="L2423" s="1"/>
      <c r="M2423" s="1"/>
      <c r="N2423" s="1"/>
      <c r="O2423" s="1"/>
      <c r="P2423" s="1"/>
      <c r="Q2423" s="1"/>
      <c r="R2423" s="1"/>
      <c r="S2423" s="1"/>
      <c r="T2423" s="1"/>
      <c r="U2423" s="1"/>
      <c r="V2423" s="1"/>
    </row>
    <row r="2424" spans="1:22" x14ac:dyDescent="0.3">
      <c r="A2424" s="1"/>
      <c r="B2424" s="1"/>
      <c r="C2424" s="1"/>
      <c r="D2424" s="1"/>
      <c r="E2424" s="1"/>
      <c r="F2424" s="1"/>
      <c r="G2424" s="1"/>
      <c r="H2424" s="1"/>
      <c r="I2424" s="1"/>
      <c r="J2424" s="1"/>
      <c r="K2424" s="1"/>
      <c r="L2424" s="1"/>
      <c r="M2424" s="1"/>
      <c r="N2424" s="1"/>
      <c r="O2424" s="1"/>
      <c r="P2424" s="1"/>
      <c r="Q2424" s="1"/>
      <c r="R2424" s="1"/>
      <c r="S2424" s="1"/>
      <c r="T2424" s="1"/>
      <c r="U2424" s="1"/>
      <c r="V2424" s="1"/>
    </row>
    <row r="2425" spans="1:22" ht="25.2" x14ac:dyDescent="0.3">
      <c r="A2425" s="1">
        <v>227</v>
      </c>
      <c r="B2425" s="1">
        <v>8100025700</v>
      </c>
      <c r="C2425" s="37">
        <v>46302</v>
      </c>
      <c r="D2425" s="1" t="s">
        <v>43</v>
      </c>
      <c r="E2425" s="16" t="s">
        <v>127</v>
      </c>
      <c r="F2425" s="39" t="s">
        <v>2523</v>
      </c>
      <c r="G2425" s="16">
        <v>150</v>
      </c>
      <c r="H2425" s="16" t="s">
        <v>60</v>
      </c>
      <c r="I2425" s="16">
        <v>1341</v>
      </c>
      <c r="J2425" s="16">
        <f t="shared" si="457"/>
        <v>201150</v>
      </c>
      <c r="K2425" s="16"/>
      <c r="L2425" s="16"/>
      <c r="M2425" s="16"/>
      <c r="N2425" s="16"/>
      <c r="O2425" s="16">
        <v>150</v>
      </c>
      <c r="P2425" s="16">
        <v>1341</v>
      </c>
      <c r="Q2425" s="16">
        <f>O2425*P2425</f>
        <v>201150</v>
      </c>
      <c r="R2425" s="18">
        <v>0</v>
      </c>
      <c r="S2425" s="16">
        <f>Q2425*R2425</f>
        <v>0</v>
      </c>
      <c r="T2425" s="16">
        <f>Q2425+S2425</f>
        <v>201150</v>
      </c>
      <c r="U2425" s="16" t="s">
        <v>2716</v>
      </c>
      <c r="V2425" s="16" t="s">
        <v>2717</v>
      </c>
    </row>
    <row r="2426" spans="1:22" ht="25.2" x14ac:dyDescent="0.3">
      <c r="A2426" s="1"/>
      <c r="B2426" s="1"/>
      <c r="C2426" s="1"/>
      <c r="D2426" s="1">
        <v>2</v>
      </c>
      <c r="E2426" s="16" t="s">
        <v>127</v>
      </c>
      <c r="F2426" s="39" t="s">
        <v>2524</v>
      </c>
      <c r="G2426" s="16">
        <v>150</v>
      </c>
      <c r="H2426" s="16" t="s">
        <v>60</v>
      </c>
      <c r="I2426" s="16">
        <v>910</v>
      </c>
      <c r="J2426" s="16">
        <f t="shared" si="457"/>
        <v>136500</v>
      </c>
      <c r="K2426" s="16"/>
      <c r="L2426" s="16"/>
      <c r="M2426" s="16"/>
      <c r="N2426" s="16"/>
      <c r="O2426" s="16">
        <v>150</v>
      </c>
      <c r="P2426" s="16">
        <v>910</v>
      </c>
      <c r="Q2426" s="16">
        <f t="shared" ref="Q2426:Q2462" si="500">O2426*P2426</f>
        <v>136500</v>
      </c>
      <c r="R2426" s="18">
        <v>0</v>
      </c>
      <c r="S2426" s="16">
        <f t="shared" ref="S2426:S2462" si="501">Q2426*R2426</f>
        <v>0</v>
      </c>
      <c r="T2426" s="16">
        <f t="shared" ref="T2426:T2462" si="502">Q2426+S2426</f>
        <v>136500</v>
      </c>
      <c r="U2426" s="16" t="s">
        <v>2716</v>
      </c>
      <c r="V2426" s="16" t="s">
        <v>2717</v>
      </c>
    </row>
    <row r="2427" spans="1:22" ht="25.2" x14ac:dyDescent="0.3">
      <c r="A2427" s="1"/>
      <c r="B2427" s="1"/>
      <c r="C2427" s="1"/>
      <c r="D2427" s="1">
        <v>3</v>
      </c>
      <c r="E2427" s="1" t="s">
        <v>127</v>
      </c>
      <c r="F2427" s="22" t="s">
        <v>2525</v>
      </c>
      <c r="G2427" s="1">
        <v>2</v>
      </c>
      <c r="H2427" s="1" t="s">
        <v>28</v>
      </c>
      <c r="I2427" s="1">
        <v>57008</v>
      </c>
      <c r="J2427" s="1">
        <f t="shared" si="457"/>
        <v>114016</v>
      </c>
      <c r="K2427" s="1"/>
      <c r="L2427" s="1"/>
      <c r="M2427" s="1"/>
      <c r="N2427" s="1"/>
      <c r="O2427" s="85"/>
      <c r="P2427" s="1">
        <v>57008</v>
      </c>
      <c r="Q2427" s="85">
        <f t="shared" si="500"/>
        <v>0</v>
      </c>
      <c r="R2427" s="104">
        <v>0</v>
      </c>
      <c r="S2427" s="85">
        <f t="shared" si="501"/>
        <v>0</v>
      </c>
      <c r="T2427" s="85">
        <f t="shared" si="502"/>
        <v>0</v>
      </c>
      <c r="U2427" s="85"/>
      <c r="V2427" s="85"/>
    </row>
    <row r="2428" spans="1:22" ht="25.2" x14ac:dyDescent="0.3">
      <c r="A2428" s="1"/>
      <c r="B2428" s="1"/>
      <c r="C2428" s="1"/>
      <c r="D2428" s="1">
        <v>4</v>
      </c>
      <c r="E2428" s="1" t="s">
        <v>127</v>
      </c>
      <c r="F2428" s="22" t="s">
        <v>2526</v>
      </c>
      <c r="G2428" s="1">
        <v>2</v>
      </c>
      <c r="H2428" s="1" t="s">
        <v>28</v>
      </c>
      <c r="I2428" s="1">
        <v>28070</v>
      </c>
      <c r="J2428" s="1">
        <f t="shared" si="457"/>
        <v>56140</v>
      </c>
      <c r="K2428" s="1"/>
      <c r="L2428" s="1"/>
      <c r="M2428" s="1"/>
      <c r="N2428" s="1"/>
      <c r="O2428" s="85"/>
      <c r="P2428" s="1">
        <v>28070</v>
      </c>
      <c r="Q2428" s="85">
        <f t="shared" si="500"/>
        <v>0</v>
      </c>
      <c r="R2428" s="104">
        <v>0</v>
      </c>
      <c r="S2428" s="85">
        <f t="shared" si="501"/>
        <v>0</v>
      </c>
      <c r="T2428" s="85">
        <f t="shared" si="502"/>
        <v>0</v>
      </c>
      <c r="U2428" s="85"/>
      <c r="V2428" s="85"/>
    </row>
    <row r="2429" spans="1:22" x14ac:dyDescent="0.3">
      <c r="A2429" s="1"/>
      <c r="B2429" s="1"/>
      <c r="C2429" s="1"/>
      <c r="D2429" s="1">
        <v>5</v>
      </c>
      <c r="E2429" s="1" t="s">
        <v>127</v>
      </c>
      <c r="F2429" s="1" t="s">
        <v>2527</v>
      </c>
      <c r="G2429" s="1">
        <v>2</v>
      </c>
      <c r="H2429" s="1" t="s">
        <v>28</v>
      </c>
      <c r="I2429" s="1">
        <v>275</v>
      </c>
      <c r="J2429" s="1">
        <f t="shared" si="457"/>
        <v>550</v>
      </c>
      <c r="K2429" s="1"/>
      <c r="L2429" s="1"/>
      <c r="M2429" s="1"/>
      <c r="N2429" s="1"/>
      <c r="O2429" s="85"/>
      <c r="P2429" s="1">
        <v>275</v>
      </c>
      <c r="Q2429" s="85">
        <f t="shared" si="500"/>
        <v>0</v>
      </c>
      <c r="R2429" s="104">
        <v>0</v>
      </c>
      <c r="S2429" s="85">
        <f t="shared" si="501"/>
        <v>0</v>
      </c>
      <c r="T2429" s="85">
        <f t="shared" si="502"/>
        <v>0</v>
      </c>
      <c r="U2429" s="85"/>
      <c r="V2429" s="85"/>
    </row>
    <row r="2430" spans="1:22" x14ac:dyDescent="0.3">
      <c r="A2430" s="1"/>
      <c r="B2430" s="1"/>
      <c r="C2430" s="1"/>
      <c r="D2430" s="1">
        <v>6</v>
      </c>
      <c r="E2430" s="1" t="s">
        <v>127</v>
      </c>
      <c r="F2430" s="1" t="s">
        <v>2528</v>
      </c>
      <c r="G2430" s="1">
        <v>2</v>
      </c>
      <c r="H2430" s="1" t="s">
        <v>28</v>
      </c>
      <c r="I2430" s="1">
        <v>200</v>
      </c>
      <c r="J2430" s="1">
        <f t="shared" si="457"/>
        <v>400</v>
      </c>
      <c r="K2430" s="1"/>
      <c r="L2430" s="1"/>
      <c r="M2430" s="1"/>
      <c r="N2430" s="1"/>
      <c r="O2430" s="85"/>
      <c r="P2430" s="1">
        <v>200</v>
      </c>
      <c r="Q2430" s="85">
        <f t="shared" si="500"/>
        <v>0</v>
      </c>
      <c r="R2430" s="104">
        <v>0</v>
      </c>
      <c r="S2430" s="85">
        <f t="shared" si="501"/>
        <v>0</v>
      </c>
      <c r="T2430" s="85">
        <f t="shared" si="502"/>
        <v>0</v>
      </c>
      <c r="U2430" s="85"/>
      <c r="V2430" s="85"/>
    </row>
    <row r="2431" spans="1:22" ht="25.2" x14ac:dyDescent="0.3">
      <c r="A2431" s="1"/>
      <c r="B2431" s="1"/>
      <c r="C2431" s="1"/>
      <c r="D2431" s="1">
        <v>7</v>
      </c>
      <c r="E2431" s="1" t="s">
        <v>127</v>
      </c>
      <c r="F2431" s="22" t="s">
        <v>2529</v>
      </c>
      <c r="G2431" s="1">
        <v>55</v>
      </c>
      <c r="H2431" s="1" t="s">
        <v>28</v>
      </c>
      <c r="I2431" s="1">
        <v>5683</v>
      </c>
      <c r="J2431" s="1">
        <f t="shared" si="457"/>
        <v>312565</v>
      </c>
      <c r="K2431" s="1"/>
      <c r="L2431" s="1"/>
      <c r="M2431" s="1"/>
      <c r="N2431" s="1"/>
      <c r="O2431" s="85"/>
      <c r="P2431" s="1">
        <v>5683</v>
      </c>
      <c r="Q2431" s="85">
        <f t="shared" si="500"/>
        <v>0</v>
      </c>
      <c r="R2431" s="104">
        <v>0</v>
      </c>
      <c r="S2431" s="85">
        <f t="shared" si="501"/>
        <v>0</v>
      </c>
      <c r="T2431" s="85">
        <f t="shared" si="502"/>
        <v>0</v>
      </c>
      <c r="U2431" s="85"/>
      <c r="V2431" s="85"/>
    </row>
    <row r="2432" spans="1:22" ht="25.2" x14ac:dyDescent="0.3">
      <c r="A2432" s="1"/>
      <c r="B2432" s="1"/>
      <c r="C2432" s="1"/>
      <c r="D2432" s="1">
        <v>8</v>
      </c>
      <c r="E2432" s="1" t="s">
        <v>127</v>
      </c>
      <c r="F2432" s="22" t="s">
        <v>2530</v>
      </c>
      <c r="G2432" s="1">
        <v>55</v>
      </c>
      <c r="H2432" s="1" t="s">
        <v>28</v>
      </c>
      <c r="I2432" s="1">
        <v>4270</v>
      </c>
      <c r="J2432" s="1">
        <f t="shared" si="457"/>
        <v>234850</v>
      </c>
      <c r="K2432" s="1"/>
      <c r="L2432" s="1"/>
      <c r="M2432" s="1"/>
      <c r="N2432" s="1"/>
      <c r="O2432" s="85"/>
      <c r="P2432" s="1">
        <v>4270</v>
      </c>
      <c r="Q2432" s="85">
        <f t="shared" si="500"/>
        <v>0</v>
      </c>
      <c r="R2432" s="104">
        <v>0</v>
      </c>
      <c r="S2432" s="85">
        <f t="shared" si="501"/>
        <v>0</v>
      </c>
      <c r="T2432" s="85">
        <f t="shared" si="502"/>
        <v>0</v>
      </c>
      <c r="U2432" s="85"/>
      <c r="V2432" s="85"/>
    </row>
    <row r="2433" spans="1:22" ht="25.2" x14ac:dyDescent="0.3">
      <c r="A2433" s="1"/>
      <c r="B2433" s="1"/>
      <c r="C2433" s="1"/>
      <c r="D2433" s="1">
        <v>9</v>
      </c>
      <c r="E2433" s="1" t="s">
        <v>127</v>
      </c>
      <c r="F2433" s="22" t="s">
        <v>2531</v>
      </c>
      <c r="G2433" s="1">
        <v>84</v>
      </c>
      <c r="H2433" s="1" t="s">
        <v>28</v>
      </c>
      <c r="I2433" s="1">
        <v>336</v>
      </c>
      <c r="J2433" s="1">
        <f t="shared" si="457"/>
        <v>28224</v>
      </c>
      <c r="K2433" s="1"/>
      <c r="L2433" s="1"/>
      <c r="M2433" s="1"/>
      <c r="N2433" s="1"/>
      <c r="O2433" s="85"/>
      <c r="P2433" s="1">
        <v>336</v>
      </c>
      <c r="Q2433" s="85">
        <f t="shared" si="500"/>
        <v>0</v>
      </c>
      <c r="R2433" s="104">
        <v>0</v>
      </c>
      <c r="S2433" s="85">
        <f t="shared" si="501"/>
        <v>0</v>
      </c>
      <c r="T2433" s="85">
        <f t="shared" si="502"/>
        <v>0</v>
      </c>
      <c r="U2433" s="85"/>
      <c r="V2433" s="85"/>
    </row>
    <row r="2434" spans="1:22" ht="25.2" x14ac:dyDescent="0.3">
      <c r="A2434" s="1"/>
      <c r="B2434" s="1"/>
      <c r="C2434" s="1"/>
      <c r="D2434" s="1">
        <v>10</v>
      </c>
      <c r="E2434" s="16" t="s">
        <v>127</v>
      </c>
      <c r="F2434" s="39" t="s">
        <v>2532</v>
      </c>
      <c r="G2434" s="16">
        <v>84</v>
      </c>
      <c r="H2434" s="16" t="s">
        <v>28</v>
      </c>
      <c r="I2434" s="16">
        <v>280</v>
      </c>
      <c r="J2434" s="16">
        <f t="shared" si="457"/>
        <v>23520</v>
      </c>
      <c r="K2434" s="16"/>
      <c r="L2434" s="16"/>
      <c r="M2434" s="16"/>
      <c r="N2434" s="16"/>
      <c r="O2434" s="16">
        <v>84</v>
      </c>
      <c r="P2434" s="16">
        <v>280</v>
      </c>
      <c r="Q2434" s="16">
        <f t="shared" si="500"/>
        <v>23520</v>
      </c>
      <c r="R2434" s="18">
        <v>0</v>
      </c>
      <c r="S2434" s="16">
        <f t="shared" si="501"/>
        <v>0</v>
      </c>
      <c r="T2434" s="16">
        <f t="shared" si="502"/>
        <v>23520</v>
      </c>
      <c r="U2434" s="16" t="s">
        <v>2721</v>
      </c>
      <c r="V2434" s="16" t="s">
        <v>2717</v>
      </c>
    </row>
    <row r="2435" spans="1:22" ht="25.2" x14ac:dyDescent="0.3">
      <c r="A2435" s="1"/>
      <c r="B2435" s="1"/>
      <c r="C2435" s="1"/>
      <c r="D2435" s="1">
        <v>11</v>
      </c>
      <c r="E2435" s="16" t="s">
        <v>127</v>
      </c>
      <c r="F2435" s="39" t="s">
        <v>2533</v>
      </c>
      <c r="G2435" s="16">
        <v>10</v>
      </c>
      <c r="H2435" s="16" t="s">
        <v>28</v>
      </c>
      <c r="I2435" s="16">
        <v>3756</v>
      </c>
      <c r="J2435" s="16">
        <f t="shared" si="457"/>
        <v>37560</v>
      </c>
      <c r="K2435" s="16"/>
      <c r="L2435" s="16"/>
      <c r="M2435" s="16"/>
      <c r="N2435" s="16"/>
      <c r="O2435" s="16">
        <v>10</v>
      </c>
      <c r="P2435" s="16">
        <v>3756</v>
      </c>
      <c r="Q2435" s="16">
        <f t="shared" si="500"/>
        <v>37560</v>
      </c>
      <c r="R2435" s="18">
        <v>0</v>
      </c>
      <c r="S2435" s="16">
        <f t="shared" si="501"/>
        <v>0</v>
      </c>
      <c r="T2435" s="16">
        <f t="shared" si="502"/>
        <v>37560</v>
      </c>
      <c r="U2435" s="16" t="s">
        <v>2721</v>
      </c>
      <c r="V2435" s="16" t="s">
        <v>2717</v>
      </c>
    </row>
    <row r="2436" spans="1:22" ht="25.2" x14ac:dyDescent="0.3">
      <c r="A2436" s="1"/>
      <c r="B2436" s="1"/>
      <c r="C2436" s="1"/>
      <c r="D2436" s="1">
        <v>12</v>
      </c>
      <c r="E2436" s="1" t="s">
        <v>127</v>
      </c>
      <c r="F2436" s="22" t="s">
        <v>2534</v>
      </c>
      <c r="G2436" s="1">
        <v>4</v>
      </c>
      <c r="H2436" s="1" t="s">
        <v>28</v>
      </c>
      <c r="I2436" s="1">
        <v>1165</v>
      </c>
      <c r="J2436" s="1">
        <f t="shared" si="457"/>
        <v>4660</v>
      </c>
      <c r="K2436" s="1"/>
      <c r="L2436" s="1"/>
      <c r="M2436" s="1"/>
      <c r="N2436" s="1"/>
      <c r="O2436" s="85"/>
      <c r="P2436" s="1">
        <v>1165</v>
      </c>
      <c r="Q2436" s="85">
        <f t="shared" si="500"/>
        <v>0</v>
      </c>
      <c r="R2436" s="104">
        <v>0</v>
      </c>
      <c r="S2436" s="85">
        <f t="shared" si="501"/>
        <v>0</v>
      </c>
      <c r="T2436" s="85">
        <f t="shared" si="502"/>
        <v>0</v>
      </c>
      <c r="U2436" s="85"/>
      <c r="V2436" s="85"/>
    </row>
    <row r="2437" spans="1:22" ht="25.2" x14ac:dyDescent="0.3">
      <c r="A2437" s="1"/>
      <c r="B2437" s="1"/>
      <c r="C2437" s="1"/>
      <c r="D2437" s="1">
        <v>13</v>
      </c>
      <c r="E2437" s="1" t="s">
        <v>127</v>
      </c>
      <c r="F2437" s="22" t="s">
        <v>2535</v>
      </c>
      <c r="G2437" s="1">
        <v>6</v>
      </c>
      <c r="H2437" s="1" t="s">
        <v>28</v>
      </c>
      <c r="I2437" s="1">
        <v>315</v>
      </c>
      <c r="J2437" s="1">
        <f t="shared" si="457"/>
        <v>1890</v>
      </c>
      <c r="K2437" s="1"/>
      <c r="L2437" s="1"/>
      <c r="M2437" s="1"/>
      <c r="N2437" s="1"/>
      <c r="O2437" s="85"/>
      <c r="P2437" s="1">
        <v>315</v>
      </c>
      <c r="Q2437" s="85">
        <f t="shared" si="500"/>
        <v>0</v>
      </c>
      <c r="R2437" s="104">
        <v>0</v>
      </c>
      <c r="S2437" s="85">
        <f t="shared" si="501"/>
        <v>0</v>
      </c>
      <c r="T2437" s="85">
        <f t="shared" si="502"/>
        <v>0</v>
      </c>
      <c r="U2437" s="85"/>
      <c r="V2437" s="85"/>
    </row>
    <row r="2438" spans="1:22" x14ac:dyDescent="0.3">
      <c r="A2438" s="1"/>
      <c r="B2438" s="1"/>
      <c r="C2438" s="1"/>
      <c r="D2438" s="1">
        <v>14</v>
      </c>
      <c r="E2438" s="16" t="s">
        <v>127</v>
      </c>
      <c r="F2438" s="16" t="s">
        <v>2536</v>
      </c>
      <c r="G2438" s="16">
        <v>22</v>
      </c>
      <c r="H2438" s="16" t="s">
        <v>28</v>
      </c>
      <c r="I2438" s="16">
        <v>370</v>
      </c>
      <c r="J2438" s="16">
        <f t="shared" si="457"/>
        <v>8140</v>
      </c>
      <c r="K2438" s="16"/>
      <c r="L2438" s="16"/>
      <c r="M2438" s="16"/>
      <c r="N2438" s="16"/>
      <c r="O2438" s="16">
        <v>22</v>
      </c>
      <c r="P2438" s="16">
        <v>370</v>
      </c>
      <c r="Q2438" s="16">
        <f t="shared" si="500"/>
        <v>8140</v>
      </c>
      <c r="R2438" s="18">
        <v>0</v>
      </c>
      <c r="S2438" s="16">
        <f t="shared" si="501"/>
        <v>0</v>
      </c>
      <c r="T2438" s="16">
        <f t="shared" si="502"/>
        <v>8140</v>
      </c>
      <c r="U2438" s="16" t="s">
        <v>2721</v>
      </c>
      <c r="V2438" s="16" t="s">
        <v>2717</v>
      </c>
    </row>
    <row r="2439" spans="1:22" x14ac:dyDescent="0.3">
      <c r="A2439" s="1"/>
      <c r="B2439" s="1"/>
      <c r="C2439" s="1"/>
      <c r="D2439" s="1">
        <v>15</v>
      </c>
      <c r="E2439" s="16" t="s">
        <v>127</v>
      </c>
      <c r="F2439" s="16" t="s">
        <v>2537</v>
      </c>
      <c r="G2439" s="16">
        <v>22</v>
      </c>
      <c r="H2439" s="16" t="s">
        <v>28</v>
      </c>
      <c r="I2439" s="16">
        <v>238</v>
      </c>
      <c r="J2439" s="16">
        <f t="shared" si="457"/>
        <v>5236</v>
      </c>
      <c r="K2439" s="16"/>
      <c r="L2439" s="16"/>
      <c r="M2439" s="16"/>
      <c r="N2439" s="16"/>
      <c r="O2439" s="16">
        <v>22</v>
      </c>
      <c r="P2439" s="16">
        <v>238</v>
      </c>
      <c r="Q2439" s="16">
        <f t="shared" si="500"/>
        <v>5236</v>
      </c>
      <c r="R2439" s="18">
        <v>0</v>
      </c>
      <c r="S2439" s="16">
        <f t="shared" si="501"/>
        <v>0</v>
      </c>
      <c r="T2439" s="16">
        <f t="shared" si="502"/>
        <v>5236</v>
      </c>
      <c r="U2439" s="16" t="s">
        <v>2721</v>
      </c>
      <c r="V2439" s="16" t="s">
        <v>2717</v>
      </c>
    </row>
    <row r="2440" spans="1:22" x14ac:dyDescent="0.3">
      <c r="A2440" s="1"/>
      <c r="B2440" s="1"/>
      <c r="C2440" s="1"/>
      <c r="D2440" s="1">
        <v>16</v>
      </c>
      <c r="E2440" s="16" t="s">
        <v>127</v>
      </c>
      <c r="F2440" s="16" t="s">
        <v>2538</v>
      </c>
      <c r="G2440" s="16">
        <v>10</v>
      </c>
      <c r="H2440" s="16" t="s">
        <v>28</v>
      </c>
      <c r="I2440" s="16">
        <v>50</v>
      </c>
      <c r="J2440" s="16">
        <f t="shared" si="457"/>
        <v>500</v>
      </c>
      <c r="K2440" s="16"/>
      <c r="L2440" s="16"/>
      <c r="M2440" s="16"/>
      <c r="N2440" s="16"/>
      <c r="O2440" s="16">
        <v>10</v>
      </c>
      <c r="P2440" s="16">
        <v>50</v>
      </c>
      <c r="Q2440" s="16">
        <f t="shared" si="500"/>
        <v>500</v>
      </c>
      <c r="R2440" s="18">
        <v>0</v>
      </c>
      <c r="S2440" s="16">
        <f t="shared" si="501"/>
        <v>0</v>
      </c>
      <c r="T2440" s="16">
        <f t="shared" si="502"/>
        <v>500</v>
      </c>
      <c r="U2440" s="16" t="s">
        <v>2721</v>
      </c>
      <c r="V2440" s="16" t="s">
        <v>2717</v>
      </c>
    </row>
    <row r="2441" spans="1:22" x14ac:dyDescent="0.3">
      <c r="A2441" s="1"/>
      <c r="B2441" s="1"/>
      <c r="C2441" s="1"/>
      <c r="D2441" s="1">
        <v>17</v>
      </c>
      <c r="E2441" s="1" t="s">
        <v>127</v>
      </c>
      <c r="F2441" s="1" t="s">
        <v>2539</v>
      </c>
      <c r="G2441" s="1">
        <v>32</v>
      </c>
      <c r="H2441" s="1" t="s">
        <v>28</v>
      </c>
      <c r="I2441" s="1">
        <v>2585</v>
      </c>
      <c r="J2441" s="1">
        <f t="shared" si="457"/>
        <v>82720</v>
      </c>
      <c r="K2441" s="1"/>
      <c r="L2441" s="1"/>
      <c r="M2441" s="1"/>
      <c r="N2441" s="1"/>
      <c r="O2441" s="85"/>
      <c r="P2441" s="1">
        <v>2585</v>
      </c>
      <c r="Q2441" s="85">
        <f t="shared" si="500"/>
        <v>0</v>
      </c>
      <c r="R2441" s="104">
        <v>0</v>
      </c>
      <c r="S2441" s="85">
        <f t="shared" si="501"/>
        <v>0</v>
      </c>
      <c r="T2441" s="85">
        <f t="shared" si="502"/>
        <v>0</v>
      </c>
      <c r="U2441" s="85"/>
      <c r="V2441" s="85"/>
    </row>
    <row r="2442" spans="1:22" x14ac:dyDescent="0.3">
      <c r="A2442" s="1"/>
      <c r="B2442" s="1"/>
      <c r="C2442" s="1"/>
      <c r="D2442" s="1">
        <v>18</v>
      </c>
      <c r="E2442" s="1" t="s">
        <v>127</v>
      </c>
      <c r="F2442" s="1" t="s">
        <v>2540</v>
      </c>
      <c r="G2442" s="1">
        <v>32</v>
      </c>
      <c r="H2442" s="1" t="s">
        <v>28</v>
      </c>
      <c r="I2442" s="1">
        <v>1582</v>
      </c>
      <c r="J2442" s="1">
        <f t="shared" si="457"/>
        <v>50624</v>
      </c>
      <c r="K2442" s="1"/>
      <c r="L2442" s="1"/>
      <c r="M2442" s="1"/>
      <c r="N2442" s="1"/>
      <c r="O2442" s="85"/>
      <c r="P2442" s="1">
        <v>1582</v>
      </c>
      <c r="Q2442" s="85">
        <f t="shared" si="500"/>
        <v>0</v>
      </c>
      <c r="R2442" s="104">
        <v>0</v>
      </c>
      <c r="S2442" s="85">
        <f t="shared" si="501"/>
        <v>0</v>
      </c>
      <c r="T2442" s="85">
        <f t="shared" si="502"/>
        <v>0</v>
      </c>
      <c r="U2442" s="85"/>
      <c r="V2442" s="85"/>
    </row>
    <row r="2443" spans="1:22" ht="25.2" x14ac:dyDescent="0.3">
      <c r="A2443" s="1"/>
      <c r="B2443" s="1"/>
      <c r="C2443" s="1"/>
      <c r="D2443" s="1">
        <v>19</v>
      </c>
      <c r="E2443" s="1" t="s">
        <v>127</v>
      </c>
      <c r="F2443" s="22" t="s">
        <v>2541</v>
      </c>
      <c r="G2443" s="1">
        <v>100</v>
      </c>
      <c r="H2443" s="1" t="s">
        <v>2542</v>
      </c>
      <c r="I2443" s="1">
        <v>134</v>
      </c>
      <c r="J2443" s="1">
        <f t="shared" si="457"/>
        <v>13400</v>
      </c>
      <c r="K2443" s="1"/>
      <c r="L2443" s="1"/>
      <c r="M2443" s="1"/>
      <c r="N2443" s="1"/>
      <c r="O2443" s="85"/>
      <c r="P2443" s="1">
        <v>134</v>
      </c>
      <c r="Q2443" s="85">
        <f t="shared" si="500"/>
        <v>0</v>
      </c>
      <c r="R2443" s="104">
        <v>0</v>
      </c>
      <c r="S2443" s="85">
        <f t="shared" si="501"/>
        <v>0</v>
      </c>
      <c r="T2443" s="85">
        <f t="shared" si="502"/>
        <v>0</v>
      </c>
      <c r="U2443" s="85"/>
      <c r="V2443" s="85"/>
    </row>
    <row r="2444" spans="1:22" ht="25.2" x14ac:dyDescent="0.3">
      <c r="A2444" s="1"/>
      <c r="B2444" s="1"/>
      <c r="C2444" s="1"/>
      <c r="D2444" s="1">
        <v>20</v>
      </c>
      <c r="E2444" s="1" t="s">
        <v>123</v>
      </c>
      <c r="F2444" s="22" t="s">
        <v>2543</v>
      </c>
      <c r="G2444" s="1">
        <v>150</v>
      </c>
      <c r="H2444" s="1" t="s">
        <v>60</v>
      </c>
      <c r="I2444" s="1">
        <v>300</v>
      </c>
      <c r="J2444" s="1">
        <f t="shared" si="457"/>
        <v>45000</v>
      </c>
      <c r="K2444" s="1"/>
      <c r="L2444" s="1"/>
      <c r="M2444" s="1"/>
      <c r="N2444" s="1"/>
      <c r="O2444" s="85"/>
      <c r="P2444" s="1">
        <v>300</v>
      </c>
      <c r="Q2444" s="85">
        <f t="shared" si="500"/>
        <v>0</v>
      </c>
      <c r="R2444" s="104">
        <v>0</v>
      </c>
      <c r="S2444" s="85">
        <f t="shared" si="501"/>
        <v>0</v>
      </c>
      <c r="T2444" s="85">
        <f t="shared" si="502"/>
        <v>0</v>
      </c>
      <c r="U2444" s="85"/>
      <c r="V2444" s="85"/>
    </row>
    <row r="2445" spans="1:22" ht="25.2" x14ac:dyDescent="0.3">
      <c r="A2445" s="1"/>
      <c r="B2445" s="1"/>
      <c r="C2445" s="1"/>
      <c r="D2445" s="1">
        <v>21</v>
      </c>
      <c r="E2445" s="1" t="s">
        <v>123</v>
      </c>
      <c r="F2445" s="22" t="s">
        <v>2015</v>
      </c>
      <c r="G2445" s="1">
        <v>150</v>
      </c>
      <c r="H2445" s="1" t="s">
        <v>60</v>
      </c>
      <c r="I2445" s="1">
        <v>300</v>
      </c>
      <c r="J2445" s="1">
        <f t="shared" si="457"/>
        <v>45000</v>
      </c>
      <c r="K2445" s="1"/>
      <c r="L2445" s="1"/>
      <c r="M2445" s="1"/>
      <c r="N2445" s="1"/>
      <c r="O2445" s="85"/>
      <c r="P2445" s="1">
        <v>300</v>
      </c>
      <c r="Q2445" s="85">
        <f t="shared" si="500"/>
        <v>0</v>
      </c>
      <c r="R2445" s="104">
        <v>0</v>
      </c>
      <c r="S2445" s="85">
        <f t="shared" si="501"/>
        <v>0</v>
      </c>
      <c r="T2445" s="85">
        <f t="shared" si="502"/>
        <v>0</v>
      </c>
      <c r="U2445" s="85"/>
      <c r="V2445" s="85"/>
    </row>
    <row r="2446" spans="1:22" ht="25.2" x14ac:dyDescent="0.3">
      <c r="A2446" s="1"/>
      <c r="B2446" s="1"/>
      <c r="C2446" s="1"/>
      <c r="D2446" s="1">
        <v>22</v>
      </c>
      <c r="E2446" s="1" t="s">
        <v>123</v>
      </c>
      <c r="F2446" s="22" t="s">
        <v>2544</v>
      </c>
      <c r="G2446" s="1">
        <v>2</v>
      </c>
      <c r="H2446" s="1" t="s">
        <v>87</v>
      </c>
      <c r="I2446" s="1">
        <v>300</v>
      </c>
      <c r="J2446" s="1">
        <f t="shared" si="457"/>
        <v>600</v>
      </c>
      <c r="K2446" s="1"/>
      <c r="L2446" s="1"/>
      <c r="M2446" s="1"/>
      <c r="N2446" s="1"/>
      <c r="O2446" s="85"/>
      <c r="P2446" s="1">
        <v>300</v>
      </c>
      <c r="Q2446" s="85">
        <f t="shared" si="500"/>
        <v>0</v>
      </c>
      <c r="R2446" s="104">
        <v>0</v>
      </c>
      <c r="S2446" s="85">
        <f t="shared" si="501"/>
        <v>0</v>
      </c>
      <c r="T2446" s="85">
        <f t="shared" si="502"/>
        <v>0</v>
      </c>
      <c r="U2446" s="85"/>
      <c r="V2446" s="85"/>
    </row>
    <row r="2447" spans="1:22" ht="25.2" x14ac:dyDescent="0.3">
      <c r="A2447" s="1"/>
      <c r="B2447" s="1"/>
      <c r="C2447" s="1"/>
      <c r="D2447" s="1">
        <v>23</v>
      </c>
      <c r="E2447" s="1" t="s">
        <v>123</v>
      </c>
      <c r="F2447" s="22" t="s">
        <v>2545</v>
      </c>
      <c r="G2447" s="1">
        <v>2</v>
      </c>
      <c r="H2447" s="1" t="s">
        <v>87</v>
      </c>
      <c r="I2447" s="1">
        <v>300</v>
      </c>
      <c r="J2447" s="1">
        <f t="shared" si="457"/>
        <v>600</v>
      </c>
      <c r="K2447" s="1"/>
      <c r="L2447" s="1"/>
      <c r="M2447" s="1"/>
      <c r="N2447" s="1"/>
      <c r="O2447" s="85"/>
      <c r="P2447" s="1">
        <v>300</v>
      </c>
      <c r="Q2447" s="85">
        <f t="shared" si="500"/>
        <v>0</v>
      </c>
      <c r="R2447" s="104">
        <v>0</v>
      </c>
      <c r="S2447" s="85">
        <f t="shared" si="501"/>
        <v>0</v>
      </c>
      <c r="T2447" s="85">
        <f t="shared" si="502"/>
        <v>0</v>
      </c>
      <c r="U2447" s="85"/>
      <c r="V2447" s="85"/>
    </row>
    <row r="2448" spans="1:22" ht="25.2" x14ac:dyDescent="0.3">
      <c r="A2448" s="1"/>
      <c r="B2448" s="1"/>
      <c r="C2448" s="1"/>
      <c r="D2448" s="1">
        <v>24</v>
      </c>
      <c r="E2448" s="1" t="s">
        <v>123</v>
      </c>
      <c r="F2448" s="22" t="s">
        <v>2546</v>
      </c>
      <c r="G2448" s="1">
        <v>2</v>
      </c>
      <c r="H2448" s="1" t="s">
        <v>87</v>
      </c>
      <c r="I2448" s="1">
        <v>300</v>
      </c>
      <c r="J2448" s="1">
        <f t="shared" si="457"/>
        <v>600</v>
      </c>
      <c r="K2448" s="1"/>
      <c r="L2448" s="1"/>
      <c r="M2448" s="1"/>
      <c r="N2448" s="1"/>
      <c r="O2448" s="85"/>
      <c r="P2448" s="1">
        <v>300</v>
      </c>
      <c r="Q2448" s="85">
        <f t="shared" si="500"/>
        <v>0</v>
      </c>
      <c r="R2448" s="104">
        <v>0</v>
      </c>
      <c r="S2448" s="85">
        <f t="shared" si="501"/>
        <v>0</v>
      </c>
      <c r="T2448" s="85">
        <f t="shared" si="502"/>
        <v>0</v>
      </c>
      <c r="U2448" s="85"/>
      <c r="V2448" s="85"/>
    </row>
    <row r="2449" spans="1:22" ht="25.2" x14ac:dyDescent="0.3">
      <c r="A2449" s="1"/>
      <c r="B2449" s="1"/>
      <c r="C2449" s="1"/>
      <c r="D2449" s="1">
        <v>25</v>
      </c>
      <c r="E2449" s="1" t="s">
        <v>123</v>
      </c>
      <c r="F2449" s="22" t="s">
        <v>2547</v>
      </c>
      <c r="G2449" s="1">
        <v>2</v>
      </c>
      <c r="H2449" s="1" t="s">
        <v>87</v>
      </c>
      <c r="I2449" s="1">
        <v>300</v>
      </c>
      <c r="J2449" s="1">
        <f t="shared" si="457"/>
        <v>600</v>
      </c>
      <c r="K2449" s="1"/>
      <c r="L2449" s="1"/>
      <c r="M2449" s="1"/>
      <c r="N2449" s="1"/>
      <c r="O2449" s="85"/>
      <c r="P2449" s="1">
        <v>300</v>
      </c>
      <c r="Q2449" s="85">
        <f t="shared" si="500"/>
        <v>0</v>
      </c>
      <c r="R2449" s="104">
        <v>0</v>
      </c>
      <c r="S2449" s="85">
        <f t="shared" si="501"/>
        <v>0</v>
      </c>
      <c r="T2449" s="85">
        <f t="shared" si="502"/>
        <v>0</v>
      </c>
      <c r="U2449" s="85"/>
      <c r="V2449" s="85"/>
    </row>
    <row r="2450" spans="1:22" ht="37.799999999999997" x14ac:dyDescent="0.3">
      <c r="A2450" s="1"/>
      <c r="B2450" s="1"/>
      <c r="C2450" s="1"/>
      <c r="D2450" s="1">
        <v>26</v>
      </c>
      <c r="E2450" s="1" t="s">
        <v>123</v>
      </c>
      <c r="F2450" s="22" t="s">
        <v>2548</v>
      </c>
      <c r="G2450" s="1">
        <v>110</v>
      </c>
      <c r="H2450" s="1"/>
      <c r="I2450" s="1">
        <v>300</v>
      </c>
      <c r="J2450" s="1">
        <f t="shared" si="457"/>
        <v>33000</v>
      </c>
      <c r="K2450" s="1"/>
      <c r="L2450" s="1"/>
      <c r="M2450" s="1"/>
      <c r="N2450" s="1"/>
      <c r="O2450" s="85"/>
      <c r="P2450" s="1">
        <v>300</v>
      </c>
      <c r="Q2450" s="85">
        <f t="shared" si="500"/>
        <v>0</v>
      </c>
      <c r="R2450" s="104">
        <v>0</v>
      </c>
      <c r="S2450" s="85">
        <f t="shared" si="501"/>
        <v>0</v>
      </c>
      <c r="T2450" s="85">
        <f t="shared" si="502"/>
        <v>0</v>
      </c>
      <c r="U2450" s="85"/>
      <c r="V2450" s="85"/>
    </row>
    <row r="2451" spans="1:22" ht="25.2" x14ac:dyDescent="0.3">
      <c r="A2451" s="1"/>
      <c r="B2451" s="1"/>
      <c r="C2451" s="1"/>
      <c r="D2451" s="1">
        <v>27</v>
      </c>
      <c r="E2451" s="1" t="s">
        <v>123</v>
      </c>
      <c r="F2451" s="22" t="s">
        <v>2549</v>
      </c>
      <c r="G2451" s="1">
        <v>10</v>
      </c>
      <c r="H2451" s="1" t="s">
        <v>87</v>
      </c>
      <c r="I2451" s="1">
        <v>300</v>
      </c>
      <c r="J2451" s="1">
        <f t="shared" si="457"/>
        <v>3000</v>
      </c>
      <c r="K2451" s="1"/>
      <c r="L2451" s="1"/>
      <c r="M2451" s="1"/>
      <c r="N2451" s="1"/>
      <c r="O2451" s="85"/>
      <c r="P2451" s="1">
        <v>300</v>
      </c>
      <c r="Q2451" s="85">
        <f t="shared" si="500"/>
        <v>0</v>
      </c>
      <c r="R2451" s="104">
        <v>0</v>
      </c>
      <c r="S2451" s="85">
        <f t="shared" si="501"/>
        <v>0</v>
      </c>
      <c r="T2451" s="85">
        <f t="shared" si="502"/>
        <v>0</v>
      </c>
      <c r="U2451" s="85"/>
      <c r="V2451" s="85"/>
    </row>
    <row r="2452" spans="1:22" ht="25.2" x14ac:dyDescent="0.3">
      <c r="A2452" s="1"/>
      <c r="B2452" s="1"/>
      <c r="C2452" s="1"/>
      <c r="D2452" s="1">
        <v>28</v>
      </c>
      <c r="E2452" s="1" t="s">
        <v>123</v>
      </c>
      <c r="F2452" s="22" t="s">
        <v>2024</v>
      </c>
      <c r="G2452" s="1">
        <v>15</v>
      </c>
      <c r="H2452" s="1" t="s">
        <v>87</v>
      </c>
      <c r="I2452" s="1">
        <v>300</v>
      </c>
      <c r="J2452" s="1">
        <f t="shared" si="457"/>
        <v>4500</v>
      </c>
      <c r="K2452" s="1"/>
      <c r="L2452" s="1"/>
      <c r="M2452" s="1"/>
      <c r="N2452" s="1"/>
      <c r="O2452" s="85"/>
      <c r="P2452" s="1">
        <v>300</v>
      </c>
      <c r="Q2452" s="85">
        <f t="shared" si="500"/>
        <v>0</v>
      </c>
      <c r="R2452" s="104">
        <v>0</v>
      </c>
      <c r="S2452" s="85">
        <f t="shared" si="501"/>
        <v>0</v>
      </c>
      <c r="T2452" s="85">
        <f t="shared" si="502"/>
        <v>0</v>
      </c>
      <c r="U2452" s="85"/>
      <c r="V2452" s="85"/>
    </row>
    <row r="2453" spans="1:22" ht="25.2" x14ac:dyDescent="0.3">
      <c r="A2453" s="1"/>
      <c r="B2453" s="1"/>
      <c r="C2453" s="1"/>
      <c r="D2453" s="1">
        <v>29</v>
      </c>
      <c r="E2453" s="1" t="s">
        <v>123</v>
      </c>
      <c r="F2453" s="22" t="s">
        <v>2025</v>
      </c>
      <c r="G2453" s="1">
        <v>15</v>
      </c>
      <c r="H2453" s="1" t="s">
        <v>87</v>
      </c>
      <c r="I2453" s="1">
        <v>300</v>
      </c>
      <c r="J2453" s="1">
        <f t="shared" si="457"/>
        <v>4500</v>
      </c>
      <c r="K2453" s="1"/>
      <c r="L2453" s="1"/>
      <c r="M2453" s="1"/>
      <c r="N2453" s="1"/>
      <c r="O2453" s="85"/>
      <c r="P2453" s="1">
        <v>300</v>
      </c>
      <c r="Q2453" s="85">
        <f t="shared" si="500"/>
        <v>0</v>
      </c>
      <c r="R2453" s="104">
        <v>0</v>
      </c>
      <c r="S2453" s="85">
        <f t="shared" si="501"/>
        <v>0</v>
      </c>
      <c r="T2453" s="85">
        <f t="shared" si="502"/>
        <v>0</v>
      </c>
      <c r="U2453" s="85"/>
      <c r="V2453" s="85"/>
    </row>
    <row r="2454" spans="1:22" ht="25.2" x14ac:dyDescent="0.3">
      <c r="A2454" s="1"/>
      <c r="B2454" s="1"/>
      <c r="C2454" s="1"/>
      <c r="D2454" s="1">
        <v>30</v>
      </c>
      <c r="E2454" s="1" t="s">
        <v>123</v>
      </c>
      <c r="F2454" s="22" t="s">
        <v>2026</v>
      </c>
      <c r="G2454" s="1">
        <v>300</v>
      </c>
      <c r="H2454" s="1" t="s">
        <v>60</v>
      </c>
      <c r="I2454" s="1">
        <v>30</v>
      </c>
      <c r="J2454" s="1">
        <f t="shared" si="457"/>
        <v>9000</v>
      </c>
      <c r="K2454" s="1"/>
      <c r="L2454" s="1"/>
      <c r="M2454" s="1"/>
      <c r="N2454" s="1"/>
      <c r="O2454" s="85"/>
      <c r="P2454" s="1">
        <v>30</v>
      </c>
      <c r="Q2454" s="85">
        <f t="shared" si="500"/>
        <v>0</v>
      </c>
      <c r="R2454" s="104">
        <v>0</v>
      </c>
      <c r="S2454" s="85">
        <f t="shared" si="501"/>
        <v>0</v>
      </c>
      <c r="T2454" s="85">
        <f t="shared" si="502"/>
        <v>0</v>
      </c>
      <c r="U2454" s="85"/>
      <c r="V2454" s="85"/>
    </row>
    <row r="2455" spans="1:22" ht="25.2" x14ac:dyDescent="0.3">
      <c r="A2455" s="1"/>
      <c r="B2455" s="1"/>
      <c r="C2455" s="1"/>
      <c r="D2455" s="1">
        <v>31</v>
      </c>
      <c r="E2455" s="1" t="s">
        <v>123</v>
      </c>
      <c r="F2455" s="22" t="s">
        <v>2027</v>
      </c>
      <c r="G2455" s="1">
        <v>300</v>
      </c>
      <c r="H2455" s="1" t="s">
        <v>60</v>
      </c>
      <c r="I2455" s="1">
        <v>20</v>
      </c>
      <c r="J2455" s="1">
        <f t="shared" si="457"/>
        <v>6000</v>
      </c>
      <c r="K2455" s="1"/>
      <c r="L2455" s="1"/>
      <c r="M2455" s="1"/>
      <c r="N2455" s="1"/>
      <c r="O2455" s="85"/>
      <c r="P2455" s="1">
        <v>20</v>
      </c>
      <c r="Q2455" s="85">
        <f t="shared" si="500"/>
        <v>0</v>
      </c>
      <c r="R2455" s="104">
        <v>0</v>
      </c>
      <c r="S2455" s="85">
        <f t="shared" si="501"/>
        <v>0</v>
      </c>
      <c r="T2455" s="85">
        <f t="shared" si="502"/>
        <v>0</v>
      </c>
      <c r="U2455" s="85"/>
      <c r="V2455" s="85"/>
    </row>
    <row r="2456" spans="1:22" ht="25.2" x14ac:dyDescent="0.3">
      <c r="A2456" s="1"/>
      <c r="B2456" s="1"/>
      <c r="C2456" s="1"/>
      <c r="D2456" s="1">
        <v>32</v>
      </c>
      <c r="E2456" s="1" t="s">
        <v>123</v>
      </c>
      <c r="F2456" s="22" t="s">
        <v>2550</v>
      </c>
      <c r="G2456" s="1">
        <v>35</v>
      </c>
      <c r="H2456" s="1" t="s">
        <v>87</v>
      </c>
      <c r="I2456" s="1">
        <v>2500</v>
      </c>
      <c r="J2456" s="1">
        <f t="shared" si="457"/>
        <v>87500</v>
      </c>
      <c r="K2456" s="1"/>
      <c r="L2456" s="1"/>
      <c r="M2456" s="1"/>
      <c r="N2456" s="1"/>
      <c r="O2456" s="85"/>
      <c r="P2456" s="1">
        <v>2500</v>
      </c>
      <c r="Q2456" s="85">
        <f t="shared" si="500"/>
        <v>0</v>
      </c>
      <c r="R2456" s="104">
        <v>0</v>
      </c>
      <c r="S2456" s="85">
        <f t="shared" si="501"/>
        <v>0</v>
      </c>
      <c r="T2456" s="85">
        <f t="shared" si="502"/>
        <v>0</v>
      </c>
      <c r="U2456" s="85"/>
      <c r="V2456" s="85"/>
    </row>
    <row r="2457" spans="1:22" ht="25.2" x14ac:dyDescent="0.3">
      <c r="A2457" s="1"/>
      <c r="B2457" s="1"/>
      <c r="C2457" s="1"/>
      <c r="D2457" s="1">
        <v>33</v>
      </c>
      <c r="E2457" s="1" t="s">
        <v>123</v>
      </c>
      <c r="F2457" s="22" t="s">
        <v>2551</v>
      </c>
      <c r="G2457" s="1">
        <v>16</v>
      </c>
      <c r="H2457" s="1" t="s">
        <v>87</v>
      </c>
      <c r="I2457" s="1">
        <v>800</v>
      </c>
      <c r="J2457" s="1">
        <f t="shared" si="457"/>
        <v>12800</v>
      </c>
      <c r="K2457" s="1"/>
      <c r="L2457" s="1"/>
      <c r="M2457" s="1"/>
      <c r="N2457" s="1"/>
      <c r="O2457" s="85"/>
      <c r="P2457" s="1">
        <v>800</v>
      </c>
      <c r="Q2457" s="85">
        <f t="shared" si="500"/>
        <v>0</v>
      </c>
      <c r="R2457" s="104">
        <v>0</v>
      </c>
      <c r="S2457" s="85">
        <f t="shared" si="501"/>
        <v>0</v>
      </c>
      <c r="T2457" s="85">
        <f t="shared" si="502"/>
        <v>0</v>
      </c>
      <c r="U2457" s="85"/>
      <c r="V2457" s="85"/>
    </row>
    <row r="2458" spans="1:22" ht="25.2" x14ac:dyDescent="0.3">
      <c r="A2458" s="1"/>
      <c r="B2458" s="1"/>
      <c r="C2458" s="1"/>
      <c r="D2458" s="1">
        <v>34</v>
      </c>
      <c r="E2458" s="1" t="s">
        <v>123</v>
      </c>
      <c r="F2458" s="22" t="s">
        <v>2552</v>
      </c>
      <c r="G2458" s="1">
        <v>16</v>
      </c>
      <c r="H2458" s="1" t="s">
        <v>87</v>
      </c>
      <c r="I2458" s="1">
        <v>800</v>
      </c>
      <c r="J2458" s="1">
        <f t="shared" si="457"/>
        <v>12800</v>
      </c>
      <c r="K2458" s="1" t="s">
        <v>2579</v>
      </c>
      <c r="L2458" s="1" t="s">
        <v>53</v>
      </c>
      <c r="M2458" s="1" t="s">
        <v>1570</v>
      </c>
      <c r="N2458" s="1" t="s">
        <v>2578</v>
      </c>
      <c r="O2458" s="85"/>
      <c r="P2458" s="1">
        <v>800</v>
      </c>
      <c r="Q2458" s="85">
        <f t="shared" si="500"/>
        <v>0</v>
      </c>
      <c r="R2458" s="104">
        <v>0</v>
      </c>
      <c r="S2458" s="85">
        <f t="shared" si="501"/>
        <v>0</v>
      </c>
      <c r="T2458" s="85">
        <f t="shared" si="502"/>
        <v>0</v>
      </c>
      <c r="U2458" s="85"/>
      <c r="V2458" s="85"/>
    </row>
    <row r="2459" spans="1:22" x14ac:dyDescent="0.3">
      <c r="A2459" s="1"/>
      <c r="B2459" s="1"/>
      <c r="C2459" s="1"/>
      <c r="D2459" s="1">
        <v>35</v>
      </c>
      <c r="E2459" s="1" t="s">
        <v>123</v>
      </c>
      <c r="F2459" s="22" t="s">
        <v>2031</v>
      </c>
      <c r="G2459" s="1">
        <v>300</v>
      </c>
      <c r="H2459" s="1" t="s">
        <v>60</v>
      </c>
      <c r="I2459" s="1">
        <v>250</v>
      </c>
      <c r="J2459" s="1">
        <f t="shared" si="457"/>
        <v>75000</v>
      </c>
      <c r="K2459" s="1"/>
      <c r="L2459" s="1"/>
      <c r="M2459" s="1"/>
      <c r="N2459" s="1"/>
      <c r="O2459" s="85"/>
      <c r="P2459" s="1">
        <v>250</v>
      </c>
      <c r="Q2459" s="85">
        <f t="shared" si="500"/>
        <v>0</v>
      </c>
      <c r="R2459" s="104">
        <v>0</v>
      </c>
      <c r="S2459" s="85">
        <f t="shared" si="501"/>
        <v>0</v>
      </c>
      <c r="T2459" s="85">
        <f t="shared" si="502"/>
        <v>0</v>
      </c>
      <c r="U2459" s="85"/>
      <c r="V2459" s="85"/>
    </row>
    <row r="2460" spans="1:22" x14ac:dyDescent="0.3">
      <c r="A2460" s="1"/>
      <c r="B2460" s="1"/>
      <c r="C2460" s="1"/>
      <c r="D2460" s="1">
        <v>36</v>
      </c>
      <c r="E2460" s="1" t="s">
        <v>123</v>
      </c>
      <c r="F2460" s="22" t="s">
        <v>2032</v>
      </c>
      <c r="G2460" s="1">
        <v>16</v>
      </c>
      <c r="H2460" s="1" t="s">
        <v>87</v>
      </c>
      <c r="I2460" s="1">
        <v>400</v>
      </c>
      <c r="J2460" s="1">
        <f t="shared" si="457"/>
        <v>6400</v>
      </c>
      <c r="K2460" s="1"/>
      <c r="L2460" s="1"/>
      <c r="M2460" s="1"/>
      <c r="N2460" s="1"/>
      <c r="O2460" s="85"/>
      <c r="P2460" s="1">
        <v>400</v>
      </c>
      <c r="Q2460" s="85">
        <f t="shared" si="500"/>
        <v>0</v>
      </c>
      <c r="R2460" s="104">
        <v>0</v>
      </c>
      <c r="S2460" s="85">
        <f t="shared" si="501"/>
        <v>0</v>
      </c>
      <c r="T2460" s="85">
        <f t="shared" si="502"/>
        <v>0</v>
      </c>
      <c r="U2460" s="85"/>
      <c r="V2460" s="85"/>
    </row>
    <row r="2461" spans="1:22" x14ac:dyDescent="0.3">
      <c r="A2461" s="1"/>
      <c r="B2461" s="1"/>
      <c r="C2461" s="1"/>
      <c r="D2461" s="1">
        <v>37</v>
      </c>
      <c r="E2461" s="1" t="s">
        <v>123</v>
      </c>
      <c r="F2461" s="22" t="s">
        <v>2553</v>
      </c>
      <c r="G2461" s="1">
        <v>2</v>
      </c>
      <c r="H2461" s="1" t="s">
        <v>87</v>
      </c>
      <c r="I2461" s="1">
        <v>6497.5</v>
      </c>
      <c r="J2461" s="1">
        <f t="shared" si="457"/>
        <v>12995</v>
      </c>
      <c r="K2461" s="1"/>
      <c r="L2461" s="1"/>
      <c r="M2461" s="1"/>
      <c r="N2461" s="1"/>
      <c r="O2461" s="85"/>
      <c r="P2461" s="1">
        <v>6497.5</v>
      </c>
      <c r="Q2461" s="85">
        <f t="shared" si="500"/>
        <v>0</v>
      </c>
      <c r="R2461" s="104">
        <v>0</v>
      </c>
      <c r="S2461" s="85">
        <f t="shared" si="501"/>
        <v>0</v>
      </c>
      <c r="T2461" s="85">
        <f t="shared" si="502"/>
        <v>0</v>
      </c>
      <c r="U2461" s="85"/>
      <c r="V2461" s="85"/>
    </row>
    <row r="2462" spans="1:22" ht="25.2" x14ac:dyDescent="0.3">
      <c r="A2462" s="1"/>
      <c r="B2462" s="1"/>
      <c r="C2462" s="1"/>
      <c r="D2462" s="1">
        <v>38</v>
      </c>
      <c r="E2462" s="1" t="s">
        <v>123</v>
      </c>
      <c r="F2462" s="22" t="s">
        <v>2554</v>
      </c>
      <c r="G2462" s="1">
        <v>4</v>
      </c>
      <c r="H2462" s="1" t="s">
        <v>87</v>
      </c>
      <c r="I2462" s="1">
        <v>6865</v>
      </c>
      <c r="J2462" s="1">
        <f t="shared" si="457"/>
        <v>27460</v>
      </c>
      <c r="K2462" s="1"/>
      <c r="L2462" s="1"/>
      <c r="M2462" s="1"/>
      <c r="N2462" s="1"/>
      <c r="O2462" s="85"/>
      <c r="P2462" s="1">
        <v>6865</v>
      </c>
      <c r="Q2462" s="85">
        <f t="shared" si="500"/>
        <v>0</v>
      </c>
      <c r="R2462" s="104">
        <v>0</v>
      </c>
      <c r="S2462" s="85">
        <f t="shared" si="501"/>
        <v>0</v>
      </c>
      <c r="T2462" s="85">
        <f t="shared" si="502"/>
        <v>0</v>
      </c>
      <c r="U2462" s="85"/>
      <c r="V2462" s="85"/>
    </row>
    <row r="2463" spans="1:22" x14ac:dyDescent="0.3">
      <c r="A2463" s="1"/>
      <c r="B2463" s="1"/>
      <c r="C2463" s="1"/>
      <c r="D2463" s="1"/>
      <c r="E2463" s="1"/>
      <c r="F2463" s="124" t="s">
        <v>39</v>
      </c>
      <c r="G2463" s="1"/>
      <c r="H2463" s="1"/>
      <c r="I2463" s="1"/>
      <c r="J2463" s="124">
        <f>SUM(J2425:J2462)</f>
        <v>1700000</v>
      </c>
      <c r="K2463" s="1"/>
      <c r="L2463" s="1"/>
      <c r="M2463" s="1"/>
      <c r="N2463" s="1"/>
      <c r="O2463" s="1"/>
      <c r="P2463" s="1"/>
      <c r="Q2463" s="1"/>
      <c r="R2463" s="1"/>
      <c r="S2463" s="1"/>
      <c r="T2463" s="1"/>
      <c r="U2463" s="1"/>
      <c r="V2463" s="1"/>
    </row>
    <row r="2464" spans="1:22" x14ac:dyDescent="0.3">
      <c r="A2464" s="1"/>
      <c r="B2464" s="1"/>
      <c r="C2464" s="1"/>
      <c r="D2464" s="1"/>
      <c r="E2464" s="1"/>
      <c r="F2464" s="124" t="s">
        <v>599</v>
      </c>
      <c r="G2464" s="1"/>
      <c r="H2464" s="1"/>
      <c r="I2464" s="1"/>
      <c r="J2464" s="124">
        <f>J2463*0/100</f>
        <v>0</v>
      </c>
      <c r="K2464" s="1"/>
      <c r="L2464" s="1"/>
      <c r="M2464" s="1"/>
      <c r="N2464" s="1"/>
      <c r="O2464" s="1"/>
      <c r="P2464" s="1"/>
      <c r="Q2464" s="1"/>
      <c r="R2464" s="1"/>
      <c r="S2464" s="1"/>
      <c r="T2464" s="1"/>
      <c r="U2464" s="1"/>
      <c r="V2464" s="1"/>
    </row>
    <row r="2465" spans="1:22" x14ac:dyDescent="0.3">
      <c r="A2465" s="1"/>
      <c r="B2465" s="1"/>
      <c r="C2465" s="1"/>
      <c r="D2465" s="1"/>
      <c r="E2465" s="1"/>
      <c r="F2465" s="124" t="s">
        <v>41</v>
      </c>
      <c r="G2465" s="1"/>
      <c r="H2465" s="1"/>
      <c r="I2465" s="1"/>
      <c r="J2465" s="124">
        <f>SUM(J2463:J2464)</f>
        <v>1700000</v>
      </c>
      <c r="K2465" s="1"/>
      <c r="L2465" s="1"/>
      <c r="M2465" s="1"/>
      <c r="N2465" s="1"/>
      <c r="O2465" s="1"/>
      <c r="P2465" s="1"/>
      <c r="Q2465" s="1"/>
      <c r="R2465" s="1"/>
      <c r="S2465" s="1"/>
      <c r="T2465" s="1">
        <f>SUM(T2425:T2464)</f>
        <v>412606</v>
      </c>
      <c r="U2465" s="1"/>
      <c r="V2465" s="1"/>
    </row>
    <row r="2466" spans="1:22" x14ac:dyDescent="0.3">
      <c r="A2466" s="1"/>
      <c r="B2466" s="1"/>
      <c r="C2466" s="1"/>
      <c r="D2466" s="1"/>
      <c r="E2466" s="1"/>
      <c r="F2466" s="22"/>
      <c r="G2466" s="1"/>
      <c r="H2466" s="1"/>
      <c r="I2466" s="1"/>
      <c r="J2466" s="1">
        <f t="shared" si="457"/>
        <v>0</v>
      </c>
      <c r="K2466" s="1"/>
      <c r="L2466" s="1"/>
      <c r="M2466" s="1"/>
      <c r="N2466" s="1"/>
      <c r="O2466" s="1"/>
      <c r="P2466" s="1"/>
      <c r="Q2466" s="1"/>
      <c r="R2466" s="1"/>
      <c r="S2466" s="1"/>
      <c r="T2466" s="1"/>
      <c r="U2466" s="1"/>
      <c r="V2466" s="1"/>
    </row>
    <row r="2467" spans="1:22" x14ac:dyDescent="0.3">
      <c r="A2467" s="16">
        <v>228</v>
      </c>
      <c r="B2467" s="16">
        <v>9200170657</v>
      </c>
      <c r="C2467" s="16" t="s">
        <v>2557</v>
      </c>
      <c r="D2467" s="16" t="s">
        <v>43</v>
      </c>
      <c r="E2467" s="16" t="s">
        <v>123</v>
      </c>
      <c r="F2467" s="39" t="s">
        <v>2591</v>
      </c>
      <c r="G2467" s="16">
        <v>60</v>
      </c>
      <c r="H2467" s="16" t="s">
        <v>60</v>
      </c>
      <c r="I2467" s="16">
        <v>1180</v>
      </c>
      <c r="J2467" s="16">
        <f t="shared" si="457"/>
        <v>70800</v>
      </c>
      <c r="K2467" s="16">
        <v>60</v>
      </c>
      <c r="L2467" s="16" t="s">
        <v>60</v>
      </c>
      <c r="M2467" s="16" t="s">
        <v>91</v>
      </c>
      <c r="N2467" s="16" t="s">
        <v>2613</v>
      </c>
      <c r="O2467" s="16">
        <v>60</v>
      </c>
      <c r="P2467" s="16">
        <v>1180</v>
      </c>
      <c r="Q2467" s="16">
        <f>O2467*P2467</f>
        <v>70800</v>
      </c>
      <c r="R2467" s="18">
        <v>0</v>
      </c>
      <c r="S2467" s="16">
        <f>Q2467*R2467</f>
        <v>0</v>
      </c>
      <c r="T2467" s="16">
        <f>Q2467+S2467</f>
        <v>70800</v>
      </c>
      <c r="U2467" s="16" t="s">
        <v>2674</v>
      </c>
      <c r="V2467" s="19">
        <v>46334</v>
      </c>
    </row>
    <row r="2468" spans="1:22" x14ac:dyDescent="0.3">
      <c r="A2468" s="1"/>
      <c r="B2468" s="1"/>
      <c r="C2468" s="1"/>
      <c r="D2468" s="1"/>
      <c r="E2468" s="16" t="s">
        <v>123</v>
      </c>
      <c r="F2468" s="39" t="s">
        <v>2559</v>
      </c>
      <c r="G2468" s="16">
        <v>60</v>
      </c>
      <c r="H2468" s="16" t="s">
        <v>60</v>
      </c>
      <c r="I2468" s="16">
        <v>400</v>
      </c>
      <c r="J2468" s="16">
        <f t="shared" si="457"/>
        <v>24000</v>
      </c>
      <c r="K2468" s="16">
        <v>60</v>
      </c>
      <c r="L2468" s="16" t="s">
        <v>60</v>
      </c>
      <c r="M2468" s="16" t="s">
        <v>91</v>
      </c>
      <c r="N2468" s="16" t="s">
        <v>2613</v>
      </c>
      <c r="O2468" s="16">
        <v>60</v>
      </c>
      <c r="P2468" s="16">
        <v>400</v>
      </c>
      <c r="Q2468" s="16">
        <f t="shared" ref="Q2468:Q2475" si="503">O2468*P2468</f>
        <v>24000</v>
      </c>
      <c r="R2468" s="18">
        <v>0</v>
      </c>
      <c r="S2468" s="16">
        <f t="shared" ref="S2468:S2475" si="504">Q2468*R2468</f>
        <v>0</v>
      </c>
      <c r="T2468" s="16">
        <f t="shared" ref="T2468:T2475" si="505">Q2468+S2468</f>
        <v>24000</v>
      </c>
      <c r="U2468" s="16" t="s">
        <v>2674</v>
      </c>
      <c r="V2468" s="19">
        <v>46334</v>
      </c>
    </row>
    <row r="2469" spans="1:22" x14ac:dyDescent="0.3">
      <c r="A2469" s="1"/>
      <c r="B2469" s="1"/>
      <c r="C2469" s="1"/>
      <c r="D2469" s="1"/>
      <c r="E2469" s="16" t="s">
        <v>123</v>
      </c>
      <c r="F2469" s="39" t="s">
        <v>2560</v>
      </c>
      <c r="G2469" s="16">
        <v>3</v>
      </c>
      <c r="H2469" s="16" t="s">
        <v>28</v>
      </c>
      <c r="I2469" s="16">
        <v>4600</v>
      </c>
      <c r="J2469" s="16">
        <f t="shared" si="457"/>
        <v>13800</v>
      </c>
      <c r="K2469" s="16">
        <v>60</v>
      </c>
      <c r="L2469" s="16" t="s">
        <v>60</v>
      </c>
      <c r="M2469" s="16" t="s">
        <v>91</v>
      </c>
      <c r="N2469" s="16" t="s">
        <v>2613</v>
      </c>
      <c r="O2469" s="16">
        <v>3</v>
      </c>
      <c r="P2469" s="16">
        <v>4600</v>
      </c>
      <c r="Q2469" s="16">
        <f t="shared" si="503"/>
        <v>13800</v>
      </c>
      <c r="R2469" s="18">
        <v>0</v>
      </c>
      <c r="S2469" s="16">
        <f t="shared" si="504"/>
        <v>0</v>
      </c>
      <c r="T2469" s="16">
        <f t="shared" si="505"/>
        <v>13800</v>
      </c>
      <c r="U2469" s="16" t="s">
        <v>2674</v>
      </c>
      <c r="V2469" s="19">
        <v>46334</v>
      </c>
    </row>
    <row r="2470" spans="1:22" ht="25.2" x14ac:dyDescent="0.3">
      <c r="A2470" s="1"/>
      <c r="B2470" s="1"/>
      <c r="C2470" s="1"/>
      <c r="D2470" s="1"/>
      <c r="E2470" s="16" t="s">
        <v>123</v>
      </c>
      <c r="F2470" s="39" t="s">
        <v>2561</v>
      </c>
      <c r="G2470" s="16">
        <v>8</v>
      </c>
      <c r="H2470" s="16" t="s">
        <v>87</v>
      </c>
      <c r="I2470" s="16">
        <v>1000</v>
      </c>
      <c r="J2470" s="16">
        <f t="shared" si="457"/>
        <v>8000</v>
      </c>
      <c r="K2470" s="16">
        <v>60</v>
      </c>
      <c r="L2470" s="16" t="s">
        <v>60</v>
      </c>
      <c r="M2470" s="16" t="s">
        <v>91</v>
      </c>
      <c r="N2470" s="16" t="s">
        <v>2613</v>
      </c>
      <c r="O2470" s="16">
        <v>8</v>
      </c>
      <c r="P2470" s="16">
        <v>1000</v>
      </c>
      <c r="Q2470" s="16">
        <f t="shared" si="503"/>
        <v>8000</v>
      </c>
      <c r="R2470" s="18">
        <v>0</v>
      </c>
      <c r="S2470" s="16">
        <f t="shared" si="504"/>
        <v>0</v>
      </c>
      <c r="T2470" s="16">
        <f t="shared" si="505"/>
        <v>8000</v>
      </c>
      <c r="U2470" s="16" t="s">
        <v>2674</v>
      </c>
      <c r="V2470" s="19">
        <v>46334</v>
      </c>
    </row>
    <row r="2471" spans="1:22" x14ac:dyDescent="0.3">
      <c r="A2471" s="1"/>
      <c r="B2471" s="1"/>
      <c r="C2471" s="1"/>
      <c r="D2471" s="1"/>
      <c r="E2471" s="16" t="s">
        <v>123</v>
      </c>
      <c r="F2471" s="39" t="s">
        <v>2562</v>
      </c>
      <c r="G2471" s="16">
        <v>50</v>
      </c>
      <c r="H2471" s="16" t="s">
        <v>308</v>
      </c>
      <c r="I2471" s="16">
        <v>280</v>
      </c>
      <c r="J2471" s="16">
        <f t="shared" si="457"/>
        <v>14000</v>
      </c>
      <c r="K2471" s="16">
        <v>60</v>
      </c>
      <c r="L2471" s="16" t="s">
        <v>60</v>
      </c>
      <c r="M2471" s="16" t="s">
        <v>91</v>
      </c>
      <c r="N2471" s="16" t="s">
        <v>2613</v>
      </c>
      <c r="O2471" s="16">
        <v>50</v>
      </c>
      <c r="P2471" s="16">
        <v>280</v>
      </c>
      <c r="Q2471" s="16">
        <f t="shared" si="503"/>
        <v>14000</v>
      </c>
      <c r="R2471" s="18">
        <v>0</v>
      </c>
      <c r="S2471" s="16">
        <f t="shared" si="504"/>
        <v>0</v>
      </c>
      <c r="T2471" s="16">
        <f t="shared" si="505"/>
        <v>14000</v>
      </c>
      <c r="U2471" s="16" t="s">
        <v>2674</v>
      </c>
      <c r="V2471" s="19">
        <v>46334</v>
      </c>
    </row>
    <row r="2472" spans="1:22" x14ac:dyDescent="0.3">
      <c r="A2472" s="1"/>
      <c r="B2472" s="1"/>
      <c r="C2472" s="1"/>
      <c r="D2472" s="1"/>
      <c r="E2472" s="16" t="s">
        <v>123</v>
      </c>
      <c r="F2472" s="39" t="s">
        <v>2563</v>
      </c>
      <c r="G2472" s="16">
        <v>400</v>
      </c>
      <c r="H2472" s="16" t="s">
        <v>111</v>
      </c>
      <c r="I2472" s="16">
        <v>18</v>
      </c>
      <c r="J2472" s="16">
        <f t="shared" si="457"/>
        <v>7200</v>
      </c>
      <c r="K2472" s="16"/>
      <c r="L2472" s="16"/>
      <c r="M2472" s="16"/>
      <c r="N2472" s="16"/>
      <c r="O2472" s="16">
        <v>400</v>
      </c>
      <c r="P2472" s="16">
        <v>18</v>
      </c>
      <c r="Q2472" s="16">
        <f t="shared" si="503"/>
        <v>7200</v>
      </c>
      <c r="R2472" s="18">
        <v>0</v>
      </c>
      <c r="S2472" s="16">
        <f t="shared" si="504"/>
        <v>0</v>
      </c>
      <c r="T2472" s="16">
        <f t="shared" si="505"/>
        <v>7200</v>
      </c>
      <c r="U2472" s="16" t="s">
        <v>2674</v>
      </c>
      <c r="V2472" s="19">
        <v>46334</v>
      </c>
    </row>
    <row r="2473" spans="1:22" ht="37.799999999999997" x14ac:dyDescent="0.3">
      <c r="A2473" s="1"/>
      <c r="B2473" s="1"/>
      <c r="C2473" s="1"/>
      <c r="D2473" s="1"/>
      <c r="E2473" s="16" t="s">
        <v>123</v>
      </c>
      <c r="F2473" s="39" t="s">
        <v>2564</v>
      </c>
      <c r="G2473" s="16">
        <v>400</v>
      </c>
      <c r="H2473" s="16" t="s">
        <v>111</v>
      </c>
      <c r="I2473" s="16">
        <v>160</v>
      </c>
      <c r="J2473" s="16">
        <f t="shared" si="457"/>
        <v>64000</v>
      </c>
      <c r="K2473" s="16" t="s">
        <v>2592</v>
      </c>
      <c r="L2473" s="16"/>
      <c r="M2473" s="16" t="s">
        <v>91</v>
      </c>
      <c r="N2473" s="16" t="s">
        <v>2593</v>
      </c>
      <c r="O2473" s="16">
        <v>400</v>
      </c>
      <c r="P2473" s="16">
        <v>160</v>
      </c>
      <c r="Q2473" s="16">
        <f t="shared" si="503"/>
        <v>64000</v>
      </c>
      <c r="R2473" s="18">
        <v>0</v>
      </c>
      <c r="S2473" s="16">
        <f t="shared" si="504"/>
        <v>0</v>
      </c>
      <c r="T2473" s="16">
        <f t="shared" si="505"/>
        <v>64000</v>
      </c>
      <c r="U2473" s="16" t="s">
        <v>2674</v>
      </c>
      <c r="V2473" s="19">
        <v>46334</v>
      </c>
    </row>
    <row r="2474" spans="1:22" ht="25.2" x14ac:dyDescent="0.3">
      <c r="A2474" s="1"/>
      <c r="B2474" s="1"/>
      <c r="C2474" s="1"/>
      <c r="D2474" s="1"/>
      <c r="E2474" s="16" t="s">
        <v>123</v>
      </c>
      <c r="F2474" s="39" t="s">
        <v>2565</v>
      </c>
      <c r="G2474" s="16">
        <v>400</v>
      </c>
      <c r="H2474" s="16" t="s">
        <v>111</v>
      </c>
      <c r="I2474" s="16">
        <v>45</v>
      </c>
      <c r="J2474" s="16">
        <f t="shared" si="457"/>
        <v>18000</v>
      </c>
      <c r="K2474" s="16"/>
      <c r="L2474" s="16"/>
      <c r="M2474" s="16"/>
      <c r="N2474" s="16"/>
      <c r="O2474" s="16">
        <v>400</v>
      </c>
      <c r="P2474" s="16">
        <v>45</v>
      </c>
      <c r="Q2474" s="16">
        <f t="shared" si="503"/>
        <v>18000</v>
      </c>
      <c r="R2474" s="18">
        <v>0</v>
      </c>
      <c r="S2474" s="16">
        <f t="shared" si="504"/>
        <v>0</v>
      </c>
      <c r="T2474" s="16">
        <f t="shared" si="505"/>
        <v>18000</v>
      </c>
      <c r="U2474" s="16" t="s">
        <v>2674</v>
      </c>
      <c r="V2474" s="19">
        <v>46334</v>
      </c>
    </row>
    <row r="2475" spans="1:22" ht="25.2" x14ac:dyDescent="0.3">
      <c r="A2475" s="1"/>
      <c r="B2475" s="1"/>
      <c r="C2475" s="1"/>
      <c r="D2475" s="1"/>
      <c r="E2475" s="16" t="s">
        <v>123</v>
      </c>
      <c r="F2475" s="39" t="s">
        <v>2566</v>
      </c>
      <c r="G2475" s="16">
        <v>200</v>
      </c>
      <c r="H2475" s="16" t="s">
        <v>252</v>
      </c>
      <c r="I2475" s="16">
        <v>45</v>
      </c>
      <c r="J2475" s="16">
        <f t="shared" si="457"/>
        <v>9000</v>
      </c>
      <c r="K2475" s="16">
        <v>2</v>
      </c>
      <c r="L2475" s="16" t="s">
        <v>53</v>
      </c>
      <c r="M2475" s="16" t="s">
        <v>91</v>
      </c>
      <c r="N2475" s="16" t="s">
        <v>2638</v>
      </c>
      <c r="O2475" s="16">
        <v>200</v>
      </c>
      <c r="P2475" s="16">
        <v>45</v>
      </c>
      <c r="Q2475" s="16">
        <f t="shared" si="503"/>
        <v>9000</v>
      </c>
      <c r="R2475" s="18">
        <v>0</v>
      </c>
      <c r="S2475" s="16">
        <f t="shared" si="504"/>
        <v>0</v>
      </c>
      <c r="T2475" s="16">
        <f t="shared" si="505"/>
        <v>9000</v>
      </c>
      <c r="U2475" s="16" t="s">
        <v>2674</v>
      </c>
      <c r="V2475" s="19">
        <v>46334</v>
      </c>
    </row>
    <row r="2476" spans="1:22" x14ac:dyDescent="0.3">
      <c r="A2476" s="1"/>
      <c r="B2476" s="1"/>
      <c r="C2476" s="1"/>
      <c r="D2476" s="1"/>
      <c r="E2476" s="1"/>
      <c r="F2476" s="124" t="s">
        <v>39</v>
      </c>
      <c r="G2476" s="1"/>
      <c r="H2476" s="1"/>
      <c r="I2476" s="1"/>
      <c r="J2476" s="124">
        <f>SUM(J2467:J2475)</f>
        <v>228800</v>
      </c>
      <c r="K2476" s="1"/>
      <c r="L2476" s="1"/>
      <c r="M2476" s="1"/>
      <c r="N2476" s="1"/>
      <c r="O2476" s="1"/>
      <c r="P2476" s="1"/>
      <c r="Q2476" s="1"/>
      <c r="R2476" s="1"/>
      <c r="S2476" s="1"/>
      <c r="T2476" s="1"/>
      <c r="U2476" s="1"/>
      <c r="V2476" s="1"/>
    </row>
    <row r="2477" spans="1:22" x14ac:dyDescent="0.3">
      <c r="A2477" s="1"/>
      <c r="B2477" s="1"/>
      <c r="C2477" s="1"/>
      <c r="D2477" s="1"/>
      <c r="E2477" s="1"/>
      <c r="F2477" s="124" t="s">
        <v>599</v>
      </c>
      <c r="G2477" s="1"/>
      <c r="H2477" s="1"/>
      <c r="I2477" s="1"/>
      <c r="J2477" s="124">
        <f>J2476*0/100</f>
        <v>0</v>
      </c>
      <c r="K2477" s="1"/>
      <c r="L2477" s="1"/>
      <c r="M2477" s="1"/>
      <c r="N2477" s="1"/>
      <c r="O2477" s="1"/>
      <c r="P2477" s="1"/>
      <c r="Q2477" s="1"/>
      <c r="R2477" s="1"/>
      <c r="S2477" s="1"/>
      <c r="T2477" s="1"/>
      <c r="U2477" s="1"/>
      <c r="V2477" s="1"/>
    </row>
    <row r="2478" spans="1:22" x14ac:dyDescent="0.3">
      <c r="A2478" s="1"/>
      <c r="B2478" s="1"/>
      <c r="C2478" s="1"/>
      <c r="D2478" s="1"/>
      <c r="E2478" s="1"/>
      <c r="F2478" s="124" t="s">
        <v>41</v>
      </c>
      <c r="G2478" s="1"/>
      <c r="H2478" s="1"/>
      <c r="I2478" s="1"/>
      <c r="J2478" s="124">
        <f>SUM(J2476:J2477)</f>
        <v>228800</v>
      </c>
      <c r="K2478" s="1"/>
      <c r="L2478" s="1"/>
      <c r="M2478" s="1"/>
      <c r="N2478" s="1"/>
      <c r="O2478" s="1"/>
      <c r="P2478" s="1"/>
      <c r="Q2478" s="1"/>
      <c r="R2478" s="1"/>
      <c r="S2478" s="1"/>
      <c r="T2478" s="1">
        <f>SUM(T2467:T2477)</f>
        <v>228800</v>
      </c>
      <c r="U2478" s="1"/>
      <c r="V2478" s="1"/>
    </row>
    <row r="2479" spans="1:22" x14ac:dyDescent="0.3">
      <c r="A2479" s="1"/>
      <c r="B2479" s="1"/>
      <c r="C2479" s="1"/>
      <c r="D2479" s="1"/>
      <c r="E2479" s="1"/>
      <c r="F2479" s="124"/>
      <c r="G2479" s="1"/>
      <c r="H2479" s="1"/>
      <c r="I2479" s="1"/>
      <c r="J2479" s="124"/>
      <c r="K2479" s="1"/>
      <c r="L2479" s="1"/>
      <c r="M2479" s="1"/>
      <c r="N2479" s="1"/>
      <c r="O2479" s="1"/>
      <c r="P2479" s="1"/>
      <c r="Q2479" s="1"/>
      <c r="R2479" s="1"/>
      <c r="S2479" s="1"/>
      <c r="T2479" s="1"/>
      <c r="U2479" s="1"/>
      <c r="V2479" s="1"/>
    </row>
    <row r="2480" spans="1:22" x14ac:dyDescent="0.3">
      <c r="A2480" s="16">
        <v>229</v>
      </c>
      <c r="B2480" s="16">
        <v>9200170880</v>
      </c>
      <c r="C2480" s="16" t="s">
        <v>2580</v>
      </c>
      <c r="D2480" s="16" t="s">
        <v>43</v>
      </c>
      <c r="E2480" s="16" t="s">
        <v>123</v>
      </c>
      <c r="F2480" s="39" t="s">
        <v>2581</v>
      </c>
      <c r="G2480" s="16">
        <v>550</v>
      </c>
      <c r="H2480" s="16" t="s">
        <v>28</v>
      </c>
      <c r="I2480" s="16">
        <v>30</v>
      </c>
      <c r="J2480" s="16">
        <f>G2480*I2480</f>
        <v>16500</v>
      </c>
      <c r="K2480" s="16"/>
      <c r="L2480" s="16"/>
      <c r="M2480" s="16"/>
      <c r="N2480" s="16"/>
      <c r="O2480" s="16">
        <v>550</v>
      </c>
      <c r="P2480" s="16">
        <v>30</v>
      </c>
      <c r="Q2480" s="16">
        <f>O2480*P2480</f>
        <v>16500</v>
      </c>
      <c r="R2480" s="18">
        <v>0</v>
      </c>
      <c r="S2480" s="16">
        <f>Q2480*R2480</f>
        <v>0</v>
      </c>
      <c r="T2480" s="16">
        <f>Q2480+S2480</f>
        <v>16500</v>
      </c>
      <c r="U2480" s="16" t="s">
        <v>2671</v>
      </c>
      <c r="V2480" s="16" t="s">
        <v>2717</v>
      </c>
    </row>
    <row r="2481" spans="1:22" x14ac:dyDescent="0.3">
      <c r="A2481" s="1"/>
      <c r="B2481" s="1"/>
      <c r="C2481" s="1"/>
      <c r="D2481" s="1"/>
      <c r="E2481" s="16" t="s">
        <v>123</v>
      </c>
      <c r="F2481" s="39" t="s">
        <v>2582</v>
      </c>
      <c r="G2481" s="16">
        <v>8</v>
      </c>
      <c r="H2481" s="16" t="s">
        <v>28</v>
      </c>
      <c r="I2481" s="16">
        <v>300</v>
      </c>
      <c r="J2481" s="16">
        <f t="shared" ref="J2481:J2487" si="506">G2481*I2481</f>
        <v>2400</v>
      </c>
      <c r="K2481" s="16"/>
      <c r="L2481" s="16"/>
      <c r="M2481" s="16"/>
      <c r="N2481" s="16"/>
      <c r="O2481" s="16">
        <v>8</v>
      </c>
      <c r="P2481" s="16">
        <v>300</v>
      </c>
      <c r="Q2481" s="16">
        <f t="shared" ref="Q2481:Q2487" si="507">O2481*P2481</f>
        <v>2400</v>
      </c>
      <c r="R2481" s="18">
        <v>0</v>
      </c>
      <c r="S2481" s="16">
        <f t="shared" ref="S2481:S2487" si="508">Q2481*R2481</f>
        <v>0</v>
      </c>
      <c r="T2481" s="16">
        <f t="shared" ref="T2481:T2487" si="509">Q2481+S2481</f>
        <v>2400</v>
      </c>
      <c r="U2481" s="16" t="s">
        <v>2671</v>
      </c>
      <c r="V2481" s="16" t="s">
        <v>2717</v>
      </c>
    </row>
    <row r="2482" spans="1:22" ht="25.2" x14ac:dyDescent="0.3">
      <c r="A2482" s="1"/>
      <c r="B2482" s="1"/>
      <c r="C2482" s="1"/>
      <c r="D2482" s="1"/>
      <c r="E2482" s="16" t="s">
        <v>123</v>
      </c>
      <c r="F2482" s="39" t="s">
        <v>2583</v>
      </c>
      <c r="G2482" s="16">
        <v>550</v>
      </c>
      <c r="H2482" s="16" t="s">
        <v>28</v>
      </c>
      <c r="I2482" s="16">
        <v>378</v>
      </c>
      <c r="J2482" s="16">
        <f t="shared" si="506"/>
        <v>207900</v>
      </c>
      <c r="K2482" s="16">
        <v>552</v>
      </c>
      <c r="L2482" s="16" t="s">
        <v>28</v>
      </c>
      <c r="M2482" s="16" t="s">
        <v>91</v>
      </c>
      <c r="N2482" s="16" t="s">
        <v>2682</v>
      </c>
      <c r="O2482" s="16">
        <v>550</v>
      </c>
      <c r="P2482" s="16">
        <v>378</v>
      </c>
      <c r="Q2482" s="16">
        <f t="shared" si="507"/>
        <v>207900</v>
      </c>
      <c r="R2482" s="18">
        <v>0</v>
      </c>
      <c r="S2482" s="16">
        <f t="shared" si="508"/>
        <v>0</v>
      </c>
      <c r="T2482" s="16">
        <f t="shared" si="509"/>
        <v>207900</v>
      </c>
      <c r="U2482" s="16" t="s">
        <v>2671</v>
      </c>
      <c r="V2482" s="16" t="s">
        <v>2717</v>
      </c>
    </row>
    <row r="2483" spans="1:22" ht="25.2" x14ac:dyDescent="0.3">
      <c r="A2483" s="1"/>
      <c r="B2483" s="1"/>
      <c r="C2483" s="1"/>
      <c r="D2483" s="1"/>
      <c r="E2483" s="16" t="s">
        <v>123</v>
      </c>
      <c r="F2483" s="39" t="s">
        <v>2584</v>
      </c>
      <c r="G2483" s="16">
        <v>32</v>
      </c>
      <c r="H2483" s="16" t="s">
        <v>111</v>
      </c>
      <c r="I2483" s="16">
        <v>200</v>
      </c>
      <c r="J2483" s="16">
        <f t="shared" si="506"/>
        <v>6400</v>
      </c>
      <c r="K2483" s="16">
        <v>32</v>
      </c>
      <c r="L2483" s="16" t="s">
        <v>111</v>
      </c>
      <c r="M2483" s="16" t="s">
        <v>91</v>
      </c>
      <c r="N2483" s="16" t="s">
        <v>2682</v>
      </c>
      <c r="O2483" s="16">
        <v>32</v>
      </c>
      <c r="P2483" s="16">
        <v>200</v>
      </c>
      <c r="Q2483" s="16">
        <f t="shared" si="507"/>
        <v>6400</v>
      </c>
      <c r="R2483" s="18">
        <v>0</v>
      </c>
      <c r="S2483" s="16">
        <f t="shared" si="508"/>
        <v>0</v>
      </c>
      <c r="T2483" s="16">
        <f t="shared" si="509"/>
        <v>6400</v>
      </c>
      <c r="U2483" s="16" t="s">
        <v>2671</v>
      </c>
      <c r="V2483" s="16" t="s">
        <v>2717</v>
      </c>
    </row>
    <row r="2484" spans="1:22" ht="25.2" x14ac:dyDescent="0.3">
      <c r="A2484" s="1"/>
      <c r="B2484" s="1"/>
      <c r="C2484" s="1"/>
      <c r="D2484" s="1"/>
      <c r="E2484" s="16" t="s">
        <v>123</v>
      </c>
      <c r="F2484" s="39" t="s">
        <v>2585</v>
      </c>
      <c r="G2484" s="16">
        <v>8</v>
      </c>
      <c r="H2484" s="16" t="s">
        <v>28</v>
      </c>
      <c r="I2484" s="16">
        <v>150</v>
      </c>
      <c r="J2484" s="16">
        <f t="shared" si="506"/>
        <v>1200</v>
      </c>
      <c r="K2484" s="16"/>
      <c r="L2484" s="16"/>
      <c r="M2484" s="16"/>
      <c r="N2484" s="16"/>
      <c r="O2484" s="16">
        <v>8</v>
      </c>
      <c r="P2484" s="16">
        <v>150</v>
      </c>
      <c r="Q2484" s="16">
        <f t="shared" si="507"/>
        <v>1200</v>
      </c>
      <c r="R2484" s="18">
        <v>0</v>
      </c>
      <c r="S2484" s="16">
        <f t="shared" si="508"/>
        <v>0</v>
      </c>
      <c r="T2484" s="16">
        <f t="shared" si="509"/>
        <v>1200</v>
      </c>
      <c r="U2484" s="16" t="s">
        <v>2671</v>
      </c>
      <c r="V2484" s="16" t="s">
        <v>2717</v>
      </c>
    </row>
    <row r="2485" spans="1:22" ht="25.2" x14ac:dyDescent="0.3">
      <c r="A2485" s="1"/>
      <c r="B2485" s="1"/>
      <c r="C2485" s="1"/>
      <c r="D2485" s="1"/>
      <c r="E2485" s="16" t="s">
        <v>123</v>
      </c>
      <c r="F2485" s="39" t="s">
        <v>2586</v>
      </c>
      <c r="G2485" s="16">
        <v>200</v>
      </c>
      <c r="H2485" s="16" t="s">
        <v>111</v>
      </c>
      <c r="I2485" s="16">
        <v>23</v>
      </c>
      <c r="J2485" s="16">
        <f t="shared" si="506"/>
        <v>4600</v>
      </c>
      <c r="K2485" s="16"/>
      <c r="L2485" s="16"/>
      <c r="M2485" s="16"/>
      <c r="N2485" s="16"/>
      <c r="O2485" s="16">
        <v>200</v>
      </c>
      <c r="P2485" s="16">
        <v>23</v>
      </c>
      <c r="Q2485" s="16">
        <f t="shared" si="507"/>
        <v>4600</v>
      </c>
      <c r="R2485" s="18">
        <v>0</v>
      </c>
      <c r="S2485" s="16">
        <f t="shared" si="508"/>
        <v>0</v>
      </c>
      <c r="T2485" s="16">
        <f t="shared" si="509"/>
        <v>4600</v>
      </c>
      <c r="U2485" s="16" t="s">
        <v>2671</v>
      </c>
      <c r="V2485" s="16" t="s">
        <v>2717</v>
      </c>
    </row>
    <row r="2486" spans="1:22" x14ac:dyDescent="0.3">
      <c r="A2486" s="1"/>
      <c r="B2486" s="1"/>
      <c r="C2486" s="1"/>
      <c r="D2486" s="1"/>
      <c r="E2486" s="16" t="s">
        <v>123</v>
      </c>
      <c r="F2486" s="39" t="s">
        <v>2587</v>
      </c>
      <c r="G2486" s="16">
        <v>500</v>
      </c>
      <c r="H2486" s="16" t="s">
        <v>111</v>
      </c>
      <c r="I2486" s="16">
        <v>8</v>
      </c>
      <c r="J2486" s="16">
        <f t="shared" si="506"/>
        <v>4000</v>
      </c>
      <c r="K2486" s="16">
        <v>500</v>
      </c>
      <c r="L2486" s="16" t="s">
        <v>111</v>
      </c>
      <c r="M2486" s="16" t="s">
        <v>91</v>
      </c>
      <c r="N2486" s="16" t="s">
        <v>2682</v>
      </c>
      <c r="O2486" s="16">
        <v>500</v>
      </c>
      <c r="P2486" s="16">
        <v>8</v>
      </c>
      <c r="Q2486" s="16">
        <f t="shared" si="507"/>
        <v>4000</v>
      </c>
      <c r="R2486" s="18">
        <v>0</v>
      </c>
      <c r="S2486" s="16">
        <f t="shared" si="508"/>
        <v>0</v>
      </c>
      <c r="T2486" s="16">
        <f t="shared" si="509"/>
        <v>4000</v>
      </c>
      <c r="U2486" s="16" t="s">
        <v>2671</v>
      </c>
      <c r="V2486" s="16" t="s">
        <v>2717</v>
      </c>
    </row>
    <row r="2487" spans="1:22" x14ac:dyDescent="0.3">
      <c r="A2487" s="1"/>
      <c r="B2487" s="1"/>
      <c r="C2487" s="1"/>
      <c r="D2487" s="1"/>
      <c r="E2487" s="16" t="s">
        <v>123</v>
      </c>
      <c r="F2487" s="39" t="s">
        <v>2588</v>
      </c>
      <c r="G2487" s="16">
        <v>2</v>
      </c>
      <c r="H2487" s="16" t="s">
        <v>815</v>
      </c>
      <c r="I2487" s="16">
        <v>3000</v>
      </c>
      <c r="J2487" s="16">
        <f t="shared" si="506"/>
        <v>6000</v>
      </c>
      <c r="K2487" s="16"/>
      <c r="L2487" s="16"/>
      <c r="M2487" s="16"/>
      <c r="N2487" s="16"/>
      <c r="O2487" s="16">
        <v>2</v>
      </c>
      <c r="P2487" s="16">
        <v>3000</v>
      </c>
      <c r="Q2487" s="16">
        <f t="shared" si="507"/>
        <v>6000</v>
      </c>
      <c r="R2487" s="18">
        <v>0</v>
      </c>
      <c r="S2487" s="16">
        <f t="shared" si="508"/>
        <v>0</v>
      </c>
      <c r="T2487" s="16">
        <f t="shared" si="509"/>
        <v>6000</v>
      </c>
      <c r="U2487" s="16" t="s">
        <v>2671</v>
      </c>
      <c r="V2487" s="16" t="s">
        <v>2717</v>
      </c>
    </row>
    <row r="2488" spans="1:22" x14ac:dyDescent="0.3">
      <c r="A2488" s="1"/>
      <c r="B2488" s="1"/>
      <c r="C2488" s="1"/>
      <c r="D2488" s="1"/>
      <c r="E2488" s="1"/>
      <c r="F2488" s="124" t="s">
        <v>39</v>
      </c>
      <c r="G2488" s="1"/>
      <c r="H2488" s="1"/>
      <c r="I2488" s="1"/>
      <c r="J2488" s="124">
        <f>SUM(J2480:J2487)</f>
        <v>249000</v>
      </c>
      <c r="K2488" s="1"/>
      <c r="L2488" s="1"/>
      <c r="M2488" s="1"/>
      <c r="N2488" s="1"/>
      <c r="O2488" s="1"/>
      <c r="P2488" s="1"/>
      <c r="Q2488" s="1"/>
      <c r="R2488" s="1"/>
      <c r="S2488" s="1"/>
      <c r="T2488" s="1"/>
      <c r="U2488" s="1"/>
      <c r="V2488" s="1"/>
    </row>
    <row r="2489" spans="1:22" x14ac:dyDescent="0.3">
      <c r="A2489" s="1"/>
      <c r="B2489" s="1"/>
      <c r="C2489" s="1"/>
      <c r="D2489" s="1"/>
      <c r="E2489" s="1"/>
      <c r="F2489" s="124" t="s">
        <v>599</v>
      </c>
      <c r="G2489" s="1"/>
      <c r="H2489" s="1"/>
      <c r="I2489" s="1"/>
      <c r="J2489" s="124">
        <f>J2488*0/100</f>
        <v>0</v>
      </c>
      <c r="K2489" s="1"/>
      <c r="L2489" s="1"/>
      <c r="M2489" s="1"/>
      <c r="N2489" s="1"/>
      <c r="O2489" s="1"/>
      <c r="P2489" s="1"/>
      <c r="Q2489" s="1"/>
      <c r="R2489" s="1"/>
      <c r="S2489" s="1"/>
      <c r="T2489" s="1"/>
      <c r="U2489" s="1"/>
      <c r="V2489" s="1"/>
    </row>
    <row r="2490" spans="1:22" x14ac:dyDescent="0.3">
      <c r="A2490" s="1"/>
      <c r="B2490" s="1"/>
      <c r="C2490" s="1"/>
      <c r="D2490" s="1"/>
      <c r="E2490" s="1"/>
      <c r="F2490" s="124" t="s">
        <v>41</v>
      </c>
      <c r="G2490" s="1"/>
      <c r="H2490" s="1"/>
      <c r="I2490" s="1"/>
      <c r="J2490" s="124">
        <f>SUM(J2488:J2489)</f>
        <v>249000</v>
      </c>
      <c r="K2490" s="1"/>
      <c r="L2490" s="1"/>
      <c r="M2490" s="1"/>
      <c r="N2490" s="1"/>
      <c r="O2490" s="1"/>
      <c r="P2490" s="1"/>
      <c r="Q2490" s="1"/>
      <c r="R2490" s="1"/>
      <c r="S2490" s="1"/>
      <c r="T2490" s="1">
        <f>SUM(T2480:T2489)</f>
        <v>249000</v>
      </c>
      <c r="U2490" s="1"/>
      <c r="V2490" s="1"/>
    </row>
    <row r="2491" spans="1:22" x14ac:dyDescent="0.3">
      <c r="A2491" s="1"/>
      <c r="B2491" s="1"/>
      <c r="C2491" s="1"/>
      <c r="D2491" s="1"/>
      <c r="E2491" s="1"/>
      <c r="F2491" s="124"/>
      <c r="G2491" s="1"/>
      <c r="H2491" s="1"/>
      <c r="I2491" s="1"/>
      <c r="J2491" s="1"/>
      <c r="K2491" s="1"/>
      <c r="L2491" s="1"/>
      <c r="M2491" s="1"/>
      <c r="N2491" s="1"/>
      <c r="O2491" s="1"/>
      <c r="P2491" s="1"/>
      <c r="Q2491" s="1"/>
      <c r="R2491" s="1"/>
      <c r="S2491" s="1"/>
      <c r="T2491" s="1"/>
      <c r="U2491" s="1"/>
      <c r="V2491" s="1"/>
    </row>
    <row r="2492" spans="1:22" ht="37.799999999999997" x14ac:dyDescent="0.3">
      <c r="A2492" s="16">
        <v>230</v>
      </c>
      <c r="B2492" s="16">
        <v>9200171292</v>
      </c>
      <c r="C2492" s="16" t="s">
        <v>2599</v>
      </c>
      <c r="D2492" s="16" t="s">
        <v>300</v>
      </c>
      <c r="E2492" s="16" t="s">
        <v>123</v>
      </c>
      <c r="F2492" s="39" t="s">
        <v>2600</v>
      </c>
      <c r="G2492" s="16">
        <v>24</v>
      </c>
      <c r="H2492" s="16" t="s">
        <v>28</v>
      </c>
      <c r="I2492" s="16">
        <v>1650</v>
      </c>
      <c r="J2492" s="16">
        <f>G2492*I2492</f>
        <v>39600</v>
      </c>
      <c r="K2492" s="16"/>
      <c r="L2492" s="16"/>
      <c r="M2492" s="16"/>
      <c r="N2492" s="16"/>
      <c r="O2492" s="16">
        <v>24</v>
      </c>
      <c r="P2492" s="16">
        <v>1650</v>
      </c>
      <c r="Q2492" s="16">
        <f>O2492*P2492</f>
        <v>39600</v>
      </c>
      <c r="R2492" s="18">
        <v>0.18</v>
      </c>
      <c r="S2492" s="16">
        <f>Q2492*R2492</f>
        <v>7128</v>
      </c>
      <c r="T2492" s="16">
        <f>Q2492+S2492</f>
        <v>46728</v>
      </c>
      <c r="U2492" s="16" t="s">
        <v>2679</v>
      </c>
      <c r="V2492" s="19">
        <v>46334</v>
      </c>
    </row>
    <row r="2493" spans="1:22" x14ac:dyDescent="0.3">
      <c r="A2493" s="1"/>
      <c r="B2493" s="1"/>
      <c r="C2493" s="1"/>
      <c r="D2493" s="1"/>
      <c r="E2493" s="1"/>
      <c r="F2493" s="124" t="s">
        <v>39</v>
      </c>
      <c r="G2493" s="1"/>
      <c r="H2493" s="1"/>
      <c r="I2493" s="1"/>
      <c r="J2493" s="124">
        <f>J2492</f>
        <v>39600</v>
      </c>
      <c r="K2493" s="1"/>
      <c r="L2493" s="1"/>
      <c r="M2493" s="1"/>
      <c r="N2493" s="1"/>
      <c r="O2493" s="1"/>
      <c r="P2493" s="1"/>
      <c r="Q2493" s="1"/>
      <c r="R2493" s="1"/>
      <c r="S2493" s="1"/>
      <c r="T2493" s="1"/>
      <c r="U2493" s="1"/>
      <c r="V2493" s="1"/>
    </row>
    <row r="2494" spans="1:22" x14ac:dyDescent="0.3">
      <c r="A2494" s="1"/>
      <c r="B2494" s="1"/>
      <c r="C2494" s="1"/>
      <c r="D2494" s="1"/>
      <c r="E2494" s="1"/>
      <c r="F2494" s="124" t="s">
        <v>599</v>
      </c>
      <c r="G2494" s="1"/>
      <c r="H2494" s="1"/>
      <c r="I2494" s="1"/>
      <c r="J2494" s="124">
        <f>J2493*18/100</f>
        <v>7128</v>
      </c>
      <c r="K2494" s="1"/>
      <c r="L2494" s="1"/>
      <c r="M2494" s="1"/>
      <c r="N2494" s="1"/>
      <c r="O2494" s="1"/>
      <c r="P2494" s="1"/>
      <c r="Q2494" s="1"/>
      <c r="R2494" s="1"/>
      <c r="S2494" s="1"/>
      <c r="T2494" s="1"/>
      <c r="U2494" s="1"/>
      <c r="V2494" s="1"/>
    </row>
    <row r="2495" spans="1:22" x14ac:dyDescent="0.3">
      <c r="A2495" s="1"/>
      <c r="B2495" s="1"/>
      <c r="C2495" s="1"/>
      <c r="D2495" s="1"/>
      <c r="E2495" s="1"/>
      <c r="F2495" s="124" t="s">
        <v>41</v>
      </c>
      <c r="G2495" s="1"/>
      <c r="H2495" s="1"/>
      <c r="I2495" s="1"/>
      <c r="J2495" s="124">
        <f>SUM(J2493:J2494)</f>
        <v>46728</v>
      </c>
      <c r="K2495" s="1"/>
      <c r="L2495" s="1"/>
      <c r="M2495" s="1"/>
      <c r="N2495" s="1"/>
      <c r="O2495" s="1"/>
      <c r="P2495" s="1"/>
      <c r="Q2495" s="1"/>
      <c r="R2495" s="1"/>
      <c r="S2495" s="1"/>
      <c r="T2495" s="1"/>
      <c r="U2495" s="1"/>
      <c r="V2495" s="1"/>
    </row>
    <row r="2496" spans="1:22" x14ac:dyDescent="0.3">
      <c r="A2496" s="1"/>
      <c r="B2496" s="1"/>
      <c r="C2496" s="1"/>
      <c r="D2496" s="1"/>
      <c r="E2496" s="1"/>
      <c r="F2496" s="1"/>
      <c r="G2496" s="1"/>
      <c r="H2496" s="1"/>
      <c r="I2496" s="1"/>
      <c r="J2496" s="1"/>
      <c r="K2496" s="1"/>
      <c r="L2496" s="1"/>
      <c r="M2496" s="1"/>
      <c r="N2496" s="1"/>
      <c r="O2496" s="1"/>
      <c r="P2496" s="1"/>
      <c r="Q2496" s="1"/>
      <c r="R2496" s="1"/>
      <c r="S2496" s="1"/>
      <c r="T2496" s="1"/>
      <c r="U2496" s="1"/>
      <c r="V2496" s="1"/>
    </row>
    <row r="2497" spans="1:22" ht="37.799999999999997" x14ac:dyDescent="0.3">
      <c r="A2497" s="1">
        <v>231</v>
      </c>
      <c r="B2497" s="1">
        <v>8600068258</v>
      </c>
      <c r="C2497" s="1" t="s">
        <v>2599</v>
      </c>
      <c r="D2497" s="1" t="s">
        <v>300</v>
      </c>
      <c r="E2497" s="1" t="s">
        <v>127</v>
      </c>
      <c r="F2497" s="22" t="s">
        <v>2601</v>
      </c>
      <c r="G2497" s="1">
        <v>30</v>
      </c>
      <c r="H2497" s="1" t="s">
        <v>28</v>
      </c>
      <c r="I2497" s="1">
        <v>200</v>
      </c>
      <c r="J2497" s="1">
        <f t="shared" ref="J2497:J2593" si="510">G2497*I2497</f>
        <v>6000</v>
      </c>
      <c r="K2497" s="1"/>
      <c r="L2497" s="1"/>
      <c r="M2497" s="1"/>
      <c r="N2497" s="1"/>
      <c r="O2497" s="1"/>
      <c r="P2497" s="1"/>
      <c r="Q2497" s="1"/>
      <c r="R2497" s="1"/>
      <c r="S2497" s="1"/>
      <c r="T2497" s="1"/>
      <c r="U2497" s="1"/>
      <c r="V2497" s="1"/>
    </row>
    <row r="2498" spans="1:22" ht="37.799999999999997" x14ac:dyDescent="0.3">
      <c r="A2498" s="1"/>
      <c r="B2498" s="1"/>
      <c r="C2498" s="1"/>
      <c r="D2498" s="1"/>
      <c r="E2498" s="1" t="s">
        <v>127</v>
      </c>
      <c r="F2498" s="22" t="s">
        <v>2602</v>
      </c>
      <c r="G2498" s="1">
        <v>30</v>
      </c>
      <c r="H2498" s="1" t="s">
        <v>28</v>
      </c>
      <c r="I2498" s="1">
        <v>240</v>
      </c>
      <c r="J2498" s="1">
        <f t="shared" si="510"/>
        <v>7200</v>
      </c>
      <c r="K2498" s="1"/>
      <c r="L2498" s="1"/>
      <c r="M2498" s="1"/>
      <c r="N2498" s="1"/>
      <c r="O2498" s="1"/>
      <c r="P2498" s="1"/>
      <c r="Q2498" s="1"/>
      <c r="R2498" s="1"/>
      <c r="S2498" s="1"/>
      <c r="T2498" s="1"/>
      <c r="U2498" s="1"/>
      <c r="V2498" s="1"/>
    </row>
    <row r="2499" spans="1:22" ht="37.799999999999997" x14ac:dyDescent="0.3">
      <c r="A2499" s="1"/>
      <c r="B2499" s="1"/>
      <c r="C2499" s="1"/>
      <c r="D2499" s="1"/>
      <c r="E2499" s="1" t="s">
        <v>127</v>
      </c>
      <c r="F2499" s="22" t="s">
        <v>2603</v>
      </c>
      <c r="G2499" s="1">
        <v>125</v>
      </c>
      <c r="H2499" s="1" t="s">
        <v>28</v>
      </c>
      <c r="I2499" s="1">
        <v>480</v>
      </c>
      <c r="J2499" s="1">
        <f t="shared" si="510"/>
        <v>60000</v>
      </c>
      <c r="K2499" s="1"/>
      <c r="L2499" s="1"/>
      <c r="M2499" s="1"/>
      <c r="N2499" s="1"/>
      <c r="O2499" s="1"/>
      <c r="P2499" s="1"/>
      <c r="Q2499" s="1"/>
      <c r="R2499" s="1"/>
      <c r="S2499" s="1"/>
      <c r="T2499" s="1"/>
      <c r="U2499" s="1"/>
      <c r="V2499" s="1"/>
    </row>
    <row r="2500" spans="1:22" ht="37.799999999999997" x14ac:dyDescent="0.3">
      <c r="A2500" s="1"/>
      <c r="B2500" s="1"/>
      <c r="C2500" s="1"/>
      <c r="D2500" s="1"/>
      <c r="E2500" s="1" t="s">
        <v>127</v>
      </c>
      <c r="F2500" s="22" t="s">
        <v>2604</v>
      </c>
      <c r="G2500" s="1">
        <v>2</v>
      </c>
      <c r="H2500" s="1" t="s">
        <v>28</v>
      </c>
      <c r="I2500" s="1">
        <v>19400</v>
      </c>
      <c r="J2500" s="1">
        <f t="shared" si="510"/>
        <v>38800</v>
      </c>
      <c r="K2500" s="1"/>
      <c r="L2500" s="1"/>
      <c r="M2500" s="1"/>
      <c r="N2500" s="1"/>
      <c r="O2500" s="1"/>
      <c r="P2500" s="1"/>
      <c r="Q2500" s="1"/>
      <c r="R2500" s="1"/>
      <c r="S2500" s="1"/>
      <c r="T2500" s="1"/>
      <c r="U2500" s="1"/>
      <c r="V2500" s="1"/>
    </row>
    <row r="2501" spans="1:22" ht="25.2" x14ac:dyDescent="0.3">
      <c r="A2501" s="1"/>
      <c r="B2501" s="1"/>
      <c r="C2501" s="1"/>
      <c r="D2501" s="1"/>
      <c r="E2501" s="1" t="s">
        <v>127</v>
      </c>
      <c r="F2501" s="22" t="s">
        <v>2605</v>
      </c>
      <c r="G2501" s="1">
        <v>2</v>
      </c>
      <c r="H2501" s="1" t="s">
        <v>28</v>
      </c>
      <c r="I2501" s="1">
        <v>3000</v>
      </c>
      <c r="J2501" s="1">
        <f t="shared" si="510"/>
        <v>6000</v>
      </c>
      <c r="K2501" s="1"/>
      <c r="L2501" s="1"/>
      <c r="M2501" s="1"/>
      <c r="N2501" s="1"/>
      <c r="O2501" s="1"/>
      <c r="P2501" s="1"/>
      <c r="Q2501" s="1"/>
      <c r="R2501" s="1"/>
      <c r="S2501" s="1"/>
      <c r="T2501" s="1"/>
      <c r="U2501" s="1"/>
      <c r="V2501" s="1"/>
    </row>
    <row r="2502" spans="1:22" ht="50.4" x14ac:dyDescent="0.3">
      <c r="A2502" s="1"/>
      <c r="B2502" s="1"/>
      <c r="C2502" s="1"/>
      <c r="D2502" s="1"/>
      <c r="E2502" s="1" t="s">
        <v>127</v>
      </c>
      <c r="F2502" s="22" t="s">
        <v>2606</v>
      </c>
      <c r="G2502" s="1">
        <v>2</v>
      </c>
      <c r="H2502" s="1" t="s">
        <v>28</v>
      </c>
      <c r="I2502" s="1">
        <v>4500</v>
      </c>
      <c r="J2502" s="1">
        <f t="shared" si="510"/>
        <v>9000</v>
      </c>
      <c r="K2502" s="1"/>
      <c r="L2502" s="1"/>
      <c r="M2502" s="1"/>
      <c r="N2502" s="1"/>
      <c r="O2502" s="1"/>
      <c r="P2502" s="1"/>
      <c r="Q2502" s="1"/>
      <c r="R2502" s="1"/>
      <c r="S2502" s="1"/>
      <c r="T2502" s="1"/>
      <c r="U2502" s="1"/>
      <c r="V2502" s="1"/>
    </row>
    <row r="2503" spans="1:22" ht="37.799999999999997" x14ac:dyDescent="0.3">
      <c r="A2503" s="1"/>
      <c r="B2503" s="1"/>
      <c r="C2503" s="1"/>
      <c r="D2503" s="1"/>
      <c r="E2503" s="1" t="s">
        <v>127</v>
      </c>
      <c r="F2503" s="22" t="s">
        <v>2607</v>
      </c>
      <c r="G2503" s="1">
        <v>1</v>
      </c>
      <c r="H2503" s="1" t="s">
        <v>28</v>
      </c>
      <c r="I2503" s="1">
        <v>8000</v>
      </c>
      <c r="J2503" s="1">
        <f t="shared" si="510"/>
        <v>8000</v>
      </c>
      <c r="K2503" s="1"/>
      <c r="L2503" s="1"/>
      <c r="M2503" s="1"/>
      <c r="N2503" s="1"/>
      <c r="O2503" s="1"/>
      <c r="P2503" s="1"/>
      <c r="Q2503" s="1"/>
      <c r="R2503" s="1"/>
      <c r="S2503" s="1"/>
      <c r="T2503" s="1"/>
      <c r="U2503" s="1"/>
      <c r="V2503" s="1"/>
    </row>
    <row r="2504" spans="1:22" x14ac:dyDescent="0.3">
      <c r="A2504" s="1"/>
      <c r="B2504" s="1"/>
      <c r="C2504" s="1"/>
      <c r="D2504" s="1"/>
      <c r="E2504" s="1"/>
      <c r="F2504" s="124" t="s">
        <v>39</v>
      </c>
      <c r="G2504" s="1"/>
      <c r="H2504" s="1"/>
      <c r="I2504" s="1"/>
      <c r="J2504" s="124">
        <f>SUM(J2497:J2503)</f>
        <v>135000</v>
      </c>
      <c r="K2504" s="1"/>
      <c r="L2504" s="1"/>
      <c r="M2504" s="1"/>
      <c r="N2504" s="1"/>
      <c r="O2504" s="1"/>
      <c r="P2504" s="1"/>
      <c r="Q2504" s="1"/>
      <c r="R2504" s="1"/>
      <c r="S2504" s="1"/>
      <c r="T2504" s="1"/>
      <c r="U2504" s="1"/>
      <c r="V2504" s="1"/>
    </row>
    <row r="2505" spans="1:22" x14ac:dyDescent="0.3">
      <c r="A2505" s="1"/>
      <c r="B2505" s="1"/>
      <c r="C2505" s="1"/>
      <c r="D2505" s="1"/>
      <c r="E2505" s="1"/>
      <c r="F2505" s="124" t="s">
        <v>599</v>
      </c>
      <c r="G2505" s="1"/>
      <c r="H2505" s="1"/>
      <c r="I2505" s="1"/>
      <c r="J2505" s="124">
        <f>J2504*18/100</f>
        <v>24300</v>
      </c>
      <c r="K2505" s="1"/>
      <c r="L2505" s="1"/>
      <c r="M2505" s="1"/>
      <c r="N2505" s="1"/>
      <c r="O2505" s="1"/>
      <c r="P2505" s="1"/>
      <c r="Q2505" s="1"/>
      <c r="R2505" s="1"/>
      <c r="S2505" s="1"/>
      <c r="T2505" s="1"/>
      <c r="U2505" s="1"/>
      <c r="V2505" s="1"/>
    </row>
    <row r="2506" spans="1:22" x14ac:dyDescent="0.3">
      <c r="A2506" s="1"/>
      <c r="B2506" s="1"/>
      <c r="C2506" s="1"/>
      <c r="D2506" s="1"/>
      <c r="E2506" s="1"/>
      <c r="F2506" s="124" t="s">
        <v>41</v>
      </c>
      <c r="G2506" s="1"/>
      <c r="H2506" s="1"/>
      <c r="I2506" s="1"/>
      <c r="J2506" s="124">
        <f>SUM(J2504:J2505)</f>
        <v>159300</v>
      </c>
      <c r="K2506" s="1"/>
      <c r="L2506" s="1"/>
      <c r="M2506" s="1"/>
      <c r="N2506" s="1"/>
      <c r="O2506" s="1"/>
      <c r="P2506" s="1"/>
      <c r="Q2506" s="1"/>
      <c r="R2506" s="1"/>
      <c r="S2506" s="1"/>
      <c r="T2506" s="1"/>
      <c r="U2506" s="1"/>
      <c r="V2506" s="1"/>
    </row>
    <row r="2507" spans="1:22" x14ac:dyDescent="0.3">
      <c r="A2507" s="1"/>
      <c r="B2507" s="1"/>
      <c r="C2507" s="1"/>
      <c r="D2507" s="1"/>
      <c r="E2507" s="1"/>
      <c r="F2507" s="124"/>
      <c r="G2507" s="1"/>
      <c r="H2507" s="1"/>
      <c r="I2507" s="1"/>
      <c r="J2507" s="124"/>
      <c r="K2507" s="1"/>
      <c r="L2507" s="1"/>
      <c r="M2507" s="1"/>
      <c r="N2507" s="1"/>
      <c r="O2507" s="1"/>
      <c r="P2507" s="1"/>
      <c r="Q2507" s="1"/>
      <c r="R2507" s="1"/>
      <c r="S2507" s="1"/>
      <c r="T2507" s="1"/>
      <c r="U2507" s="1"/>
      <c r="V2507" s="1"/>
    </row>
    <row r="2508" spans="1:22" ht="63" x14ac:dyDescent="0.3">
      <c r="A2508" s="1">
        <v>232</v>
      </c>
      <c r="B2508" s="1">
        <v>9200171632</v>
      </c>
      <c r="C2508" s="1" t="s">
        <v>2608</v>
      </c>
      <c r="D2508" s="1" t="s">
        <v>43</v>
      </c>
      <c r="E2508" s="1" t="s">
        <v>123</v>
      </c>
      <c r="F2508" s="22" t="s">
        <v>2609</v>
      </c>
      <c r="G2508" s="1">
        <v>54</v>
      </c>
      <c r="H2508" s="1" t="s">
        <v>28</v>
      </c>
      <c r="I2508" s="1">
        <v>602</v>
      </c>
      <c r="J2508" s="1">
        <f t="shared" si="510"/>
        <v>32508</v>
      </c>
      <c r="K2508" s="119">
        <v>54</v>
      </c>
      <c r="L2508" s="119" t="s">
        <v>28</v>
      </c>
      <c r="M2508" s="119" t="s">
        <v>91</v>
      </c>
      <c r="N2508" s="119" t="s">
        <v>2621</v>
      </c>
      <c r="O2508" s="16">
        <v>24</v>
      </c>
      <c r="P2508" s="16">
        <v>602</v>
      </c>
      <c r="Q2508" s="16">
        <f>O2508*P2508</f>
        <v>14448</v>
      </c>
      <c r="R2508" s="18">
        <v>0</v>
      </c>
      <c r="S2508" s="16">
        <f>Q2508*R2508</f>
        <v>0</v>
      </c>
      <c r="T2508" s="16">
        <f>Q2508+S2508</f>
        <v>14448</v>
      </c>
      <c r="U2508" s="16" t="s">
        <v>2676</v>
      </c>
      <c r="V2508" s="19">
        <v>46334</v>
      </c>
    </row>
    <row r="2509" spans="1:22" x14ac:dyDescent="0.3">
      <c r="A2509" s="1"/>
      <c r="B2509" s="1"/>
      <c r="C2509" s="1"/>
      <c r="D2509" s="1"/>
      <c r="E2509" s="1"/>
      <c r="F2509" s="124" t="s">
        <v>39</v>
      </c>
      <c r="G2509" s="1"/>
      <c r="H2509" s="1"/>
      <c r="I2509" s="1"/>
      <c r="J2509" s="124">
        <f>SUM(J2508)</f>
        <v>32508</v>
      </c>
      <c r="K2509" s="1"/>
      <c r="L2509" s="1"/>
      <c r="M2509" s="1"/>
      <c r="N2509" s="1"/>
      <c r="O2509" s="1"/>
      <c r="P2509" s="1"/>
      <c r="Q2509" s="1"/>
      <c r="R2509" s="1"/>
      <c r="S2509" s="1"/>
      <c r="T2509" s="1"/>
      <c r="U2509" s="1"/>
      <c r="V2509" s="1"/>
    </row>
    <row r="2510" spans="1:22" x14ac:dyDescent="0.3">
      <c r="A2510" s="1"/>
      <c r="B2510" s="1"/>
      <c r="C2510" s="1"/>
      <c r="D2510" s="1"/>
      <c r="E2510" s="1"/>
      <c r="F2510" s="124" t="s">
        <v>599</v>
      </c>
      <c r="G2510" s="1"/>
      <c r="H2510" s="1"/>
      <c r="I2510" s="1"/>
      <c r="J2510" s="124">
        <f>J2509*0/100</f>
        <v>0</v>
      </c>
      <c r="K2510" s="1"/>
      <c r="L2510" s="1"/>
      <c r="M2510" s="1"/>
      <c r="N2510" s="1"/>
      <c r="O2510" s="1"/>
      <c r="P2510" s="1"/>
      <c r="Q2510" s="1"/>
      <c r="R2510" s="1"/>
      <c r="S2510" s="1"/>
      <c r="T2510" s="1"/>
      <c r="U2510" s="1"/>
      <c r="V2510" s="1"/>
    </row>
    <row r="2511" spans="1:22" x14ac:dyDescent="0.3">
      <c r="A2511" s="1"/>
      <c r="B2511" s="1"/>
      <c r="C2511" s="1"/>
      <c r="D2511" s="1"/>
      <c r="E2511" s="1"/>
      <c r="F2511" s="124" t="s">
        <v>41</v>
      </c>
      <c r="G2511" s="1"/>
      <c r="H2511" s="1"/>
      <c r="I2511" s="1"/>
      <c r="J2511" s="124">
        <f>SUM(J2509:J2510)</f>
        <v>32508</v>
      </c>
      <c r="K2511" s="1"/>
      <c r="L2511" s="1"/>
      <c r="M2511" s="1"/>
      <c r="N2511" s="1"/>
      <c r="O2511" s="1"/>
      <c r="P2511" s="1"/>
      <c r="Q2511" s="1"/>
      <c r="R2511" s="1"/>
      <c r="S2511" s="1"/>
      <c r="T2511" s="1"/>
      <c r="U2511" s="1"/>
      <c r="V2511" s="1"/>
    </row>
    <row r="2512" spans="1:22" x14ac:dyDescent="0.3">
      <c r="A2512" s="1"/>
      <c r="B2512" s="1"/>
      <c r="C2512" s="1"/>
      <c r="D2512" s="1"/>
      <c r="E2512" s="1"/>
      <c r="F2512" s="1"/>
      <c r="G2512" s="1"/>
      <c r="H2512" s="1"/>
      <c r="I2512" s="1"/>
      <c r="J2512" s="1"/>
      <c r="K2512" s="1"/>
      <c r="L2512" s="1"/>
      <c r="M2512" s="1"/>
      <c r="N2512" s="1"/>
      <c r="O2512" s="1"/>
      <c r="P2512" s="1"/>
      <c r="Q2512" s="1"/>
      <c r="R2512" s="1"/>
      <c r="S2512" s="1"/>
      <c r="T2512" s="1"/>
      <c r="U2512" s="1"/>
      <c r="V2512" s="1"/>
    </row>
    <row r="2513" spans="1:22" ht="25.2" x14ac:dyDescent="0.3">
      <c r="A2513" s="16">
        <v>233</v>
      </c>
      <c r="B2513" s="16">
        <v>9200171737</v>
      </c>
      <c r="C2513" s="16" t="s">
        <v>2616</v>
      </c>
      <c r="D2513" s="16" t="s">
        <v>43</v>
      </c>
      <c r="E2513" s="16" t="s">
        <v>123</v>
      </c>
      <c r="F2513" s="39" t="s">
        <v>2617</v>
      </c>
      <c r="G2513" s="16">
        <v>10</v>
      </c>
      <c r="H2513" s="16" t="s">
        <v>28</v>
      </c>
      <c r="I2513" s="16">
        <v>17500</v>
      </c>
      <c r="J2513" s="16">
        <f t="shared" si="510"/>
        <v>175000</v>
      </c>
      <c r="K2513" s="16">
        <v>10</v>
      </c>
      <c r="L2513" s="16" t="s">
        <v>181</v>
      </c>
      <c r="M2513" s="16" t="s">
        <v>91</v>
      </c>
      <c r="N2513" s="16" t="s">
        <v>2622</v>
      </c>
      <c r="O2513" s="16">
        <v>10</v>
      </c>
      <c r="P2513" s="16">
        <v>17500</v>
      </c>
      <c r="Q2513" s="16">
        <f>O2513*P2513</f>
        <v>175000</v>
      </c>
      <c r="R2513" s="18">
        <v>0</v>
      </c>
      <c r="S2513" s="16">
        <f>Q2513*R2513</f>
        <v>0</v>
      </c>
      <c r="T2513" s="16">
        <f>Q2513+S2513</f>
        <v>175000</v>
      </c>
      <c r="U2513" s="16" t="s">
        <v>2673</v>
      </c>
      <c r="V2513" s="19">
        <v>46334</v>
      </c>
    </row>
    <row r="2514" spans="1:22" x14ac:dyDescent="0.3">
      <c r="A2514" s="1"/>
      <c r="B2514" s="1"/>
      <c r="C2514" s="1"/>
      <c r="D2514" s="1"/>
      <c r="E2514" s="1"/>
      <c r="F2514" s="124" t="s">
        <v>39</v>
      </c>
      <c r="G2514" s="1"/>
      <c r="H2514" s="1"/>
      <c r="I2514" s="1"/>
      <c r="J2514" s="124">
        <f>SUM(J2513)</f>
        <v>175000</v>
      </c>
      <c r="K2514" s="1"/>
      <c r="L2514" s="1"/>
      <c r="M2514" s="1"/>
      <c r="N2514" s="1"/>
      <c r="O2514" s="1"/>
      <c r="P2514" s="1"/>
      <c r="Q2514" s="1"/>
      <c r="R2514" s="86"/>
      <c r="S2514" s="1"/>
      <c r="T2514" s="1"/>
      <c r="U2514" s="1"/>
      <c r="V2514" s="1"/>
    </row>
    <row r="2515" spans="1:22" x14ac:dyDescent="0.3">
      <c r="A2515" s="1"/>
      <c r="B2515" s="1"/>
      <c r="C2515" s="1"/>
      <c r="D2515" s="1"/>
      <c r="E2515" s="1"/>
      <c r="F2515" s="124" t="s">
        <v>599</v>
      </c>
      <c r="G2515" s="1"/>
      <c r="H2515" s="1"/>
      <c r="I2515" s="1"/>
      <c r="J2515" s="124">
        <f>J2514*0/100</f>
        <v>0</v>
      </c>
      <c r="K2515" s="1"/>
      <c r="L2515" s="1"/>
      <c r="M2515" s="1"/>
      <c r="N2515" s="1"/>
      <c r="O2515" s="1"/>
      <c r="P2515" s="1"/>
      <c r="Q2515" s="1"/>
      <c r="R2515" s="86"/>
      <c r="S2515" s="1"/>
      <c r="T2515" s="1"/>
      <c r="U2515" s="1"/>
      <c r="V2515" s="1"/>
    </row>
    <row r="2516" spans="1:22" x14ac:dyDescent="0.3">
      <c r="A2516" s="1"/>
      <c r="B2516" s="1"/>
      <c r="C2516" s="1"/>
      <c r="D2516" s="1"/>
      <c r="E2516" s="1"/>
      <c r="F2516" s="124" t="s">
        <v>41</v>
      </c>
      <c r="G2516" s="1"/>
      <c r="H2516" s="1"/>
      <c r="I2516" s="1"/>
      <c r="J2516" s="124">
        <f>SUM(J2514:J2515)</f>
        <v>175000</v>
      </c>
      <c r="K2516" s="1"/>
      <c r="L2516" s="1"/>
      <c r="M2516" s="1"/>
      <c r="N2516" s="1"/>
      <c r="O2516" s="1"/>
      <c r="P2516" s="1"/>
      <c r="Q2516" s="1"/>
      <c r="R2516" s="86"/>
      <c r="S2516" s="1"/>
      <c r="T2516" s="1"/>
      <c r="U2516" s="1"/>
      <c r="V2516" s="1"/>
    </row>
    <row r="2517" spans="1:22" x14ac:dyDescent="0.3">
      <c r="A2517" s="1"/>
      <c r="B2517" s="1"/>
      <c r="C2517" s="1"/>
      <c r="D2517" s="1"/>
      <c r="E2517" s="1"/>
      <c r="F2517" s="124"/>
      <c r="G2517" s="1"/>
      <c r="H2517" s="1"/>
      <c r="I2517" s="1"/>
      <c r="J2517" s="124"/>
      <c r="K2517" s="1"/>
      <c r="L2517" s="1"/>
      <c r="M2517" s="1"/>
      <c r="N2517" s="1"/>
      <c r="O2517" s="1"/>
      <c r="P2517" s="1"/>
      <c r="Q2517" s="1"/>
      <c r="R2517" s="86"/>
      <c r="S2517" s="1"/>
      <c r="T2517" s="1"/>
      <c r="U2517" s="1"/>
      <c r="V2517" s="1"/>
    </row>
    <row r="2518" spans="1:22" ht="25.2" x14ac:dyDescent="0.3">
      <c r="A2518" s="1">
        <v>234</v>
      </c>
      <c r="B2518" s="1">
        <v>8100026070</v>
      </c>
      <c r="C2518" s="1" t="s">
        <v>2623</v>
      </c>
      <c r="D2518" s="1" t="s">
        <v>300</v>
      </c>
      <c r="E2518" s="16" t="s">
        <v>127</v>
      </c>
      <c r="F2518" s="39" t="s">
        <v>2624</v>
      </c>
      <c r="G2518" s="16">
        <v>2</v>
      </c>
      <c r="H2518" s="16" t="s">
        <v>28</v>
      </c>
      <c r="I2518" s="16">
        <v>140000</v>
      </c>
      <c r="J2518" s="16">
        <f t="shared" si="510"/>
        <v>280000</v>
      </c>
      <c r="K2518" s="16"/>
      <c r="L2518" s="16"/>
      <c r="M2518" s="16"/>
      <c r="N2518" s="16"/>
      <c r="O2518" s="16">
        <v>2</v>
      </c>
      <c r="P2518" s="16">
        <v>140000</v>
      </c>
      <c r="Q2518" s="200">
        <f>O2518*P2518</f>
        <v>280000</v>
      </c>
      <c r="R2518" s="18">
        <v>0.18</v>
      </c>
      <c r="S2518" s="16">
        <f t="shared" ref="S2518" si="511">Q2518*R2518</f>
        <v>50400</v>
      </c>
      <c r="T2518" s="16">
        <f t="shared" ref="T2518" si="512">Q2518+S2518</f>
        <v>330400</v>
      </c>
      <c r="U2518" s="16" t="s">
        <v>2701</v>
      </c>
      <c r="V2518" s="16" t="s">
        <v>2702</v>
      </c>
    </row>
    <row r="2519" spans="1:22" ht="25.2" x14ac:dyDescent="0.3">
      <c r="A2519" s="1"/>
      <c r="B2519" s="1"/>
      <c r="C2519" s="1"/>
      <c r="D2519" s="1"/>
      <c r="E2519" s="1" t="s">
        <v>123</v>
      </c>
      <c r="F2519" s="22" t="s">
        <v>2626</v>
      </c>
      <c r="G2519" s="1">
        <v>250</v>
      </c>
      <c r="H2519" s="1" t="s">
        <v>111</v>
      </c>
      <c r="I2519" s="1">
        <v>200</v>
      </c>
      <c r="J2519" s="1">
        <f t="shared" si="510"/>
        <v>50000</v>
      </c>
      <c r="K2519" s="58" t="s">
        <v>2719</v>
      </c>
      <c r="L2519" s="58" t="s">
        <v>225</v>
      </c>
      <c r="M2519" s="58" t="s">
        <v>91</v>
      </c>
      <c r="N2519" s="58" t="s">
        <v>2720</v>
      </c>
      <c r="O2519" s="1"/>
      <c r="P2519" s="1"/>
      <c r="Q2519" s="201">
        <f t="shared" ref="Q2519:Q2582" si="513">O2519*P2519</f>
        <v>0</v>
      </c>
      <c r="R2519" s="104">
        <v>0.18</v>
      </c>
      <c r="S2519" s="85">
        <f t="shared" ref="S2519:S2582" si="514">Q2519*R2519</f>
        <v>0</v>
      </c>
      <c r="T2519" s="85">
        <f t="shared" ref="T2519:T2582" si="515">Q2519+S2519</f>
        <v>0</v>
      </c>
      <c r="U2519" s="1"/>
      <c r="V2519" s="1"/>
    </row>
    <row r="2520" spans="1:22" ht="25.2" x14ac:dyDescent="0.3">
      <c r="A2520" s="1"/>
      <c r="B2520" s="1"/>
      <c r="C2520" s="1"/>
      <c r="D2520" s="1"/>
      <c r="E2520" s="1" t="s">
        <v>123</v>
      </c>
      <c r="F2520" s="22" t="s">
        <v>2625</v>
      </c>
      <c r="G2520" s="1">
        <v>1</v>
      </c>
      <c r="H2520" s="1" t="s">
        <v>28</v>
      </c>
      <c r="I2520" s="1">
        <v>8000</v>
      </c>
      <c r="J2520" s="1">
        <f t="shared" si="510"/>
        <v>8000</v>
      </c>
      <c r="K2520" s="1"/>
      <c r="L2520" s="1"/>
      <c r="M2520" s="1"/>
      <c r="N2520" s="1"/>
      <c r="O2520" s="1"/>
      <c r="P2520" s="1"/>
      <c r="Q2520" s="201">
        <f t="shared" si="513"/>
        <v>0</v>
      </c>
      <c r="R2520" s="104">
        <v>0.18</v>
      </c>
      <c r="S2520" s="85">
        <f t="shared" si="514"/>
        <v>0</v>
      </c>
      <c r="T2520" s="85">
        <f t="shared" si="515"/>
        <v>0</v>
      </c>
      <c r="U2520" s="1"/>
      <c r="V2520" s="1"/>
    </row>
    <row r="2521" spans="1:22" ht="25.2" x14ac:dyDescent="0.3">
      <c r="A2521" s="1"/>
      <c r="B2521" s="1"/>
      <c r="C2521" s="1"/>
      <c r="D2521" s="1"/>
      <c r="E2521" s="1" t="s">
        <v>123</v>
      </c>
      <c r="F2521" s="22" t="s">
        <v>2627</v>
      </c>
      <c r="G2521" s="1">
        <v>100</v>
      </c>
      <c r="H2521" s="1" t="s">
        <v>252</v>
      </c>
      <c r="I2521" s="1">
        <v>125</v>
      </c>
      <c r="J2521" s="1">
        <f t="shared" si="510"/>
        <v>12500</v>
      </c>
      <c r="K2521" s="1"/>
      <c r="L2521" s="1"/>
      <c r="M2521" s="1"/>
      <c r="N2521" s="1"/>
      <c r="O2521" s="1"/>
      <c r="P2521" s="1"/>
      <c r="Q2521" s="201">
        <f t="shared" si="513"/>
        <v>0</v>
      </c>
      <c r="R2521" s="104">
        <v>0.18</v>
      </c>
      <c r="S2521" s="85">
        <f t="shared" si="514"/>
        <v>0</v>
      </c>
      <c r="T2521" s="85">
        <f t="shared" si="515"/>
        <v>0</v>
      </c>
      <c r="U2521" s="1"/>
      <c r="V2521" s="1"/>
    </row>
    <row r="2522" spans="1:22" x14ac:dyDescent="0.3">
      <c r="A2522" s="1"/>
      <c r="B2522" s="1"/>
      <c r="C2522" s="1"/>
      <c r="D2522" s="1"/>
      <c r="E2522" s="1" t="s">
        <v>123</v>
      </c>
      <c r="F2522" s="1" t="s">
        <v>2628</v>
      </c>
      <c r="G2522" s="1">
        <v>15</v>
      </c>
      <c r="H2522" s="1" t="s">
        <v>28</v>
      </c>
      <c r="I2522" s="1">
        <v>100</v>
      </c>
      <c r="J2522" s="1">
        <f t="shared" si="510"/>
        <v>1500</v>
      </c>
      <c r="K2522" s="1"/>
      <c r="L2522" s="1"/>
      <c r="M2522" s="1"/>
      <c r="N2522" s="1"/>
      <c r="O2522" s="1"/>
      <c r="P2522" s="1"/>
      <c r="Q2522" s="201">
        <f t="shared" si="513"/>
        <v>0</v>
      </c>
      <c r="R2522" s="104">
        <v>0.18</v>
      </c>
      <c r="S2522" s="85">
        <f t="shared" si="514"/>
        <v>0</v>
      </c>
      <c r="T2522" s="85">
        <f t="shared" si="515"/>
        <v>0</v>
      </c>
      <c r="U2522" s="1"/>
      <c r="V2522" s="1"/>
    </row>
    <row r="2523" spans="1:22" x14ac:dyDescent="0.3">
      <c r="A2523" s="1"/>
      <c r="B2523" s="1"/>
      <c r="C2523" s="1"/>
      <c r="D2523" s="1"/>
      <c r="E2523" s="1" t="s">
        <v>123</v>
      </c>
      <c r="F2523" s="1" t="s">
        <v>2629</v>
      </c>
      <c r="G2523" s="1">
        <v>2</v>
      </c>
      <c r="H2523" s="1" t="s">
        <v>28</v>
      </c>
      <c r="I2523" s="1">
        <v>950</v>
      </c>
      <c r="J2523" s="1">
        <f t="shared" si="510"/>
        <v>1900</v>
      </c>
      <c r="K2523" s="1"/>
      <c r="L2523" s="1"/>
      <c r="M2523" s="1"/>
      <c r="N2523" s="1"/>
      <c r="O2523" s="1"/>
      <c r="P2523" s="1"/>
      <c r="Q2523" s="201">
        <f t="shared" si="513"/>
        <v>0</v>
      </c>
      <c r="R2523" s="104">
        <v>0.18</v>
      </c>
      <c r="S2523" s="85">
        <f t="shared" si="514"/>
        <v>0</v>
      </c>
      <c r="T2523" s="85">
        <f t="shared" si="515"/>
        <v>0</v>
      </c>
      <c r="U2523" s="1"/>
      <c r="V2523" s="1"/>
    </row>
    <row r="2524" spans="1:22" x14ac:dyDescent="0.3">
      <c r="A2524" s="1"/>
      <c r="B2524" s="1"/>
      <c r="C2524" s="1"/>
      <c r="D2524" s="1"/>
      <c r="E2524" s="1" t="s">
        <v>123</v>
      </c>
      <c r="F2524" s="22" t="s">
        <v>2630</v>
      </c>
      <c r="G2524" s="1">
        <v>15</v>
      </c>
      <c r="H2524" s="1" t="s">
        <v>28</v>
      </c>
      <c r="I2524" s="1">
        <v>30</v>
      </c>
      <c r="J2524" s="1">
        <f t="shared" si="510"/>
        <v>450</v>
      </c>
      <c r="K2524" s="1"/>
      <c r="L2524" s="1"/>
      <c r="M2524" s="1"/>
      <c r="N2524" s="1"/>
      <c r="O2524" s="1"/>
      <c r="P2524" s="1"/>
      <c r="Q2524" s="201">
        <f t="shared" si="513"/>
        <v>0</v>
      </c>
      <c r="R2524" s="104">
        <v>0.18</v>
      </c>
      <c r="S2524" s="85">
        <f t="shared" si="514"/>
        <v>0</v>
      </c>
      <c r="T2524" s="85">
        <f t="shared" si="515"/>
        <v>0</v>
      </c>
      <c r="U2524" s="1"/>
      <c r="V2524" s="1"/>
    </row>
    <row r="2525" spans="1:22" ht="37.799999999999997" x14ac:dyDescent="0.3">
      <c r="A2525" s="1"/>
      <c r="B2525" s="1"/>
      <c r="C2525" s="1"/>
      <c r="D2525" s="1"/>
      <c r="E2525" s="1" t="s">
        <v>123</v>
      </c>
      <c r="F2525" s="22" t="s">
        <v>2631</v>
      </c>
      <c r="G2525" s="1">
        <v>450</v>
      </c>
      <c r="H2525" s="1" t="s">
        <v>111</v>
      </c>
      <c r="I2525" s="1">
        <v>180</v>
      </c>
      <c r="J2525" s="1">
        <f t="shared" si="510"/>
        <v>81000</v>
      </c>
      <c r="K2525" s="1"/>
      <c r="L2525" s="1"/>
      <c r="M2525" s="1"/>
      <c r="N2525" s="1"/>
      <c r="O2525" s="1"/>
      <c r="P2525" s="1"/>
      <c r="Q2525" s="201">
        <f t="shared" si="513"/>
        <v>0</v>
      </c>
      <c r="R2525" s="104">
        <v>0.18</v>
      </c>
      <c r="S2525" s="85">
        <f t="shared" si="514"/>
        <v>0</v>
      </c>
      <c r="T2525" s="85">
        <f t="shared" si="515"/>
        <v>0</v>
      </c>
      <c r="U2525" s="1"/>
      <c r="V2525" s="1"/>
    </row>
    <row r="2526" spans="1:22" ht="25.2" x14ac:dyDescent="0.3">
      <c r="A2526" s="1"/>
      <c r="B2526" s="1"/>
      <c r="C2526" s="1"/>
      <c r="D2526" s="1"/>
      <c r="E2526" s="1" t="s">
        <v>123</v>
      </c>
      <c r="F2526" s="22" t="s">
        <v>2632</v>
      </c>
      <c r="G2526" s="1">
        <v>450</v>
      </c>
      <c r="H2526" s="1" t="s">
        <v>111</v>
      </c>
      <c r="I2526" s="1">
        <v>40</v>
      </c>
      <c r="J2526" s="1">
        <f t="shared" si="510"/>
        <v>18000</v>
      </c>
      <c r="K2526" s="1"/>
      <c r="L2526" s="1"/>
      <c r="M2526" s="1"/>
      <c r="N2526" s="1"/>
      <c r="O2526" s="1"/>
      <c r="P2526" s="1"/>
      <c r="Q2526" s="201">
        <f t="shared" si="513"/>
        <v>0</v>
      </c>
      <c r="R2526" s="104">
        <v>0.18</v>
      </c>
      <c r="S2526" s="85">
        <f t="shared" si="514"/>
        <v>0</v>
      </c>
      <c r="T2526" s="85">
        <f t="shared" si="515"/>
        <v>0</v>
      </c>
      <c r="U2526" s="1"/>
      <c r="V2526" s="1"/>
    </row>
    <row r="2527" spans="1:22" ht="25.2" x14ac:dyDescent="0.3">
      <c r="A2527" s="1"/>
      <c r="B2527" s="1"/>
      <c r="C2527" s="1"/>
      <c r="D2527" s="1"/>
      <c r="E2527" s="1" t="s">
        <v>123</v>
      </c>
      <c r="F2527" s="22" t="s">
        <v>2633</v>
      </c>
      <c r="G2527" s="1">
        <v>1</v>
      </c>
      <c r="H2527" s="1" t="s">
        <v>87</v>
      </c>
      <c r="I2527" s="1">
        <v>10000</v>
      </c>
      <c r="J2527" s="1">
        <f t="shared" si="510"/>
        <v>10000</v>
      </c>
      <c r="K2527" s="1"/>
      <c r="L2527" s="1"/>
      <c r="M2527" s="1"/>
      <c r="N2527" s="1"/>
      <c r="O2527" s="1"/>
      <c r="P2527" s="1"/>
      <c r="Q2527" s="201">
        <f t="shared" si="513"/>
        <v>0</v>
      </c>
      <c r="R2527" s="104">
        <v>0.18</v>
      </c>
      <c r="S2527" s="85">
        <f t="shared" si="514"/>
        <v>0</v>
      </c>
      <c r="T2527" s="85">
        <f t="shared" si="515"/>
        <v>0</v>
      </c>
      <c r="U2527" s="1"/>
      <c r="V2527" s="1"/>
    </row>
    <row r="2528" spans="1:22" x14ac:dyDescent="0.3">
      <c r="A2528" s="1"/>
      <c r="B2528" s="1"/>
      <c r="C2528" s="1"/>
      <c r="D2528" s="1"/>
      <c r="E2528" s="1" t="s">
        <v>123</v>
      </c>
      <c r="F2528" s="1" t="s">
        <v>2634</v>
      </c>
      <c r="G2528" s="1">
        <v>2</v>
      </c>
      <c r="H2528" s="1" t="s">
        <v>87</v>
      </c>
      <c r="I2528" s="1">
        <v>6000</v>
      </c>
      <c r="J2528" s="1">
        <f t="shared" si="510"/>
        <v>12000</v>
      </c>
      <c r="K2528" s="1"/>
      <c r="L2528" s="1"/>
      <c r="M2528" s="1"/>
      <c r="N2528" s="1"/>
      <c r="O2528" s="1"/>
      <c r="P2528" s="1"/>
      <c r="Q2528" s="201">
        <f t="shared" si="513"/>
        <v>0</v>
      </c>
      <c r="R2528" s="104">
        <v>0.18</v>
      </c>
      <c r="S2528" s="85">
        <f t="shared" si="514"/>
        <v>0</v>
      </c>
      <c r="T2528" s="85">
        <f t="shared" si="515"/>
        <v>0</v>
      </c>
      <c r="U2528" s="1"/>
      <c r="V2528" s="1"/>
    </row>
    <row r="2529" spans="1:22" x14ac:dyDescent="0.3">
      <c r="A2529" s="1"/>
      <c r="B2529" s="1"/>
      <c r="C2529" s="1"/>
      <c r="D2529" s="1"/>
      <c r="E2529" s="1" t="s">
        <v>123</v>
      </c>
      <c r="F2529" s="1" t="s">
        <v>2635</v>
      </c>
      <c r="G2529" s="1">
        <v>4</v>
      </c>
      <c r="H2529" s="1" t="s">
        <v>28</v>
      </c>
      <c r="I2529" s="1">
        <v>200</v>
      </c>
      <c r="J2529" s="1">
        <f t="shared" si="510"/>
        <v>800</v>
      </c>
      <c r="K2529" s="1"/>
      <c r="L2529" s="1"/>
      <c r="M2529" s="1"/>
      <c r="N2529" s="1"/>
      <c r="O2529" s="1"/>
      <c r="P2529" s="1"/>
      <c r="Q2529" s="201">
        <f t="shared" si="513"/>
        <v>0</v>
      </c>
      <c r="R2529" s="104">
        <v>0.18</v>
      </c>
      <c r="S2529" s="85">
        <f t="shared" si="514"/>
        <v>0</v>
      </c>
      <c r="T2529" s="85">
        <f t="shared" si="515"/>
        <v>0</v>
      </c>
      <c r="U2529" s="1"/>
      <c r="V2529" s="1"/>
    </row>
    <row r="2530" spans="1:22" ht="25.2" x14ac:dyDescent="0.3">
      <c r="A2530" s="1"/>
      <c r="B2530" s="1"/>
      <c r="C2530" s="1"/>
      <c r="D2530" s="1"/>
      <c r="E2530" s="1" t="s">
        <v>123</v>
      </c>
      <c r="F2530" s="22" t="s">
        <v>2636</v>
      </c>
      <c r="G2530" s="1">
        <v>1</v>
      </c>
      <c r="H2530" s="1" t="s">
        <v>28</v>
      </c>
      <c r="I2530" s="1">
        <v>14500</v>
      </c>
      <c r="J2530" s="1">
        <f t="shared" si="510"/>
        <v>14500</v>
      </c>
      <c r="K2530" s="1"/>
      <c r="L2530" s="1"/>
      <c r="M2530" s="1"/>
      <c r="N2530" s="1"/>
      <c r="O2530" s="1"/>
      <c r="P2530" s="1"/>
      <c r="Q2530" s="201">
        <f t="shared" si="513"/>
        <v>0</v>
      </c>
      <c r="R2530" s="104">
        <v>0.18</v>
      </c>
      <c r="S2530" s="85">
        <f t="shared" si="514"/>
        <v>0</v>
      </c>
      <c r="T2530" s="85">
        <f t="shared" si="515"/>
        <v>0</v>
      </c>
      <c r="U2530" s="1"/>
      <c r="V2530" s="1"/>
    </row>
    <row r="2531" spans="1:22" x14ac:dyDescent="0.3">
      <c r="A2531" s="1"/>
      <c r="B2531" s="1"/>
      <c r="C2531" s="1"/>
      <c r="D2531" s="1"/>
      <c r="E2531" s="1"/>
      <c r="F2531" s="124" t="s">
        <v>39</v>
      </c>
      <c r="G2531" s="1"/>
      <c r="H2531" s="1"/>
      <c r="I2531" s="1"/>
      <c r="J2531" s="124">
        <f>SUM(J2518:J2530)</f>
        <v>490650</v>
      </c>
      <c r="K2531" s="1"/>
      <c r="L2531" s="1"/>
      <c r="M2531" s="1"/>
      <c r="N2531" s="1"/>
      <c r="O2531" s="1"/>
      <c r="P2531" s="1"/>
      <c r="Q2531" s="201"/>
      <c r="R2531" s="104"/>
      <c r="S2531" s="85"/>
      <c r="T2531" s="85"/>
      <c r="U2531" s="1"/>
      <c r="V2531" s="1"/>
    </row>
    <row r="2532" spans="1:22" x14ac:dyDescent="0.3">
      <c r="A2532" s="1"/>
      <c r="B2532" s="1"/>
      <c r="C2532" s="1"/>
      <c r="D2532" s="1"/>
      <c r="E2532" s="1"/>
      <c r="F2532" s="124" t="s">
        <v>187</v>
      </c>
      <c r="G2532" s="1"/>
      <c r="H2532" s="1"/>
      <c r="I2532" s="1"/>
      <c r="J2532" s="124">
        <f>J2531*18/100</f>
        <v>88317</v>
      </c>
      <c r="K2532" s="1"/>
      <c r="L2532" s="1"/>
      <c r="M2532" s="1"/>
      <c r="N2532" s="1"/>
      <c r="O2532" s="1"/>
      <c r="P2532" s="1"/>
      <c r="Q2532" s="201"/>
      <c r="R2532" s="104"/>
      <c r="S2532" s="85"/>
      <c r="T2532" s="85"/>
      <c r="U2532" s="1"/>
      <c r="V2532" s="1"/>
    </row>
    <row r="2533" spans="1:22" x14ac:dyDescent="0.3">
      <c r="A2533" s="1"/>
      <c r="B2533" s="1"/>
      <c r="C2533" s="1"/>
      <c r="D2533" s="1"/>
      <c r="E2533" s="1"/>
      <c r="F2533" s="124" t="s">
        <v>41</v>
      </c>
      <c r="G2533" s="1"/>
      <c r="H2533" s="1"/>
      <c r="I2533" s="1"/>
      <c r="J2533" s="124">
        <f>SUM(J2531:J2532)</f>
        <v>578967</v>
      </c>
      <c r="K2533" s="1"/>
      <c r="L2533" s="1"/>
      <c r="M2533" s="1"/>
      <c r="N2533" s="1"/>
      <c r="O2533" s="1"/>
      <c r="P2533" s="1"/>
      <c r="Q2533" s="201"/>
      <c r="R2533" s="104"/>
      <c r="S2533" s="85"/>
      <c r="T2533" s="85"/>
      <c r="U2533" s="1"/>
      <c r="V2533" s="1"/>
    </row>
    <row r="2534" spans="1:22" x14ac:dyDescent="0.3">
      <c r="A2534" s="1"/>
      <c r="B2534" s="1"/>
      <c r="C2534" s="1"/>
      <c r="D2534" s="1"/>
      <c r="E2534" s="1"/>
      <c r="F2534" s="124"/>
      <c r="G2534" s="1"/>
      <c r="H2534" s="1"/>
      <c r="I2534" s="1"/>
      <c r="J2534" s="124"/>
      <c r="K2534" s="1"/>
      <c r="L2534" s="1"/>
      <c r="M2534" s="1"/>
      <c r="N2534" s="1"/>
      <c r="O2534" s="1"/>
      <c r="P2534" s="1"/>
      <c r="Q2534" s="201"/>
      <c r="R2534" s="104"/>
      <c r="S2534" s="85"/>
      <c r="T2534" s="85"/>
      <c r="U2534" s="1"/>
      <c r="V2534" s="1"/>
    </row>
    <row r="2535" spans="1:22" ht="37.799999999999997" x14ac:dyDescent="0.3">
      <c r="A2535" s="16">
        <v>235</v>
      </c>
      <c r="B2535" s="16">
        <v>8600068685</v>
      </c>
      <c r="C2535" s="19">
        <v>46181</v>
      </c>
      <c r="D2535" s="39" t="s">
        <v>43</v>
      </c>
      <c r="E2535" s="16" t="s">
        <v>127</v>
      </c>
      <c r="F2535" s="39" t="s">
        <v>2650</v>
      </c>
      <c r="G2535" s="16">
        <v>6</v>
      </c>
      <c r="H2535" s="16" t="s">
        <v>28</v>
      </c>
      <c r="I2535" s="16">
        <v>10200</v>
      </c>
      <c r="J2535" s="16">
        <f t="shared" si="510"/>
        <v>61200</v>
      </c>
      <c r="K2535" s="16"/>
      <c r="L2535" s="16"/>
      <c r="M2535" s="16"/>
      <c r="N2535" s="16"/>
      <c r="O2535" s="16">
        <v>6</v>
      </c>
      <c r="P2535" s="16">
        <v>10200</v>
      </c>
      <c r="Q2535" s="201">
        <f t="shared" si="513"/>
        <v>61200</v>
      </c>
      <c r="R2535" s="104">
        <v>0.18</v>
      </c>
      <c r="S2535" s="85">
        <f t="shared" si="514"/>
        <v>11016</v>
      </c>
      <c r="T2535" s="85">
        <f t="shared" si="515"/>
        <v>72216</v>
      </c>
      <c r="U2535" s="16" t="s">
        <v>2653</v>
      </c>
      <c r="V2535" s="19">
        <v>46334</v>
      </c>
    </row>
    <row r="2536" spans="1:22" x14ac:dyDescent="0.3">
      <c r="A2536" s="1"/>
      <c r="B2536" s="1"/>
      <c r="C2536" s="1"/>
      <c r="D2536" s="1"/>
      <c r="E2536" s="1"/>
      <c r="F2536" s="124" t="s">
        <v>39</v>
      </c>
      <c r="G2536" s="1"/>
      <c r="H2536" s="1"/>
      <c r="I2536" s="1"/>
      <c r="J2536" s="124">
        <f>SUM(J2535)</f>
        <v>61200</v>
      </c>
      <c r="K2536" s="1"/>
      <c r="L2536" s="1"/>
      <c r="M2536" s="1"/>
      <c r="N2536" s="1"/>
      <c r="O2536" s="1"/>
      <c r="P2536" s="1"/>
      <c r="Q2536" s="201">
        <f t="shared" si="513"/>
        <v>0</v>
      </c>
      <c r="R2536" s="104">
        <v>0.18</v>
      </c>
      <c r="S2536" s="85">
        <f t="shared" si="514"/>
        <v>0</v>
      </c>
      <c r="T2536" s="85">
        <f t="shared" si="515"/>
        <v>0</v>
      </c>
      <c r="U2536" s="1"/>
      <c r="V2536" s="1"/>
    </row>
    <row r="2537" spans="1:22" x14ac:dyDescent="0.3">
      <c r="A2537" s="1"/>
      <c r="B2537" s="1"/>
      <c r="C2537" s="1"/>
      <c r="D2537" s="1"/>
      <c r="E2537" s="1"/>
      <c r="F2537" s="124" t="s">
        <v>187</v>
      </c>
      <c r="G2537" s="1"/>
      <c r="H2537" s="1"/>
      <c r="I2537" s="1"/>
      <c r="J2537" s="124">
        <f>J2536*18/100</f>
        <v>11016</v>
      </c>
      <c r="K2537" s="1"/>
      <c r="L2537" s="1"/>
      <c r="M2537" s="1"/>
      <c r="N2537" s="1"/>
      <c r="O2537" s="1"/>
      <c r="P2537" s="1"/>
      <c r="Q2537" s="201">
        <f t="shared" si="513"/>
        <v>0</v>
      </c>
      <c r="R2537" s="104">
        <v>0.18</v>
      </c>
      <c r="S2537" s="85">
        <f t="shared" si="514"/>
        <v>0</v>
      </c>
      <c r="T2537" s="85">
        <f t="shared" si="515"/>
        <v>0</v>
      </c>
      <c r="U2537" s="1"/>
      <c r="V2537" s="1"/>
    </row>
    <row r="2538" spans="1:22" x14ac:dyDescent="0.3">
      <c r="A2538" s="1"/>
      <c r="B2538" s="1"/>
      <c r="C2538" s="1"/>
      <c r="D2538" s="1"/>
      <c r="E2538" s="1"/>
      <c r="F2538" s="124" t="s">
        <v>41</v>
      </c>
      <c r="G2538" s="1"/>
      <c r="H2538" s="1"/>
      <c r="I2538" s="1"/>
      <c r="J2538" s="124">
        <f>SUM(J2536:J2537)</f>
        <v>72216</v>
      </c>
      <c r="K2538" s="1"/>
      <c r="L2538" s="1"/>
      <c r="M2538" s="1"/>
      <c r="N2538" s="1"/>
      <c r="O2538" s="1"/>
      <c r="P2538" s="1"/>
      <c r="Q2538" s="201">
        <f t="shared" si="513"/>
        <v>0</v>
      </c>
      <c r="R2538" s="104">
        <v>0.18</v>
      </c>
      <c r="S2538" s="85">
        <f t="shared" si="514"/>
        <v>0</v>
      </c>
      <c r="T2538" s="85">
        <f t="shared" si="515"/>
        <v>0</v>
      </c>
      <c r="U2538" s="1"/>
      <c r="V2538" s="1"/>
    </row>
    <row r="2539" spans="1:22" x14ac:dyDescent="0.3">
      <c r="A2539" s="1"/>
      <c r="B2539" s="1"/>
      <c r="C2539" s="1"/>
      <c r="D2539" s="1"/>
      <c r="E2539" s="1"/>
      <c r="F2539" s="124"/>
      <c r="G2539" s="1"/>
      <c r="H2539" s="1"/>
      <c r="I2539" s="1"/>
      <c r="J2539" s="124"/>
      <c r="K2539" s="1"/>
      <c r="L2539" s="1"/>
      <c r="M2539" s="1"/>
      <c r="N2539" s="1"/>
      <c r="O2539" s="1"/>
      <c r="P2539" s="1"/>
      <c r="Q2539" s="201"/>
      <c r="R2539" s="104"/>
      <c r="S2539" s="85"/>
      <c r="T2539" s="85"/>
      <c r="U2539" s="1"/>
      <c r="V2539" s="1"/>
    </row>
    <row r="2540" spans="1:22" ht="25.2" x14ac:dyDescent="0.3">
      <c r="A2540" s="1">
        <v>236</v>
      </c>
      <c r="B2540" s="1">
        <v>8600068717</v>
      </c>
      <c r="C2540" s="37">
        <v>46211</v>
      </c>
      <c r="D2540" s="1" t="s">
        <v>43</v>
      </c>
      <c r="E2540" s="1" t="s">
        <v>127</v>
      </c>
      <c r="F2540" s="22" t="s">
        <v>2654</v>
      </c>
      <c r="G2540" s="1">
        <v>5</v>
      </c>
      <c r="H2540" s="1" t="s">
        <v>28</v>
      </c>
      <c r="I2540" s="1">
        <v>236</v>
      </c>
      <c r="J2540" s="1">
        <f t="shared" si="510"/>
        <v>1180</v>
      </c>
      <c r="K2540" s="1"/>
      <c r="L2540" s="1"/>
      <c r="M2540" s="1"/>
      <c r="N2540" s="1"/>
      <c r="O2540" s="1"/>
      <c r="P2540" s="1"/>
      <c r="Q2540" s="201">
        <f t="shared" si="513"/>
        <v>0</v>
      </c>
      <c r="R2540" s="104">
        <v>0</v>
      </c>
      <c r="S2540" s="85">
        <f t="shared" si="514"/>
        <v>0</v>
      </c>
      <c r="T2540" s="85">
        <f t="shared" si="515"/>
        <v>0</v>
      </c>
      <c r="U2540" s="1"/>
      <c r="V2540" s="1"/>
    </row>
    <row r="2541" spans="1:22" ht="25.2" x14ac:dyDescent="0.3">
      <c r="A2541" s="1"/>
      <c r="B2541" s="1"/>
      <c r="C2541" s="1"/>
      <c r="D2541" s="1"/>
      <c r="E2541" s="1" t="s">
        <v>127</v>
      </c>
      <c r="F2541" s="22" t="s">
        <v>2655</v>
      </c>
      <c r="G2541" s="1">
        <v>25</v>
      </c>
      <c r="H2541" s="1" t="s">
        <v>28</v>
      </c>
      <c r="I2541" s="1">
        <v>297</v>
      </c>
      <c r="J2541" s="1">
        <f t="shared" si="510"/>
        <v>7425</v>
      </c>
      <c r="K2541" s="1"/>
      <c r="L2541" s="1"/>
      <c r="M2541" s="1"/>
      <c r="N2541" s="1"/>
      <c r="O2541" s="1"/>
      <c r="P2541" s="1"/>
      <c r="Q2541" s="201">
        <f t="shared" si="513"/>
        <v>0</v>
      </c>
      <c r="R2541" s="104">
        <v>0</v>
      </c>
      <c r="S2541" s="85">
        <f t="shared" si="514"/>
        <v>0</v>
      </c>
      <c r="T2541" s="85">
        <f t="shared" si="515"/>
        <v>0</v>
      </c>
      <c r="U2541" s="1"/>
      <c r="V2541" s="1"/>
    </row>
    <row r="2542" spans="1:22" ht="25.2" x14ac:dyDescent="0.3">
      <c r="A2542" s="1"/>
      <c r="B2542" s="1"/>
      <c r="C2542" s="1"/>
      <c r="D2542" s="1"/>
      <c r="E2542" s="1" t="s">
        <v>127</v>
      </c>
      <c r="F2542" s="22" t="s">
        <v>2656</v>
      </c>
      <c r="G2542" s="1">
        <v>3</v>
      </c>
      <c r="H2542" s="1" t="s">
        <v>28</v>
      </c>
      <c r="I2542" s="1">
        <v>302</v>
      </c>
      <c r="J2542" s="1">
        <f t="shared" si="510"/>
        <v>906</v>
      </c>
      <c r="K2542" s="1"/>
      <c r="L2542" s="1"/>
      <c r="M2542" s="1"/>
      <c r="N2542" s="1"/>
      <c r="O2542" s="1"/>
      <c r="P2542" s="1"/>
      <c r="Q2542" s="201">
        <f t="shared" si="513"/>
        <v>0</v>
      </c>
      <c r="R2542" s="104">
        <v>0</v>
      </c>
      <c r="S2542" s="85">
        <f t="shared" si="514"/>
        <v>0</v>
      </c>
      <c r="T2542" s="85">
        <f t="shared" si="515"/>
        <v>0</v>
      </c>
      <c r="U2542" s="1"/>
      <c r="V2542" s="1"/>
    </row>
    <row r="2543" spans="1:22" ht="25.2" x14ac:dyDescent="0.3">
      <c r="A2543" s="1"/>
      <c r="B2543" s="1"/>
      <c r="C2543" s="1"/>
      <c r="D2543" s="1"/>
      <c r="E2543" s="1" t="s">
        <v>127</v>
      </c>
      <c r="F2543" s="22" t="s">
        <v>2657</v>
      </c>
      <c r="G2543" s="1">
        <v>10</v>
      </c>
      <c r="H2543" s="1" t="s">
        <v>28</v>
      </c>
      <c r="I2543" s="1">
        <v>470</v>
      </c>
      <c r="J2543" s="1">
        <f t="shared" si="510"/>
        <v>4700</v>
      </c>
      <c r="K2543" s="1"/>
      <c r="L2543" s="1"/>
      <c r="M2543" s="1"/>
      <c r="N2543" s="1"/>
      <c r="O2543" s="1"/>
      <c r="P2543" s="1"/>
      <c r="Q2543" s="201">
        <f t="shared" si="513"/>
        <v>0</v>
      </c>
      <c r="R2543" s="104">
        <v>0</v>
      </c>
      <c r="S2543" s="85">
        <f t="shared" si="514"/>
        <v>0</v>
      </c>
      <c r="T2543" s="85">
        <f t="shared" si="515"/>
        <v>0</v>
      </c>
      <c r="U2543" s="1"/>
      <c r="V2543" s="1"/>
    </row>
    <row r="2544" spans="1:22" ht="25.2" x14ac:dyDescent="0.3">
      <c r="A2544" s="1"/>
      <c r="B2544" s="1"/>
      <c r="C2544" s="1"/>
      <c r="D2544" s="1"/>
      <c r="E2544" s="1" t="s">
        <v>127</v>
      </c>
      <c r="F2544" s="22" t="s">
        <v>2658</v>
      </c>
      <c r="G2544" s="1">
        <v>4</v>
      </c>
      <c r="H2544" s="1" t="s">
        <v>28</v>
      </c>
      <c r="I2544" s="1">
        <v>297</v>
      </c>
      <c r="J2544" s="1">
        <f t="shared" si="510"/>
        <v>1188</v>
      </c>
      <c r="K2544" s="1"/>
      <c r="L2544" s="1"/>
      <c r="M2544" s="1"/>
      <c r="N2544" s="1"/>
      <c r="O2544" s="1"/>
      <c r="P2544" s="1"/>
      <c r="Q2544" s="201">
        <f t="shared" si="513"/>
        <v>0</v>
      </c>
      <c r="R2544" s="104">
        <v>0</v>
      </c>
      <c r="S2544" s="85">
        <f t="shared" si="514"/>
        <v>0</v>
      </c>
      <c r="T2544" s="85">
        <f t="shared" si="515"/>
        <v>0</v>
      </c>
      <c r="U2544" s="1"/>
      <c r="V2544" s="1"/>
    </row>
    <row r="2545" spans="1:22" ht="25.2" x14ac:dyDescent="0.3">
      <c r="A2545" s="1"/>
      <c r="B2545" s="1"/>
      <c r="C2545" s="1"/>
      <c r="D2545" s="1"/>
      <c r="E2545" s="1" t="s">
        <v>127</v>
      </c>
      <c r="F2545" s="22" t="s">
        <v>2659</v>
      </c>
      <c r="G2545" s="1">
        <v>4</v>
      </c>
      <c r="H2545" s="1" t="s">
        <v>28</v>
      </c>
      <c r="I2545" s="1">
        <v>297</v>
      </c>
      <c r="J2545" s="1">
        <f t="shared" si="510"/>
        <v>1188</v>
      </c>
      <c r="K2545" s="1"/>
      <c r="L2545" s="1"/>
      <c r="M2545" s="1"/>
      <c r="N2545" s="1"/>
      <c r="O2545" s="1"/>
      <c r="P2545" s="1"/>
      <c r="Q2545" s="201">
        <f t="shared" si="513"/>
        <v>0</v>
      </c>
      <c r="R2545" s="104">
        <v>0</v>
      </c>
      <c r="S2545" s="85">
        <f t="shared" si="514"/>
        <v>0</v>
      </c>
      <c r="T2545" s="85">
        <f t="shared" si="515"/>
        <v>0</v>
      </c>
      <c r="U2545" s="1"/>
      <c r="V2545" s="1"/>
    </row>
    <row r="2546" spans="1:22" ht="25.2" x14ac:dyDescent="0.3">
      <c r="A2546" s="1"/>
      <c r="B2546" s="1"/>
      <c r="C2546" s="1"/>
      <c r="D2546" s="1"/>
      <c r="E2546" s="1" t="s">
        <v>127</v>
      </c>
      <c r="F2546" s="22" t="s">
        <v>2660</v>
      </c>
      <c r="G2546" s="1">
        <v>5</v>
      </c>
      <c r="H2546" s="1" t="s">
        <v>28</v>
      </c>
      <c r="I2546" s="1">
        <v>302</v>
      </c>
      <c r="J2546" s="1">
        <f t="shared" si="510"/>
        <v>1510</v>
      </c>
      <c r="K2546" s="1"/>
      <c r="L2546" s="1"/>
      <c r="M2546" s="1"/>
      <c r="N2546" s="1"/>
      <c r="O2546" s="1"/>
      <c r="P2546" s="1"/>
      <c r="Q2546" s="201">
        <f t="shared" si="513"/>
        <v>0</v>
      </c>
      <c r="R2546" s="104">
        <v>0</v>
      </c>
      <c r="S2546" s="85">
        <f t="shared" si="514"/>
        <v>0</v>
      </c>
      <c r="T2546" s="85">
        <f t="shared" si="515"/>
        <v>0</v>
      </c>
      <c r="U2546" s="1"/>
      <c r="V2546" s="1"/>
    </row>
    <row r="2547" spans="1:22" ht="25.2" x14ac:dyDescent="0.3">
      <c r="A2547" s="1"/>
      <c r="B2547" s="1"/>
      <c r="C2547" s="1"/>
      <c r="D2547" s="1"/>
      <c r="E2547" s="1" t="s">
        <v>127</v>
      </c>
      <c r="F2547" s="22" t="s">
        <v>2661</v>
      </c>
      <c r="G2547" s="1">
        <v>14</v>
      </c>
      <c r="H2547" s="1" t="s">
        <v>28</v>
      </c>
      <c r="I2547" s="1">
        <v>351</v>
      </c>
      <c r="J2547" s="1">
        <f t="shared" si="510"/>
        <v>4914</v>
      </c>
      <c r="K2547" s="1"/>
      <c r="L2547" s="1"/>
      <c r="M2547" s="1"/>
      <c r="N2547" s="1"/>
      <c r="O2547" s="1"/>
      <c r="P2547" s="1"/>
      <c r="Q2547" s="201">
        <f t="shared" si="513"/>
        <v>0</v>
      </c>
      <c r="R2547" s="104">
        <v>0</v>
      </c>
      <c r="S2547" s="85">
        <f t="shared" si="514"/>
        <v>0</v>
      </c>
      <c r="T2547" s="85">
        <f t="shared" si="515"/>
        <v>0</v>
      </c>
      <c r="U2547" s="1"/>
      <c r="V2547" s="1"/>
    </row>
    <row r="2548" spans="1:22" ht="25.2" x14ac:dyDescent="0.3">
      <c r="A2548" s="1"/>
      <c r="B2548" s="1"/>
      <c r="C2548" s="1"/>
      <c r="D2548" s="1"/>
      <c r="E2548" s="1" t="s">
        <v>127</v>
      </c>
      <c r="F2548" s="22" t="s">
        <v>2662</v>
      </c>
      <c r="G2548" s="1">
        <v>11</v>
      </c>
      <c r="H2548" s="1" t="s">
        <v>28</v>
      </c>
      <c r="I2548" s="1">
        <v>470</v>
      </c>
      <c r="J2548" s="1">
        <f t="shared" si="510"/>
        <v>5170</v>
      </c>
      <c r="K2548" s="1"/>
      <c r="L2548" s="1"/>
      <c r="M2548" s="1"/>
      <c r="N2548" s="1"/>
      <c r="O2548" s="1"/>
      <c r="P2548" s="1"/>
      <c r="Q2548" s="201">
        <f t="shared" si="513"/>
        <v>0</v>
      </c>
      <c r="R2548" s="104">
        <v>0</v>
      </c>
      <c r="S2548" s="85">
        <f t="shared" si="514"/>
        <v>0</v>
      </c>
      <c r="T2548" s="85">
        <f t="shared" si="515"/>
        <v>0</v>
      </c>
      <c r="U2548" s="1"/>
      <c r="V2548" s="1"/>
    </row>
    <row r="2549" spans="1:22" ht="25.2" x14ac:dyDescent="0.3">
      <c r="A2549" s="1"/>
      <c r="B2549" s="1"/>
      <c r="C2549" s="1"/>
      <c r="D2549" s="1"/>
      <c r="E2549" s="1" t="s">
        <v>127</v>
      </c>
      <c r="F2549" s="22" t="s">
        <v>2663</v>
      </c>
      <c r="G2549" s="1">
        <v>3</v>
      </c>
      <c r="H2549" s="1" t="s">
        <v>28</v>
      </c>
      <c r="I2549" s="1">
        <v>1950</v>
      </c>
      <c r="J2549" s="1">
        <f t="shared" si="510"/>
        <v>5850</v>
      </c>
      <c r="K2549" s="1"/>
      <c r="L2549" s="1"/>
      <c r="M2549" s="1"/>
      <c r="N2549" s="1"/>
      <c r="O2549" s="1"/>
      <c r="P2549" s="1"/>
      <c r="Q2549" s="201">
        <f t="shared" si="513"/>
        <v>0</v>
      </c>
      <c r="R2549" s="104">
        <v>0</v>
      </c>
      <c r="S2549" s="85">
        <f t="shared" si="514"/>
        <v>0</v>
      </c>
      <c r="T2549" s="85">
        <f t="shared" si="515"/>
        <v>0</v>
      </c>
      <c r="U2549" s="1"/>
      <c r="V2549" s="1"/>
    </row>
    <row r="2550" spans="1:22" ht="25.2" x14ac:dyDescent="0.3">
      <c r="A2550" s="1"/>
      <c r="B2550" s="1"/>
      <c r="C2550" s="1"/>
      <c r="D2550" s="1"/>
      <c r="E2550" s="1" t="s">
        <v>127</v>
      </c>
      <c r="F2550" s="22" t="s">
        <v>2664</v>
      </c>
      <c r="G2550" s="1">
        <v>52</v>
      </c>
      <c r="H2550" s="1" t="s">
        <v>28</v>
      </c>
      <c r="I2550" s="1">
        <v>791</v>
      </c>
      <c r="J2550" s="1">
        <f t="shared" si="510"/>
        <v>41132</v>
      </c>
      <c r="K2550" s="1"/>
      <c r="L2550" s="1"/>
      <c r="M2550" s="1"/>
      <c r="N2550" s="1"/>
      <c r="O2550" s="1"/>
      <c r="P2550" s="1"/>
      <c r="Q2550" s="201">
        <f t="shared" si="513"/>
        <v>0</v>
      </c>
      <c r="R2550" s="104">
        <v>0</v>
      </c>
      <c r="S2550" s="85">
        <f t="shared" si="514"/>
        <v>0</v>
      </c>
      <c r="T2550" s="85">
        <f t="shared" si="515"/>
        <v>0</v>
      </c>
      <c r="U2550" s="1"/>
      <c r="V2550" s="1"/>
    </row>
    <row r="2551" spans="1:22" ht="25.2" x14ac:dyDescent="0.3">
      <c r="A2551" s="1"/>
      <c r="B2551" s="1"/>
      <c r="C2551" s="1"/>
      <c r="D2551" s="1"/>
      <c r="E2551" s="1" t="s">
        <v>127</v>
      </c>
      <c r="F2551" s="22" t="s">
        <v>2665</v>
      </c>
      <c r="G2551" s="1">
        <v>2</v>
      </c>
      <c r="H2551" s="1" t="s">
        <v>28</v>
      </c>
      <c r="I2551" s="1">
        <v>1528</v>
      </c>
      <c r="J2551" s="1">
        <f t="shared" si="510"/>
        <v>3056</v>
      </c>
      <c r="K2551" s="1"/>
      <c r="L2551" s="1"/>
      <c r="M2551" s="1"/>
      <c r="N2551" s="1"/>
      <c r="O2551" s="1"/>
      <c r="P2551" s="1"/>
      <c r="Q2551" s="201">
        <f t="shared" si="513"/>
        <v>0</v>
      </c>
      <c r="R2551" s="104">
        <v>0</v>
      </c>
      <c r="S2551" s="85">
        <f t="shared" si="514"/>
        <v>0</v>
      </c>
      <c r="T2551" s="85">
        <f t="shared" si="515"/>
        <v>0</v>
      </c>
      <c r="U2551" s="1"/>
      <c r="V2551" s="1"/>
    </row>
    <row r="2552" spans="1:22" ht="25.2" x14ac:dyDescent="0.3">
      <c r="A2552" s="1"/>
      <c r="B2552" s="1"/>
      <c r="C2552" s="1"/>
      <c r="D2552" s="1"/>
      <c r="E2552" s="1" t="s">
        <v>127</v>
      </c>
      <c r="F2552" s="22" t="s">
        <v>2666</v>
      </c>
      <c r="G2552" s="1">
        <v>8</v>
      </c>
      <c r="H2552" s="1" t="s">
        <v>28</v>
      </c>
      <c r="I2552" s="1">
        <v>945</v>
      </c>
      <c r="J2552" s="1">
        <f t="shared" si="510"/>
        <v>7560</v>
      </c>
      <c r="K2552" s="1"/>
      <c r="L2552" s="1"/>
      <c r="M2552" s="1"/>
      <c r="N2552" s="1"/>
      <c r="O2552" s="1"/>
      <c r="P2552" s="1"/>
      <c r="Q2552" s="201">
        <f t="shared" si="513"/>
        <v>0</v>
      </c>
      <c r="R2552" s="104">
        <v>0</v>
      </c>
      <c r="S2552" s="85">
        <f t="shared" si="514"/>
        <v>0</v>
      </c>
      <c r="T2552" s="85">
        <f t="shared" si="515"/>
        <v>0</v>
      </c>
      <c r="U2552" s="1"/>
      <c r="V2552" s="1"/>
    </row>
    <row r="2553" spans="1:22" ht="25.2" x14ac:dyDescent="0.3">
      <c r="A2553" s="1"/>
      <c r="B2553" s="1"/>
      <c r="C2553" s="1"/>
      <c r="D2553" s="1"/>
      <c r="E2553" s="1" t="s">
        <v>127</v>
      </c>
      <c r="F2553" s="22" t="s">
        <v>2667</v>
      </c>
      <c r="G2553" s="1">
        <v>6</v>
      </c>
      <c r="H2553" s="1" t="s">
        <v>28</v>
      </c>
      <c r="I2553" s="1">
        <v>1112</v>
      </c>
      <c r="J2553" s="1">
        <f t="shared" si="510"/>
        <v>6672</v>
      </c>
      <c r="K2553" s="1"/>
      <c r="L2553" s="1"/>
      <c r="M2553" s="1"/>
      <c r="N2553" s="1"/>
      <c r="O2553" s="1"/>
      <c r="P2553" s="1"/>
      <c r="Q2553" s="201">
        <f t="shared" si="513"/>
        <v>0</v>
      </c>
      <c r="R2553" s="104">
        <v>0</v>
      </c>
      <c r="S2553" s="85">
        <f t="shared" si="514"/>
        <v>0</v>
      </c>
      <c r="T2553" s="85">
        <f t="shared" si="515"/>
        <v>0</v>
      </c>
      <c r="U2553" s="1"/>
      <c r="V2553" s="1"/>
    </row>
    <row r="2554" spans="1:22" ht="25.2" x14ac:dyDescent="0.3">
      <c r="A2554" s="1"/>
      <c r="B2554" s="1"/>
      <c r="C2554" s="1"/>
      <c r="D2554" s="1"/>
      <c r="E2554" s="1" t="s">
        <v>127</v>
      </c>
      <c r="F2554" s="22" t="s">
        <v>2668</v>
      </c>
      <c r="G2554" s="1">
        <v>2</v>
      </c>
      <c r="H2554" s="1" t="s">
        <v>28</v>
      </c>
      <c r="I2554" s="1">
        <v>1528</v>
      </c>
      <c r="J2554" s="1">
        <f t="shared" si="510"/>
        <v>3056</v>
      </c>
      <c r="K2554" s="1"/>
      <c r="L2554" s="1"/>
      <c r="M2554" s="1"/>
      <c r="N2554" s="1"/>
      <c r="O2554" s="1"/>
      <c r="P2554" s="1"/>
      <c r="Q2554" s="201">
        <f t="shared" si="513"/>
        <v>0</v>
      </c>
      <c r="R2554" s="104">
        <v>0</v>
      </c>
      <c r="S2554" s="85">
        <f t="shared" si="514"/>
        <v>0</v>
      </c>
      <c r="T2554" s="85">
        <f t="shared" si="515"/>
        <v>0</v>
      </c>
      <c r="U2554" s="1"/>
      <c r="V2554" s="1"/>
    </row>
    <row r="2555" spans="1:22" ht="25.2" x14ac:dyDescent="0.3">
      <c r="A2555" s="1"/>
      <c r="B2555" s="1"/>
      <c r="C2555" s="1"/>
      <c r="D2555" s="1"/>
      <c r="E2555" s="1" t="s">
        <v>127</v>
      </c>
      <c r="F2555" s="22" t="s">
        <v>2669</v>
      </c>
      <c r="G2555" s="1">
        <v>2</v>
      </c>
      <c r="H2555" s="1" t="s">
        <v>28</v>
      </c>
      <c r="I2555" s="1">
        <v>1528</v>
      </c>
      <c r="J2555" s="1">
        <f t="shared" si="510"/>
        <v>3056</v>
      </c>
      <c r="K2555" s="1"/>
      <c r="L2555" s="1"/>
      <c r="M2555" s="1"/>
      <c r="N2555" s="1"/>
      <c r="O2555" s="1"/>
      <c r="P2555" s="1"/>
      <c r="Q2555" s="201">
        <f t="shared" si="513"/>
        <v>0</v>
      </c>
      <c r="R2555" s="104">
        <v>0</v>
      </c>
      <c r="S2555" s="85">
        <f t="shared" si="514"/>
        <v>0</v>
      </c>
      <c r="T2555" s="85">
        <f t="shared" si="515"/>
        <v>0</v>
      </c>
      <c r="U2555" s="1"/>
      <c r="V2555" s="1"/>
    </row>
    <row r="2556" spans="1:22" ht="25.2" x14ac:dyDescent="0.3">
      <c r="A2556" s="1"/>
      <c r="B2556" s="1"/>
      <c r="C2556" s="1"/>
      <c r="D2556" s="1"/>
      <c r="E2556" s="1" t="s">
        <v>127</v>
      </c>
      <c r="F2556" s="22" t="s">
        <v>2670</v>
      </c>
      <c r="G2556" s="1">
        <v>20</v>
      </c>
      <c r="H2556" s="1" t="s">
        <v>28</v>
      </c>
      <c r="I2556" s="1">
        <v>1950</v>
      </c>
      <c r="J2556" s="1">
        <f t="shared" si="510"/>
        <v>39000</v>
      </c>
      <c r="K2556" s="1"/>
      <c r="L2556" s="1"/>
      <c r="M2556" s="1"/>
      <c r="N2556" s="1"/>
      <c r="O2556" s="1"/>
      <c r="P2556" s="1"/>
      <c r="Q2556" s="201">
        <f t="shared" si="513"/>
        <v>0</v>
      </c>
      <c r="R2556" s="104">
        <v>0</v>
      </c>
      <c r="S2556" s="85">
        <f t="shared" si="514"/>
        <v>0</v>
      </c>
      <c r="T2556" s="85">
        <f t="shared" si="515"/>
        <v>0</v>
      </c>
      <c r="U2556" s="1"/>
      <c r="V2556" s="1"/>
    </row>
    <row r="2557" spans="1:22" x14ac:dyDescent="0.3">
      <c r="A2557" s="1"/>
      <c r="B2557" s="1"/>
      <c r="C2557" s="1"/>
      <c r="D2557" s="1"/>
      <c r="E2557" s="1"/>
      <c r="F2557" s="124" t="s">
        <v>39</v>
      </c>
      <c r="G2557" s="1"/>
      <c r="H2557" s="1"/>
      <c r="I2557" s="1"/>
      <c r="J2557" s="124">
        <f>SUM(J2540:J2556)</f>
        <v>137563</v>
      </c>
      <c r="K2557" s="1"/>
      <c r="L2557" s="1"/>
      <c r="M2557" s="1"/>
      <c r="N2557" s="1"/>
      <c r="O2557" s="1"/>
      <c r="P2557" s="1"/>
      <c r="Q2557" s="201"/>
      <c r="R2557" s="104"/>
      <c r="S2557" s="85"/>
      <c r="T2557" s="85"/>
      <c r="U2557" s="1"/>
      <c r="V2557" s="1"/>
    </row>
    <row r="2558" spans="1:22" x14ac:dyDescent="0.3">
      <c r="A2558" s="1"/>
      <c r="B2558" s="1"/>
      <c r="C2558" s="1"/>
      <c r="D2558" s="1"/>
      <c r="E2558" s="1"/>
      <c r="F2558" s="124" t="s">
        <v>599</v>
      </c>
      <c r="G2558" s="1"/>
      <c r="H2558" s="1"/>
      <c r="I2558" s="1"/>
      <c r="J2558" s="124">
        <f>J2557*0/100</f>
        <v>0</v>
      </c>
      <c r="K2558" s="1"/>
      <c r="L2558" s="1"/>
      <c r="M2558" s="1"/>
      <c r="N2558" s="1"/>
      <c r="O2558" s="1"/>
      <c r="P2558" s="1"/>
      <c r="Q2558" s="201"/>
      <c r="R2558" s="104"/>
      <c r="S2558" s="85"/>
      <c r="T2558" s="85"/>
      <c r="U2558" s="1"/>
      <c r="V2558" s="1"/>
    </row>
    <row r="2559" spans="1:22" x14ac:dyDescent="0.3">
      <c r="A2559" s="1"/>
      <c r="B2559" s="1"/>
      <c r="C2559" s="1"/>
      <c r="D2559" s="1"/>
      <c r="E2559" s="1"/>
      <c r="F2559" s="124" t="s">
        <v>41</v>
      </c>
      <c r="G2559" s="1"/>
      <c r="H2559" s="1"/>
      <c r="I2559" s="1"/>
      <c r="J2559" s="124">
        <f>SUM(J2557:J2558)</f>
        <v>137563</v>
      </c>
      <c r="K2559" s="1"/>
      <c r="L2559" s="1"/>
      <c r="M2559" s="1"/>
      <c r="N2559" s="1"/>
      <c r="O2559" s="1"/>
      <c r="P2559" s="1"/>
      <c r="Q2559" s="201"/>
      <c r="R2559" s="104"/>
      <c r="S2559" s="85"/>
      <c r="T2559" s="85"/>
      <c r="U2559" s="1"/>
      <c r="V2559" s="1"/>
    </row>
    <row r="2560" spans="1:22" x14ac:dyDescent="0.3">
      <c r="A2560" s="1"/>
      <c r="B2560" s="1"/>
      <c r="C2560" s="1"/>
      <c r="D2560" s="1"/>
      <c r="E2560" s="1"/>
      <c r="F2560" s="124"/>
      <c r="G2560" s="1"/>
      <c r="H2560" s="1"/>
      <c r="I2560" s="1"/>
      <c r="J2560" s="124"/>
      <c r="K2560" s="1"/>
      <c r="L2560" s="1"/>
      <c r="M2560" s="1"/>
      <c r="N2560" s="1"/>
      <c r="O2560" s="1"/>
      <c r="P2560" s="1"/>
      <c r="Q2560" s="201"/>
      <c r="R2560" s="104"/>
      <c r="S2560" s="85"/>
      <c r="T2560" s="85"/>
      <c r="U2560" s="1"/>
      <c r="V2560" s="1"/>
    </row>
    <row r="2561" spans="1:22" ht="25.2" x14ac:dyDescent="0.3">
      <c r="A2561" s="1">
        <v>237</v>
      </c>
      <c r="B2561" s="1">
        <v>8500042988</v>
      </c>
      <c r="C2561" s="37">
        <v>46334</v>
      </c>
      <c r="D2561" s="1" t="s">
        <v>300</v>
      </c>
      <c r="E2561" s="1" t="s">
        <v>127</v>
      </c>
      <c r="F2561" s="22" t="s">
        <v>2680</v>
      </c>
      <c r="G2561" s="1">
        <v>1</v>
      </c>
      <c r="H2561" s="1" t="s">
        <v>28</v>
      </c>
      <c r="I2561" s="1">
        <v>18000</v>
      </c>
      <c r="J2561" s="1">
        <f t="shared" si="510"/>
        <v>18000</v>
      </c>
      <c r="K2561" s="1"/>
      <c r="L2561" s="1"/>
      <c r="M2561" s="1"/>
      <c r="N2561" s="1"/>
      <c r="O2561" s="1"/>
      <c r="P2561" s="1"/>
      <c r="Q2561" s="201">
        <f t="shared" si="513"/>
        <v>0</v>
      </c>
      <c r="R2561" s="104">
        <v>0.18</v>
      </c>
      <c r="S2561" s="85">
        <f t="shared" si="514"/>
        <v>0</v>
      </c>
      <c r="T2561" s="85">
        <f t="shared" si="515"/>
        <v>0</v>
      </c>
      <c r="U2561" s="1"/>
      <c r="V2561" s="1"/>
    </row>
    <row r="2562" spans="1:22" x14ac:dyDescent="0.3">
      <c r="A2562" s="1"/>
      <c r="B2562" s="1"/>
      <c r="C2562" s="1"/>
      <c r="D2562" s="1"/>
      <c r="E2562" s="1"/>
      <c r="F2562" s="124" t="s">
        <v>39</v>
      </c>
      <c r="G2562" s="1"/>
      <c r="H2562" s="1"/>
      <c r="I2562" s="1"/>
      <c r="J2562" s="124">
        <f>SUM(J2561)</f>
        <v>18000</v>
      </c>
      <c r="K2562" s="1"/>
      <c r="L2562" s="1"/>
      <c r="M2562" s="1"/>
      <c r="N2562" s="1"/>
      <c r="O2562" s="1"/>
      <c r="P2562" s="1"/>
      <c r="Q2562" s="201"/>
      <c r="R2562" s="104"/>
      <c r="S2562" s="85"/>
      <c r="T2562" s="85"/>
      <c r="U2562" s="1"/>
      <c r="V2562" s="1"/>
    </row>
    <row r="2563" spans="1:22" x14ac:dyDescent="0.3">
      <c r="A2563" s="1"/>
      <c r="B2563" s="1"/>
      <c r="C2563" s="1"/>
      <c r="D2563" s="1"/>
      <c r="E2563" s="1"/>
      <c r="F2563" s="124" t="s">
        <v>187</v>
      </c>
      <c r="G2563" s="1"/>
      <c r="H2563" s="1"/>
      <c r="I2563" s="1"/>
      <c r="J2563" s="124">
        <f>J2562*18/100</f>
        <v>3240</v>
      </c>
      <c r="K2563" s="1"/>
      <c r="L2563" s="1"/>
      <c r="M2563" s="1"/>
      <c r="N2563" s="1"/>
      <c r="O2563" s="1"/>
      <c r="P2563" s="1"/>
      <c r="Q2563" s="201"/>
      <c r="R2563" s="104"/>
      <c r="S2563" s="85"/>
      <c r="T2563" s="85"/>
      <c r="U2563" s="1"/>
      <c r="V2563" s="1"/>
    </row>
    <row r="2564" spans="1:22" x14ac:dyDescent="0.3">
      <c r="A2564" s="1"/>
      <c r="B2564" s="1"/>
      <c r="C2564" s="1"/>
      <c r="D2564" s="1"/>
      <c r="E2564" s="1"/>
      <c r="F2564" s="124" t="s">
        <v>41</v>
      </c>
      <c r="G2564" s="1"/>
      <c r="H2564" s="1"/>
      <c r="I2564" s="1"/>
      <c r="J2564" s="124">
        <f>SUM(J2562:J2563)</f>
        <v>21240</v>
      </c>
      <c r="K2564" s="1"/>
      <c r="L2564" s="1"/>
      <c r="M2564" s="1"/>
      <c r="N2564" s="1"/>
      <c r="O2564" s="1"/>
      <c r="P2564" s="1"/>
      <c r="Q2564" s="201"/>
      <c r="R2564" s="104"/>
      <c r="S2564" s="85"/>
      <c r="T2564" s="85"/>
      <c r="U2564" s="1"/>
      <c r="V2564" s="1"/>
    </row>
    <row r="2565" spans="1:22" x14ac:dyDescent="0.3">
      <c r="A2565" s="1"/>
      <c r="B2565" s="1"/>
      <c r="C2565" s="1"/>
      <c r="D2565" s="1"/>
      <c r="E2565" s="1"/>
      <c r="F2565" s="124"/>
      <c r="G2565" s="1"/>
      <c r="H2565" s="1"/>
      <c r="I2565" s="1"/>
      <c r="J2565" s="124"/>
      <c r="K2565" s="1"/>
      <c r="L2565" s="1"/>
      <c r="M2565" s="1"/>
      <c r="N2565" s="1"/>
      <c r="O2565" s="1"/>
      <c r="P2565" s="1"/>
      <c r="Q2565" s="201"/>
      <c r="R2565" s="104"/>
      <c r="S2565" s="85"/>
      <c r="T2565" s="85"/>
      <c r="U2565" s="1"/>
      <c r="V2565" s="1"/>
    </row>
    <row r="2566" spans="1:22" ht="25.2" x14ac:dyDescent="0.3">
      <c r="A2566" s="1">
        <v>238</v>
      </c>
      <c r="B2566" s="1">
        <v>8100026302</v>
      </c>
      <c r="C2566" s="1" t="s">
        <v>2690</v>
      </c>
      <c r="D2566" s="1" t="s">
        <v>43</v>
      </c>
      <c r="E2566" s="1" t="s">
        <v>127</v>
      </c>
      <c r="F2566" s="22" t="s">
        <v>2691</v>
      </c>
      <c r="G2566" s="1">
        <v>16</v>
      </c>
      <c r="H2566" s="1" t="s">
        <v>28</v>
      </c>
      <c r="I2566" s="1">
        <v>2900</v>
      </c>
      <c r="J2566" s="1">
        <f t="shared" ref="J2566:J2588" si="516">G2566*I2566</f>
        <v>46400</v>
      </c>
      <c r="K2566" s="1"/>
      <c r="L2566" s="1"/>
      <c r="M2566" s="1"/>
      <c r="N2566" s="1"/>
      <c r="O2566" s="1"/>
      <c r="P2566" s="1"/>
      <c r="Q2566" s="201">
        <f t="shared" si="513"/>
        <v>0</v>
      </c>
      <c r="R2566" s="104">
        <v>0</v>
      </c>
      <c r="S2566" s="85">
        <f t="shared" si="514"/>
        <v>0</v>
      </c>
      <c r="T2566" s="85">
        <f t="shared" si="515"/>
        <v>0</v>
      </c>
      <c r="U2566" s="1"/>
      <c r="V2566" s="1"/>
    </row>
    <row r="2567" spans="1:22" x14ac:dyDescent="0.3">
      <c r="A2567" s="1"/>
      <c r="B2567" s="1"/>
      <c r="C2567" s="1"/>
      <c r="D2567" s="1"/>
      <c r="E2567" s="1" t="s">
        <v>127</v>
      </c>
      <c r="F2567" s="1" t="s">
        <v>2692</v>
      </c>
      <c r="G2567" s="1">
        <v>200</v>
      </c>
      <c r="H2567" s="1" t="s">
        <v>60</v>
      </c>
      <c r="I2567" s="1">
        <v>80</v>
      </c>
      <c r="J2567" s="1">
        <f t="shared" si="516"/>
        <v>16000</v>
      </c>
      <c r="K2567" s="1"/>
      <c r="L2567" s="1"/>
      <c r="M2567" s="1"/>
      <c r="N2567" s="1"/>
      <c r="O2567" s="1"/>
      <c r="P2567" s="1"/>
      <c r="Q2567" s="201">
        <f t="shared" si="513"/>
        <v>0</v>
      </c>
      <c r="R2567" s="104">
        <v>0</v>
      </c>
      <c r="S2567" s="85">
        <f t="shared" si="514"/>
        <v>0</v>
      </c>
      <c r="T2567" s="85">
        <f t="shared" si="515"/>
        <v>0</v>
      </c>
      <c r="U2567" s="1"/>
      <c r="V2567" s="1"/>
    </row>
    <row r="2568" spans="1:22" x14ac:dyDescent="0.3">
      <c r="A2568" s="1"/>
      <c r="B2568" s="1"/>
      <c r="C2568" s="1"/>
      <c r="D2568" s="1"/>
      <c r="E2568" s="1" t="s">
        <v>127</v>
      </c>
      <c r="F2568" s="1" t="s">
        <v>2693</v>
      </c>
      <c r="G2568" s="1">
        <v>16</v>
      </c>
      <c r="H2568" s="1" t="s">
        <v>28</v>
      </c>
      <c r="I2568" s="1">
        <v>30</v>
      </c>
      <c r="J2568" s="1">
        <f t="shared" si="516"/>
        <v>480</v>
      </c>
      <c r="K2568" s="1"/>
      <c r="L2568" s="1"/>
      <c r="M2568" s="1"/>
      <c r="N2568" s="1"/>
      <c r="O2568" s="1"/>
      <c r="P2568" s="1"/>
      <c r="Q2568" s="201">
        <f t="shared" si="513"/>
        <v>0</v>
      </c>
      <c r="R2568" s="104">
        <v>0</v>
      </c>
      <c r="S2568" s="85">
        <f t="shared" si="514"/>
        <v>0</v>
      </c>
      <c r="T2568" s="85">
        <f t="shared" si="515"/>
        <v>0</v>
      </c>
      <c r="U2568" s="1"/>
      <c r="V2568" s="1"/>
    </row>
    <row r="2569" spans="1:22" x14ac:dyDescent="0.3">
      <c r="A2569" s="1"/>
      <c r="B2569" s="1"/>
      <c r="C2569" s="1"/>
      <c r="D2569" s="1"/>
      <c r="E2569" s="1" t="s">
        <v>123</v>
      </c>
      <c r="F2569" s="1" t="s">
        <v>2694</v>
      </c>
      <c r="G2569" s="1">
        <v>16</v>
      </c>
      <c r="H2569" s="1" t="s">
        <v>28</v>
      </c>
      <c r="I2569" s="1">
        <v>1700</v>
      </c>
      <c r="J2569" s="1">
        <f t="shared" si="516"/>
        <v>27200</v>
      </c>
      <c r="K2569" s="1"/>
      <c r="L2569" s="1"/>
      <c r="M2569" s="1"/>
      <c r="N2569" s="1"/>
      <c r="O2569" s="1"/>
      <c r="P2569" s="1"/>
      <c r="Q2569" s="201">
        <f t="shared" si="513"/>
        <v>0</v>
      </c>
      <c r="R2569" s="104">
        <v>0</v>
      </c>
      <c r="S2569" s="85">
        <f t="shared" si="514"/>
        <v>0</v>
      </c>
      <c r="T2569" s="85">
        <f t="shared" si="515"/>
        <v>0</v>
      </c>
      <c r="U2569" s="1"/>
      <c r="V2569" s="1"/>
    </row>
    <row r="2570" spans="1:22" x14ac:dyDescent="0.3">
      <c r="A2570" s="1"/>
      <c r="B2570" s="1"/>
      <c r="C2570" s="1"/>
      <c r="D2570" s="1"/>
      <c r="E2570" s="1" t="s">
        <v>123</v>
      </c>
      <c r="F2570" s="1" t="s">
        <v>2695</v>
      </c>
      <c r="G2570" s="1">
        <v>200</v>
      </c>
      <c r="H2570" s="1" t="s">
        <v>60</v>
      </c>
      <c r="I2570" s="1">
        <v>35</v>
      </c>
      <c r="J2570" s="1">
        <f t="shared" si="516"/>
        <v>7000</v>
      </c>
      <c r="K2570" s="1"/>
      <c r="L2570" s="1"/>
      <c r="M2570" s="1"/>
      <c r="N2570" s="1"/>
      <c r="O2570" s="1"/>
      <c r="P2570" s="1"/>
      <c r="Q2570" s="201">
        <f t="shared" si="513"/>
        <v>0</v>
      </c>
      <c r="R2570" s="104">
        <v>0</v>
      </c>
      <c r="S2570" s="85">
        <f t="shared" si="514"/>
        <v>0</v>
      </c>
      <c r="T2570" s="85">
        <f t="shared" si="515"/>
        <v>0</v>
      </c>
      <c r="U2570" s="1"/>
      <c r="V2570" s="1"/>
    </row>
    <row r="2571" spans="1:22" x14ac:dyDescent="0.3">
      <c r="A2571" s="1"/>
      <c r="B2571" s="1"/>
      <c r="C2571" s="1"/>
      <c r="D2571" s="1"/>
      <c r="E2571" s="1" t="s">
        <v>123</v>
      </c>
      <c r="F2571" s="1" t="s">
        <v>2696</v>
      </c>
      <c r="G2571" s="1">
        <v>200</v>
      </c>
      <c r="H2571" s="1" t="s">
        <v>60</v>
      </c>
      <c r="I2571" s="1">
        <v>150</v>
      </c>
      <c r="J2571" s="1">
        <f t="shared" si="516"/>
        <v>30000</v>
      </c>
      <c r="K2571" s="1"/>
      <c r="L2571" s="1"/>
      <c r="M2571" s="1"/>
      <c r="N2571" s="1"/>
      <c r="O2571" s="1"/>
      <c r="P2571" s="1"/>
      <c r="Q2571" s="201">
        <f t="shared" si="513"/>
        <v>0</v>
      </c>
      <c r="R2571" s="104">
        <v>0</v>
      </c>
      <c r="S2571" s="85">
        <f t="shared" si="514"/>
        <v>0</v>
      </c>
      <c r="T2571" s="85">
        <f t="shared" si="515"/>
        <v>0</v>
      </c>
      <c r="U2571" s="1"/>
      <c r="V2571" s="1"/>
    </row>
    <row r="2572" spans="1:22" x14ac:dyDescent="0.3">
      <c r="A2572" s="1"/>
      <c r="B2572" s="1"/>
      <c r="C2572" s="1"/>
      <c r="D2572" s="1"/>
      <c r="E2572" s="1"/>
      <c r="F2572" s="124" t="s">
        <v>39</v>
      </c>
      <c r="G2572" s="1"/>
      <c r="H2572" s="1"/>
      <c r="I2572" s="1"/>
      <c r="J2572" s="124">
        <f>SUM(J2566:J2571)</f>
        <v>127080</v>
      </c>
      <c r="K2572" s="1"/>
      <c r="L2572" s="1"/>
      <c r="M2572" s="1"/>
      <c r="N2572" s="1"/>
      <c r="O2572" s="1"/>
      <c r="P2572" s="1"/>
      <c r="Q2572" s="201"/>
      <c r="R2572" s="104"/>
      <c r="S2572" s="85"/>
      <c r="T2572" s="85"/>
      <c r="U2572" s="1"/>
      <c r="V2572" s="1"/>
    </row>
    <row r="2573" spans="1:22" x14ac:dyDescent="0.3">
      <c r="A2573" s="1"/>
      <c r="B2573" s="1"/>
      <c r="C2573" s="1"/>
      <c r="D2573" s="1"/>
      <c r="E2573" s="1"/>
      <c r="F2573" s="124" t="s">
        <v>599</v>
      </c>
      <c r="G2573" s="1"/>
      <c r="H2573" s="1"/>
      <c r="I2573" s="1"/>
      <c r="J2573" s="124">
        <f>J2572*0/100</f>
        <v>0</v>
      </c>
      <c r="K2573" s="1"/>
      <c r="L2573" s="1"/>
      <c r="M2573" s="1"/>
      <c r="N2573" s="1"/>
      <c r="O2573" s="1"/>
      <c r="P2573" s="1"/>
      <c r="Q2573" s="201"/>
      <c r="R2573" s="104"/>
      <c r="S2573" s="85"/>
      <c r="T2573" s="85"/>
      <c r="U2573" s="1"/>
      <c r="V2573" s="1"/>
    </row>
    <row r="2574" spans="1:22" x14ac:dyDescent="0.3">
      <c r="A2574" s="1"/>
      <c r="B2574" s="1"/>
      <c r="C2574" s="1"/>
      <c r="D2574" s="1"/>
      <c r="E2574" s="1"/>
      <c r="F2574" s="124" t="s">
        <v>41</v>
      </c>
      <c r="G2574" s="1"/>
      <c r="H2574" s="1"/>
      <c r="I2574" s="1"/>
      <c r="J2574" s="124">
        <f>SUM(J2572:J2573)</f>
        <v>127080</v>
      </c>
      <c r="K2574" s="1"/>
      <c r="L2574" s="1"/>
      <c r="M2574" s="1"/>
      <c r="N2574" s="1"/>
      <c r="O2574" s="1"/>
      <c r="P2574" s="1"/>
      <c r="Q2574" s="201"/>
      <c r="R2574" s="104"/>
      <c r="S2574" s="85"/>
      <c r="T2574" s="85"/>
      <c r="U2574" s="1"/>
      <c r="V2574" s="1"/>
    </row>
    <row r="2575" spans="1:22" x14ac:dyDescent="0.3">
      <c r="A2575" s="1"/>
      <c r="B2575" s="1"/>
      <c r="C2575" s="1"/>
      <c r="D2575" s="1"/>
      <c r="E2575" s="1"/>
      <c r="F2575" s="124"/>
      <c r="G2575" s="1"/>
      <c r="H2575" s="1"/>
      <c r="I2575" s="1"/>
      <c r="J2575" s="124"/>
      <c r="K2575" s="1"/>
      <c r="L2575" s="1"/>
      <c r="M2575" s="1"/>
      <c r="N2575" s="1"/>
      <c r="O2575" s="1"/>
      <c r="P2575" s="1"/>
      <c r="Q2575" s="201"/>
      <c r="R2575" s="104"/>
      <c r="S2575" s="85"/>
      <c r="T2575" s="85"/>
      <c r="U2575" s="1"/>
      <c r="V2575" s="1"/>
    </row>
    <row r="2576" spans="1:22" ht="25.2" x14ac:dyDescent="0.3">
      <c r="A2576" s="1">
        <v>239</v>
      </c>
      <c r="B2576" s="1">
        <v>8600068911</v>
      </c>
      <c r="C2576" s="1" t="s">
        <v>2690</v>
      </c>
      <c r="D2576" s="1" t="s">
        <v>43</v>
      </c>
      <c r="E2576" s="1" t="s">
        <v>127</v>
      </c>
      <c r="F2576" s="22" t="s">
        <v>2697</v>
      </c>
      <c r="G2576" s="1">
        <v>2</v>
      </c>
      <c r="H2576" s="1" t="s">
        <v>28</v>
      </c>
      <c r="I2576" s="1">
        <v>14522</v>
      </c>
      <c r="J2576" s="1">
        <f t="shared" si="516"/>
        <v>29044</v>
      </c>
      <c r="K2576" s="1"/>
      <c r="L2576" s="1"/>
      <c r="M2576" s="1"/>
      <c r="N2576" s="1"/>
      <c r="O2576" s="1"/>
      <c r="P2576" s="1"/>
      <c r="Q2576" s="201">
        <f t="shared" si="513"/>
        <v>0</v>
      </c>
      <c r="R2576" s="104">
        <v>0</v>
      </c>
      <c r="S2576" s="85">
        <f t="shared" si="514"/>
        <v>0</v>
      </c>
      <c r="T2576" s="85">
        <f t="shared" si="515"/>
        <v>0</v>
      </c>
      <c r="U2576" s="1"/>
      <c r="V2576" s="1"/>
    </row>
    <row r="2577" spans="1:22" x14ac:dyDescent="0.3">
      <c r="A2577" s="1"/>
      <c r="B2577" s="1"/>
      <c r="C2577" s="1"/>
      <c r="D2577" s="1"/>
      <c r="E2577" s="1" t="s">
        <v>127</v>
      </c>
      <c r="F2577" s="22" t="s">
        <v>2698</v>
      </c>
      <c r="G2577" s="1">
        <v>4</v>
      </c>
      <c r="H2577" s="1" t="s">
        <v>28</v>
      </c>
      <c r="I2577" s="1">
        <v>280</v>
      </c>
      <c r="J2577" s="1">
        <f t="shared" si="516"/>
        <v>1120</v>
      </c>
      <c r="K2577" s="1"/>
      <c r="L2577" s="1"/>
      <c r="M2577" s="1"/>
      <c r="N2577" s="1"/>
      <c r="O2577" s="1"/>
      <c r="P2577" s="1"/>
      <c r="Q2577" s="201">
        <f t="shared" si="513"/>
        <v>0</v>
      </c>
      <c r="R2577" s="104">
        <v>0</v>
      </c>
      <c r="S2577" s="85">
        <f t="shared" si="514"/>
        <v>0</v>
      </c>
      <c r="T2577" s="85">
        <f t="shared" si="515"/>
        <v>0</v>
      </c>
      <c r="U2577" s="1"/>
      <c r="V2577" s="1"/>
    </row>
    <row r="2578" spans="1:22" x14ac:dyDescent="0.3">
      <c r="A2578" s="1"/>
      <c r="B2578" s="1"/>
      <c r="C2578" s="1"/>
      <c r="D2578" s="1"/>
      <c r="E2578" s="1" t="s">
        <v>127</v>
      </c>
      <c r="F2578" s="1" t="s">
        <v>2699</v>
      </c>
      <c r="G2578" s="1">
        <v>4</v>
      </c>
      <c r="H2578" s="1" t="s">
        <v>28</v>
      </c>
      <c r="I2578" s="1">
        <v>361</v>
      </c>
      <c r="J2578" s="1">
        <f t="shared" si="516"/>
        <v>1444</v>
      </c>
      <c r="K2578" s="1"/>
      <c r="L2578" s="1"/>
      <c r="M2578" s="1"/>
      <c r="N2578" s="1"/>
      <c r="O2578" s="1"/>
      <c r="P2578" s="1"/>
      <c r="Q2578" s="201">
        <f t="shared" si="513"/>
        <v>0</v>
      </c>
      <c r="R2578" s="104">
        <v>0</v>
      </c>
      <c r="S2578" s="85">
        <f t="shared" si="514"/>
        <v>0</v>
      </c>
      <c r="T2578" s="85">
        <f t="shared" si="515"/>
        <v>0</v>
      </c>
      <c r="U2578" s="1"/>
      <c r="V2578" s="1"/>
    </row>
    <row r="2579" spans="1:22" x14ac:dyDescent="0.3">
      <c r="A2579" s="1"/>
      <c r="B2579" s="1"/>
      <c r="C2579" s="1"/>
      <c r="D2579" s="1"/>
      <c r="E2579" s="1" t="s">
        <v>127</v>
      </c>
      <c r="F2579" s="1" t="s">
        <v>2700</v>
      </c>
      <c r="G2579" s="1">
        <v>2</v>
      </c>
      <c r="H2579" s="1" t="s">
        <v>28</v>
      </c>
      <c r="I2579" s="1">
        <v>480</v>
      </c>
      <c r="J2579" s="1">
        <f t="shared" si="516"/>
        <v>960</v>
      </c>
      <c r="K2579" s="1"/>
      <c r="L2579" s="1"/>
      <c r="M2579" s="1"/>
      <c r="N2579" s="1"/>
      <c r="O2579" s="1"/>
      <c r="P2579" s="1"/>
      <c r="Q2579" s="201">
        <f t="shared" si="513"/>
        <v>0</v>
      </c>
      <c r="R2579" s="104">
        <v>0</v>
      </c>
      <c r="S2579" s="85">
        <f t="shared" si="514"/>
        <v>0</v>
      </c>
      <c r="T2579" s="85">
        <f t="shared" si="515"/>
        <v>0</v>
      </c>
      <c r="U2579" s="1"/>
      <c r="V2579" s="1"/>
    </row>
    <row r="2580" spans="1:22" x14ac:dyDescent="0.3">
      <c r="A2580" s="1"/>
      <c r="B2580" s="1"/>
      <c r="C2580" s="1"/>
      <c r="D2580" s="1"/>
      <c r="E2580" s="1"/>
      <c r="F2580" s="124" t="s">
        <v>39</v>
      </c>
      <c r="G2580" s="1"/>
      <c r="H2580" s="1"/>
      <c r="I2580" s="1"/>
      <c r="J2580" s="124">
        <f>SUM(J2576:J2579)</f>
        <v>32568</v>
      </c>
      <c r="K2580" s="1"/>
      <c r="L2580" s="1"/>
      <c r="M2580" s="1"/>
      <c r="N2580" s="1"/>
      <c r="O2580" s="1"/>
      <c r="P2580" s="1"/>
      <c r="Q2580" s="201">
        <f t="shared" si="513"/>
        <v>0</v>
      </c>
      <c r="R2580" s="104">
        <v>0</v>
      </c>
      <c r="S2580" s="85">
        <f t="shared" si="514"/>
        <v>0</v>
      </c>
      <c r="T2580" s="85">
        <f t="shared" si="515"/>
        <v>0</v>
      </c>
      <c r="U2580" s="1"/>
      <c r="V2580" s="1"/>
    </row>
    <row r="2581" spans="1:22" x14ac:dyDescent="0.3">
      <c r="A2581" s="1"/>
      <c r="B2581" s="1"/>
      <c r="C2581" s="1"/>
      <c r="D2581" s="1"/>
      <c r="E2581" s="1"/>
      <c r="F2581" s="124" t="s">
        <v>599</v>
      </c>
      <c r="G2581" s="1"/>
      <c r="H2581" s="1"/>
      <c r="I2581" s="1"/>
      <c r="J2581" s="124">
        <f>J2580*0/100</f>
        <v>0</v>
      </c>
      <c r="K2581" s="1"/>
      <c r="L2581" s="1"/>
      <c r="M2581" s="1"/>
      <c r="N2581" s="1"/>
      <c r="O2581" s="1"/>
      <c r="P2581" s="1"/>
      <c r="Q2581" s="201">
        <f t="shared" si="513"/>
        <v>0</v>
      </c>
      <c r="R2581" s="104">
        <v>0</v>
      </c>
      <c r="S2581" s="85">
        <f t="shared" si="514"/>
        <v>0</v>
      </c>
      <c r="T2581" s="85">
        <f t="shared" si="515"/>
        <v>0</v>
      </c>
      <c r="U2581" s="1"/>
      <c r="V2581" s="1"/>
    </row>
    <row r="2582" spans="1:22" x14ac:dyDescent="0.3">
      <c r="A2582" s="1"/>
      <c r="B2582" s="1"/>
      <c r="C2582" s="1"/>
      <c r="D2582" s="1"/>
      <c r="E2582" s="1"/>
      <c r="F2582" s="124" t="s">
        <v>41</v>
      </c>
      <c r="G2582" s="1"/>
      <c r="H2582" s="1"/>
      <c r="I2582" s="1"/>
      <c r="J2582" s="124">
        <f>SUM(J2580:J2581)</f>
        <v>32568</v>
      </c>
      <c r="K2582" s="1"/>
      <c r="L2582" s="1"/>
      <c r="M2582" s="1"/>
      <c r="N2582" s="1"/>
      <c r="O2582" s="1"/>
      <c r="P2582" s="1"/>
      <c r="Q2582" s="201">
        <f t="shared" si="513"/>
        <v>0</v>
      </c>
      <c r="R2582" s="104">
        <v>0</v>
      </c>
      <c r="S2582" s="85">
        <f t="shared" si="514"/>
        <v>0</v>
      </c>
      <c r="T2582" s="85">
        <f t="shared" si="515"/>
        <v>0</v>
      </c>
      <c r="U2582" s="1"/>
      <c r="V2582" s="1"/>
    </row>
    <row r="2583" spans="1:22" x14ac:dyDescent="0.3">
      <c r="A2583" s="1"/>
      <c r="B2583" s="1"/>
      <c r="C2583" s="1"/>
      <c r="D2583" s="1"/>
      <c r="E2583" s="1"/>
      <c r="F2583" s="124"/>
      <c r="G2583" s="1"/>
      <c r="H2583" s="1"/>
      <c r="I2583" s="1"/>
      <c r="J2583" s="124"/>
      <c r="K2583" s="1"/>
      <c r="L2583" s="1"/>
      <c r="M2583" s="1"/>
      <c r="N2583" s="1"/>
      <c r="O2583" s="1"/>
      <c r="P2583" s="1"/>
      <c r="Q2583" s="201"/>
      <c r="R2583" s="104"/>
      <c r="S2583" s="85"/>
      <c r="T2583" s="85"/>
      <c r="U2583" s="1"/>
      <c r="V2583" s="1"/>
    </row>
    <row r="2584" spans="1:22" x14ac:dyDescent="0.3">
      <c r="A2584" s="1">
        <v>240</v>
      </c>
      <c r="B2584" s="1">
        <v>9200173425</v>
      </c>
      <c r="C2584" s="1" t="s">
        <v>2690</v>
      </c>
      <c r="D2584" s="1" t="s">
        <v>43</v>
      </c>
      <c r="E2584" s="1" t="s">
        <v>123</v>
      </c>
      <c r="F2584" s="1" t="s">
        <v>2703</v>
      </c>
      <c r="G2584" s="1">
        <v>18</v>
      </c>
      <c r="H2584" s="1" t="s">
        <v>60</v>
      </c>
      <c r="I2584" s="1">
        <v>450</v>
      </c>
      <c r="J2584" s="1">
        <f t="shared" si="516"/>
        <v>8100</v>
      </c>
      <c r="K2584" s="1"/>
      <c r="L2584" s="1"/>
      <c r="M2584" s="1"/>
      <c r="N2584" s="1"/>
      <c r="O2584" s="1"/>
      <c r="P2584" s="1"/>
      <c r="Q2584" s="201">
        <f t="shared" ref="Q2584:Q2593" si="517">O2584*P2584</f>
        <v>0</v>
      </c>
      <c r="R2584" s="104">
        <v>0</v>
      </c>
      <c r="S2584" s="85">
        <f t="shared" ref="S2584:S2593" si="518">Q2584*R2584</f>
        <v>0</v>
      </c>
      <c r="T2584" s="85">
        <f t="shared" ref="T2584:T2593" si="519">Q2584+S2584</f>
        <v>0</v>
      </c>
      <c r="U2584" s="1"/>
      <c r="V2584" s="1"/>
    </row>
    <row r="2585" spans="1:22" ht="25.2" x14ac:dyDescent="0.3">
      <c r="A2585" s="1"/>
      <c r="B2585" s="1"/>
      <c r="C2585" s="1"/>
      <c r="D2585" s="1"/>
      <c r="E2585" s="1" t="s">
        <v>123</v>
      </c>
      <c r="F2585" s="22" t="s">
        <v>2704</v>
      </c>
      <c r="G2585" s="1">
        <v>900</v>
      </c>
      <c r="H2585" s="1" t="s">
        <v>2705</v>
      </c>
      <c r="I2585" s="1">
        <v>40</v>
      </c>
      <c r="J2585" s="1">
        <f t="shared" si="516"/>
        <v>36000</v>
      </c>
      <c r="K2585" s="1"/>
      <c r="L2585" s="1"/>
      <c r="M2585" s="1"/>
      <c r="N2585" s="1"/>
      <c r="O2585" s="1"/>
      <c r="P2585" s="1"/>
      <c r="Q2585" s="201">
        <f t="shared" si="517"/>
        <v>0</v>
      </c>
      <c r="R2585" s="104">
        <v>0</v>
      </c>
      <c r="S2585" s="85">
        <f t="shared" si="518"/>
        <v>0</v>
      </c>
      <c r="T2585" s="85">
        <f t="shared" si="519"/>
        <v>0</v>
      </c>
      <c r="U2585" s="1"/>
      <c r="V2585" s="1"/>
    </row>
    <row r="2586" spans="1:22" ht="50.4" x14ac:dyDescent="0.3">
      <c r="A2586" s="1"/>
      <c r="B2586" s="1"/>
      <c r="C2586" s="1"/>
      <c r="D2586" s="1"/>
      <c r="E2586" s="1" t="s">
        <v>123</v>
      </c>
      <c r="F2586" s="22" t="s">
        <v>2706</v>
      </c>
      <c r="G2586" s="1">
        <v>100</v>
      </c>
      <c r="H2586" s="1" t="s">
        <v>111</v>
      </c>
      <c r="I2586" s="1">
        <v>180</v>
      </c>
      <c r="J2586" s="1">
        <f t="shared" si="516"/>
        <v>18000</v>
      </c>
      <c r="K2586" s="1"/>
      <c r="L2586" s="1"/>
      <c r="M2586" s="1"/>
      <c r="N2586" s="1"/>
      <c r="O2586" s="1"/>
      <c r="P2586" s="1"/>
      <c r="Q2586" s="201">
        <f t="shared" si="517"/>
        <v>0</v>
      </c>
      <c r="R2586" s="104">
        <v>0</v>
      </c>
      <c r="S2586" s="85">
        <f t="shared" si="518"/>
        <v>0</v>
      </c>
      <c r="T2586" s="85">
        <f t="shared" si="519"/>
        <v>0</v>
      </c>
      <c r="U2586" s="1"/>
      <c r="V2586" s="1"/>
    </row>
    <row r="2587" spans="1:22" ht="25.2" x14ac:dyDescent="0.3">
      <c r="A2587" s="1"/>
      <c r="B2587" s="1"/>
      <c r="C2587" s="1"/>
      <c r="D2587" s="1"/>
      <c r="E2587" s="1" t="s">
        <v>123</v>
      </c>
      <c r="F2587" s="22" t="s">
        <v>2707</v>
      </c>
      <c r="G2587" s="1">
        <v>1</v>
      </c>
      <c r="H2587" s="1" t="s">
        <v>225</v>
      </c>
      <c r="I2587" s="1">
        <v>8000</v>
      </c>
      <c r="J2587" s="1">
        <f t="shared" si="516"/>
        <v>8000</v>
      </c>
      <c r="K2587" s="1"/>
      <c r="L2587" s="1"/>
      <c r="M2587" s="1"/>
      <c r="N2587" s="1"/>
      <c r="O2587" s="1"/>
      <c r="P2587" s="1"/>
      <c r="Q2587" s="201">
        <f t="shared" si="517"/>
        <v>0</v>
      </c>
      <c r="R2587" s="104">
        <v>0</v>
      </c>
      <c r="S2587" s="85">
        <f t="shared" si="518"/>
        <v>0</v>
      </c>
      <c r="T2587" s="85">
        <f t="shared" si="519"/>
        <v>0</v>
      </c>
      <c r="U2587" s="1"/>
      <c r="V2587" s="1"/>
    </row>
    <row r="2588" spans="1:22" ht="37.799999999999997" x14ac:dyDescent="0.3">
      <c r="A2588" s="1"/>
      <c r="B2588" s="1"/>
      <c r="C2588" s="1"/>
      <c r="D2588" s="1"/>
      <c r="E2588" s="1" t="s">
        <v>123</v>
      </c>
      <c r="F2588" s="22" t="s">
        <v>2708</v>
      </c>
      <c r="G2588" s="1">
        <v>16</v>
      </c>
      <c r="H2588" s="1" t="s">
        <v>111</v>
      </c>
      <c r="I2588" s="1">
        <v>320</v>
      </c>
      <c r="J2588" s="1">
        <f t="shared" si="516"/>
        <v>5120</v>
      </c>
      <c r="K2588" s="1"/>
      <c r="L2588" s="1"/>
      <c r="M2588" s="1"/>
      <c r="N2588" s="1"/>
      <c r="O2588" s="1"/>
      <c r="P2588" s="1"/>
      <c r="Q2588" s="201">
        <f t="shared" si="517"/>
        <v>0</v>
      </c>
      <c r="R2588" s="104">
        <v>0</v>
      </c>
      <c r="S2588" s="85">
        <f t="shared" si="518"/>
        <v>0</v>
      </c>
      <c r="T2588" s="85">
        <f t="shared" si="519"/>
        <v>0</v>
      </c>
      <c r="U2588" s="1"/>
      <c r="V2588" s="1"/>
    </row>
    <row r="2589" spans="1:22" x14ac:dyDescent="0.3">
      <c r="A2589" s="1"/>
      <c r="B2589" s="1"/>
      <c r="C2589" s="1"/>
      <c r="D2589" s="1"/>
      <c r="E2589" s="1"/>
      <c r="F2589" s="124" t="s">
        <v>39</v>
      </c>
      <c r="G2589" s="1"/>
      <c r="H2589" s="1"/>
      <c r="I2589" s="1"/>
      <c r="J2589" s="124">
        <f>SUM(J2584:J2588)</f>
        <v>75220</v>
      </c>
      <c r="K2589" s="1"/>
      <c r="L2589" s="1"/>
      <c r="M2589" s="1"/>
      <c r="N2589" s="1"/>
      <c r="O2589" s="1"/>
      <c r="P2589" s="1"/>
      <c r="Q2589" s="201"/>
      <c r="R2589" s="104"/>
      <c r="S2589" s="85"/>
      <c r="T2589" s="85"/>
      <c r="U2589" s="1"/>
      <c r="V2589" s="1"/>
    </row>
    <row r="2590" spans="1:22" x14ac:dyDescent="0.3">
      <c r="A2590" s="1"/>
      <c r="B2590" s="1"/>
      <c r="C2590" s="1"/>
      <c r="D2590" s="1"/>
      <c r="E2590" s="1"/>
      <c r="F2590" s="124" t="s">
        <v>599</v>
      </c>
      <c r="G2590" s="1"/>
      <c r="H2590" s="1"/>
      <c r="I2590" s="1"/>
      <c r="J2590" s="124">
        <f>J2589*0/100</f>
        <v>0</v>
      </c>
      <c r="K2590" s="1"/>
      <c r="L2590" s="1"/>
      <c r="M2590" s="1"/>
      <c r="N2590" s="1"/>
      <c r="O2590" s="1"/>
      <c r="P2590" s="1"/>
      <c r="Q2590" s="201"/>
      <c r="R2590" s="104"/>
      <c r="S2590" s="85"/>
      <c r="T2590" s="85"/>
      <c r="U2590" s="1"/>
      <c r="V2590" s="1"/>
    </row>
    <row r="2591" spans="1:22" x14ac:dyDescent="0.3">
      <c r="A2591" s="1"/>
      <c r="B2591" s="1"/>
      <c r="C2591" s="1"/>
      <c r="D2591" s="1"/>
      <c r="E2591" s="1"/>
      <c r="F2591" s="124" t="s">
        <v>41</v>
      </c>
      <c r="G2591" s="1"/>
      <c r="H2591" s="1"/>
      <c r="I2591" s="1"/>
      <c r="J2591" s="124">
        <f>SUM(J2589:J2590)</f>
        <v>75220</v>
      </c>
      <c r="K2591" s="1"/>
      <c r="L2591" s="1"/>
      <c r="M2591" s="1"/>
      <c r="N2591" s="1"/>
      <c r="O2591" s="1"/>
      <c r="P2591" s="1"/>
      <c r="Q2591" s="201"/>
      <c r="R2591" s="104"/>
      <c r="S2591" s="85"/>
      <c r="T2591" s="85"/>
      <c r="U2591" s="1"/>
      <c r="V2591" s="1"/>
    </row>
    <row r="2592" spans="1:22" x14ac:dyDescent="0.3">
      <c r="A2592" s="1"/>
      <c r="B2592" s="1"/>
      <c r="C2592" s="1"/>
      <c r="D2592" s="1"/>
      <c r="E2592" s="1"/>
      <c r="F2592" s="124"/>
      <c r="G2592" s="1"/>
      <c r="H2592" s="1"/>
      <c r="I2592" s="1"/>
      <c r="J2592" s="124"/>
      <c r="K2592" s="1"/>
      <c r="L2592" s="1"/>
      <c r="M2592" s="1"/>
      <c r="N2592" s="1"/>
      <c r="O2592" s="1"/>
      <c r="P2592" s="1"/>
      <c r="Q2592" s="201"/>
      <c r="R2592" s="104"/>
      <c r="S2592" s="85"/>
      <c r="T2592" s="85"/>
      <c r="U2592" s="1"/>
      <c r="V2592" s="1"/>
    </row>
    <row r="2593" spans="1:22" ht="50.4" x14ac:dyDescent="0.3">
      <c r="A2593" s="1">
        <v>241</v>
      </c>
      <c r="B2593" s="1">
        <v>9200173554</v>
      </c>
      <c r="C2593" s="1" t="s">
        <v>2710</v>
      </c>
      <c r="D2593" s="1" t="s">
        <v>43</v>
      </c>
      <c r="E2593" s="1" t="s">
        <v>123</v>
      </c>
      <c r="F2593" s="22" t="s">
        <v>2711</v>
      </c>
      <c r="G2593" s="1">
        <v>300</v>
      </c>
      <c r="H2593" s="1" t="s">
        <v>252</v>
      </c>
      <c r="I2593" s="1">
        <v>185</v>
      </c>
      <c r="J2593" s="1">
        <f t="shared" si="510"/>
        <v>55500</v>
      </c>
      <c r="K2593" s="1"/>
      <c r="L2593" s="1"/>
      <c r="M2593" s="1"/>
      <c r="N2593" s="1"/>
      <c r="O2593" s="1"/>
      <c r="P2593" s="1"/>
      <c r="Q2593" s="201">
        <f t="shared" si="517"/>
        <v>0</v>
      </c>
      <c r="R2593" s="104">
        <v>0</v>
      </c>
      <c r="S2593" s="85">
        <f t="shared" si="518"/>
        <v>0</v>
      </c>
      <c r="T2593" s="85">
        <f t="shared" si="519"/>
        <v>0</v>
      </c>
      <c r="U2593" s="1"/>
      <c r="V2593" s="1"/>
    </row>
    <row r="2594" spans="1:22" ht="37.799999999999997" x14ac:dyDescent="0.3">
      <c r="A2594" s="1"/>
      <c r="B2594" s="1"/>
      <c r="C2594" s="1"/>
      <c r="D2594" s="1"/>
      <c r="E2594" s="1" t="s">
        <v>123</v>
      </c>
      <c r="F2594" s="22" t="s">
        <v>2712</v>
      </c>
      <c r="G2594" s="1">
        <v>140</v>
      </c>
      <c r="H2594" s="1" t="s">
        <v>252</v>
      </c>
      <c r="I2594" s="1">
        <v>30</v>
      </c>
      <c r="J2594" s="1">
        <f t="shared" ref="J2594:J2628" si="520">G2594*I2594</f>
        <v>4200</v>
      </c>
      <c r="K2594" s="1"/>
      <c r="L2594" s="1"/>
      <c r="M2594" s="1"/>
      <c r="N2594" s="1"/>
      <c r="O2594" s="1"/>
      <c r="P2594" s="1"/>
      <c r="Q2594" s="201">
        <f t="shared" ref="Q2594:Q2628" si="521">O2594*P2594</f>
        <v>0</v>
      </c>
      <c r="R2594" s="104">
        <v>0</v>
      </c>
      <c r="S2594" s="85">
        <f t="shared" ref="S2594:S2628" si="522">Q2594*R2594</f>
        <v>0</v>
      </c>
      <c r="T2594" s="85">
        <f t="shared" ref="T2594:T2628" si="523">Q2594+S2594</f>
        <v>0</v>
      </c>
      <c r="U2594" s="1"/>
      <c r="V2594" s="1"/>
    </row>
    <row r="2595" spans="1:22" ht="25.2" x14ac:dyDescent="0.3">
      <c r="A2595" s="1"/>
      <c r="B2595" s="1"/>
      <c r="C2595" s="1"/>
      <c r="D2595" s="1"/>
      <c r="E2595" s="1" t="s">
        <v>123</v>
      </c>
      <c r="F2595" s="22" t="s">
        <v>2713</v>
      </c>
      <c r="G2595" s="1">
        <v>80</v>
      </c>
      <c r="H2595" s="1" t="s">
        <v>252</v>
      </c>
      <c r="I2595" s="1">
        <v>1050</v>
      </c>
      <c r="J2595" s="1">
        <f t="shared" si="520"/>
        <v>84000</v>
      </c>
      <c r="K2595" s="1"/>
      <c r="L2595" s="1"/>
      <c r="M2595" s="1"/>
      <c r="N2595" s="1"/>
      <c r="O2595" s="1"/>
      <c r="P2595" s="1"/>
      <c r="Q2595" s="201">
        <f t="shared" si="521"/>
        <v>0</v>
      </c>
      <c r="R2595" s="104">
        <v>0</v>
      </c>
      <c r="S2595" s="85">
        <f t="shared" si="522"/>
        <v>0</v>
      </c>
      <c r="T2595" s="85">
        <f t="shared" si="523"/>
        <v>0</v>
      </c>
      <c r="U2595" s="1"/>
      <c r="V2595" s="1"/>
    </row>
    <row r="2596" spans="1:22" x14ac:dyDescent="0.3">
      <c r="A2596" s="1"/>
      <c r="B2596" s="1"/>
      <c r="C2596" s="1"/>
      <c r="D2596" s="1"/>
      <c r="E2596" s="1" t="s">
        <v>123</v>
      </c>
      <c r="F2596" s="22" t="s">
        <v>2714</v>
      </c>
      <c r="G2596" s="1">
        <v>240</v>
      </c>
      <c r="H2596" s="1" t="s">
        <v>252</v>
      </c>
      <c r="I2596" s="1">
        <v>85</v>
      </c>
      <c r="J2596" s="1">
        <f t="shared" si="520"/>
        <v>20400</v>
      </c>
      <c r="K2596" s="1"/>
      <c r="L2596" s="1"/>
      <c r="M2596" s="1"/>
      <c r="N2596" s="1"/>
      <c r="O2596" s="1"/>
      <c r="P2596" s="1"/>
      <c r="Q2596" s="201">
        <f t="shared" si="521"/>
        <v>0</v>
      </c>
      <c r="R2596" s="104">
        <v>0</v>
      </c>
      <c r="S2596" s="85">
        <f t="shared" si="522"/>
        <v>0</v>
      </c>
      <c r="T2596" s="85">
        <f t="shared" si="523"/>
        <v>0</v>
      </c>
      <c r="U2596" s="1"/>
      <c r="V2596" s="1"/>
    </row>
    <row r="2597" spans="1:22" x14ac:dyDescent="0.3">
      <c r="A2597" s="1"/>
      <c r="B2597" s="1"/>
      <c r="C2597" s="1"/>
      <c r="D2597" s="1"/>
      <c r="E2597" s="1" t="s">
        <v>123</v>
      </c>
      <c r="F2597" s="22" t="s">
        <v>2715</v>
      </c>
      <c r="G2597" s="1">
        <v>60</v>
      </c>
      <c r="H2597" s="1" t="s">
        <v>252</v>
      </c>
      <c r="I2597" s="1">
        <v>340</v>
      </c>
      <c r="J2597" s="1">
        <f t="shared" si="520"/>
        <v>20400</v>
      </c>
      <c r="K2597" s="1"/>
      <c r="L2597" s="1"/>
      <c r="M2597" s="1"/>
      <c r="N2597" s="1"/>
      <c r="O2597" s="1"/>
      <c r="P2597" s="1"/>
      <c r="Q2597" s="201">
        <f t="shared" si="521"/>
        <v>0</v>
      </c>
      <c r="R2597" s="104">
        <v>0</v>
      </c>
      <c r="S2597" s="85">
        <f t="shared" si="522"/>
        <v>0</v>
      </c>
      <c r="T2597" s="85">
        <f t="shared" si="523"/>
        <v>0</v>
      </c>
      <c r="U2597" s="1"/>
      <c r="V2597" s="1"/>
    </row>
    <row r="2598" spans="1:22" x14ac:dyDescent="0.3">
      <c r="A2598" s="1"/>
      <c r="B2598" s="1"/>
      <c r="C2598" s="1"/>
      <c r="D2598" s="1"/>
      <c r="E2598" s="1"/>
      <c r="F2598" s="124" t="s">
        <v>39</v>
      </c>
      <c r="G2598" s="1"/>
      <c r="H2598" s="1"/>
      <c r="I2598" s="1"/>
      <c r="J2598" s="124">
        <f>SUM(J2593:J2597)</f>
        <v>184500</v>
      </c>
      <c r="K2598" s="1"/>
      <c r="L2598" s="1"/>
      <c r="M2598" s="1"/>
      <c r="N2598" s="1"/>
      <c r="O2598" s="1"/>
      <c r="P2598" s="1"/>
      <c r="Q2598" s="201">
        <f t="shared" si="521"/>
        <v>0</v>
      </c>
      <c r="R2598" s="104">
        <v>0</v>
      </c>
      <c r="S2598" s="85">
        <f t="shared" si="522"/>
        <v>0</v>
      </c>
      <c r="T2598" s="85">
        <f t="shared" si="523"/>
        <v>0</v>
      </c>
      <c r="U2598" s="1"/>
      <c r="V2598" s="1"/>
    </row>
    <row r="2599" spans="1:22" x14ac:dyDescent="0.3">
      <c r="A2599" s="1"/>
      <c r="B2599" s="1"/>
      <c r="C2599" s="1"/>
      <c r="D2599" s="1"/>
      <c r="E2599" s="1"/>
      <c r="F2599" s="124" t="s">
        <v>599</v>
      </c>
      <c r="G2599" s="1"/>
      <c r="H2599" s="1"/>
      <c r="I2599" s="1"/>
      <c r="J2599" s="124">
        <f>J2598*0/100</f>
        <v>0</v>
      </c>
      <c r="K2599" s="1"/>
      <c r="L2599" s="1"/>
      <c r="M2599" s="1"/>
      <c r="N2599" s="1"/>
      <c r="O2599" s="1"/>
      <c r="P2599" s="1"/>
      <c r="Q2599" s="201">
        <f t="shared" si="521"/>
        <v>0</v>
      </c>
      <c r="R2599" s="104">
        <v>0</v>
      </c>
      <c r="S2599" s="85">
        <f t="shared" si="522"/>
        <v>0</v>
      </c>
      <c r="T2599" s="85">
        <f t="shared" si="523"/>
        <v>0</v>
      </c>
      <c r="U2599" s="1"/>
      <c r="V2599" s="1"/>
    </row>
    <row r="2600" spans="1:22" x14ac:dyDescent="0.3">
      <c r="A2600" s="1"/>
      <c r="B2600" s="1"/>
      <c r="C2600" s="1"/>
      <c r="D2600" s="1"/>
      <c r="E2600" s="1"/>
      <c r="F2600" s="124" t="s">
        <v>41</v>
      </c>
      <c r="G2600" s="1"/>
      <c r="H2600" s="1"/>
      <c r="I2600" s="1"/>
      <c r="J2600" s="124">
        <f>SUM(J2598:J2599)</f>
        <v>184500</v>
      </c>
      <c r="K2600" s="1"/>
      <c r="L2600" s="1"/>
      <c r="M2600" s="1"/>
      <c r="N2600" s="1"/>
      <c r="O2600" s="1"/>
      <c r="P2600" s="1"/>
      <c r="Q2600" s="201">
        <f t="shared" si="521"/>
        <v>0</v>
      </c>
      <c r="R2600" s="104">
        <v>0</v>
      </c>
      <c r="S2600" s="85">
        <f t="shared" si="522"/>
        <v>0</v>
      </c>
      <c r="T2600" s="85">
        <f t="shared" si="523"/>
        <v>0</v>
      </c>
      <c r="U2600" s="1"/>
      <c r="V2600" s="1"/>
    </row>
    <row r="2601" spans="1:22" x14ac:dyDescent="0.3">
      <c r="A2601" s="1"/>
      <c r="B2601" s="1"/>
      <c r="C2601" s="1"/>
      <c r="D2601" s="1"/>
      <c r="E2601" s="1"/>
      <c r="F2601" s="22"/>
      <c r="G2601" s="1"/>
      <c r="H2601" s="1"/>
      <c r="I2601" s="1"/>
      <c r="J2601" s="1">
        <f t="shared" si="520"/>
        <v>0</v>
      </c>
      <c r="K2601" s="1"/>
      <c r="L2601" s="1"/>
      <c r="M2601" s="1"/>
      <c r="N2601" s="1"/>
      <c r="O2601" s="1"/>
      <c r="P2601" s="1"/>
      <c r="Q2601" s="201">
        <f t="shared" si="521"/>
        <v>0</v>
      </c>
      <c r="R2601" s="104">
        <v>0</v>
      </c>
      <c r="S2601" s="85">
        <f t="shared" si="522"/>
        <v>0</v>
      </c>
      <c r="T2601" s="85">
        <f t="shared" si="523"/>
        <v>0</v>
      </c>
      <c r="U2601" s="1"/>
      <c r="V2601" s="1"/>
    </row>
    <row r="2602" spans="1:22" x14ac:dyDescent="0.3">
      <c r="A2602" s="1"/>
      <c r="B2602" s="1"/>
      <c r="C2602" s="1"/>
      <c r="D2602" s="1"/>
      <c r="E2602" s="1"/>
      <c r="F2602" s="22"/>
      <c r="G2602" s="1"/>
      <c r="H2602" s="1"/>
      <c r="I2602" s="1"/>
      <c r="J2602" s="1">
        <f t="shared" si="520"/>
        <v>0</v>
      </c>
      <c r="K2602" s="1"/>
      <c r="L2602" s="1"/>
      <c r="M2602" s="1"/>
      <c r="N2602" s="1"/>
      <c r="O2602" s="1"/>
      <c r="P2602" s="1"/>
      <c r="Q2602" s="201">
        <f t="shared" si="521"/>
        <v>0</v>
      </c>
      <c r="R2602" s="104">
        <v>0</v>
      </c>
      <c r="S2602" s="85">
        <f t="shared" si="522"/>
        <v>0</v>
      </c>
      <c r="T2602" s="85">
        <f t="shared" si="523"/>
        <v>0</v>
      </c>
      <c r="U2602" s="1"/>
      <c r="V2602" s="1"/>
    </row>
    <row r="2603" spans="1:22" x14ac:dyDescent="0.3">
      <c r="A2603" s="1"/>
      <c r="B2603" s="1"/>
      <c r="C2603" s="1"/>
      <c r="D2603" s="1"/>
      <c r="E2603" s="1"/>
      <c r="F2603" s="22"/>
      <c r="G2603" s="1"/>
      <c r="H2603" s="1"/>
      <c r="I2603" s="1"/>
      <c r="J2603" s="1">
        <f t="shared" si="520"/>
        <v>0</v>
      </c>
      <c r="K2603" s="1"/>
      <c r="L2603" s="1"/>
      <c r="M2603" s="1"/>
      <c r="N2603" s="1"/>
      <c r="O2603" s="1"/>
      <c r="P2603" s="1"/>
      <c r="Q2603" s="201">
        <f t="shared" si="521"/>
        <v>0</v>
      </c>
      <c r="R2603" s="104">
        <v>0</v>
      </c>
      <c r="S2603" s="85">
        <f t="shared" si="522"/>
        <v>0</v>
      </c>
      <c r="T2603" s="85">
        <f t="shared" si="523"/>
        <v>0</v>
      </c>
      <c r="U2603" s="1"/>
      <c r="V2603" s="1"/>
    </row>
    <row r="2604" spans="1:22" x14ac:dyDescent="0.3">
      <c r="A2604" s="1"/>
      <c r="B2604" s="1"/>
      <c r="C2604" s="1"/>
      <c r="D2604" s="1"/>
      <c r="E2604" s="1"/>
      <c r="F2604" s="22"/>
      <c r="G2604" s="1"/>
      <c r="H2604" s="1"/>
      <c r="I2604" s="1"/>
      <c r="J2604" s="1">
        <f t="shared" si="520"/>
        <v>0</v>
      </c>
      <c r="K2604" s="1"/>
      <c r="L2604" s="1"/>
      <c r="M2604" s="1"/>
      <c r="N2604" s="1"/>
      <c r="O2604" s="1"/>
      <c r="P2604" s="1"/>
      <c r="Q2604" s="201">
        <f t="shared" si="521"/>
        <v>0</v>
      </c>
      <c r="R2604" s="104">
        <v>0</v>
      </c>
      <c r="S2604" s="85">
        <f t="shared" si="522"/>
        <v>0</v>
      </c>
      <c r="T2604" s="85">
        <f t="shared" si="523"/>
        <v>0</v>
      </c>
      <c r="U2604" s="1"/>
      <c r="V2604" s="1"/>
    </row>
    <row r="2605" spans="1:22" x14ac:dyDescent="0.3">
      <c r="A2605" s="1"/>
      <c r="B2605" s="1"/>
      <c r="C2605" s="1"/>
      <c r="D2605" s="1"/>
      <c r="E2605" s="1"/>
      <c r="F2605" s="22"/>
      <c r="G2605" s="1"/>
      <c r="H2605" s="1"/>
      <c r="I2605" s="1"/>
      <c r="J2605" s="1">
        <f t="shared" si="520"/>
        <v>0</v>
      </c>
      <c r="K2605" s="1"/>
      <c r="L2605" s="1"/>
      <c r="M2605" s="1"/>
      <c r="N2605" s="1"/>
      <c r="O2605" s="1"/>
      <c r="P2605" s="1"/>
      <c r="Q2605" s="201">
        <f t="shared" si="521"/>
        <v>0</v>
      </c>
      <c r="R2605" s="104">
        <v>0</v>
      </c>
      <c r="S2605" s="85">
        <f t="shared" si="522"/>
        <v>0</v>
      </c>
      <c r="T2605" s="85">
        <f t="shared" si="523"/>
        <v>0</v>
      </c>
      <c r="U2605" s="1"/>
      <c r="V2605" s="1"/>
    </row>
    <row r="2606" spans="1:22" x14ac:dyDescent="0.3">
      <c r="A2606" s="1"/>
      <c r="B2606" s="1"/>
      <c r="C2606" s="1"/>
      <c r="D2606" s="1"/>
      <c r="E2606" s="1"/>
      <c r="F2606" s="22"/>
      <c r="G2606" s="1"/>
      <c r="H2606" s="1"/>
      <c r="I2606" s="1"/>
      <c r="J2606" s="1">
        <f t="shared" si="520"/>
        <v>0</v>
      </c>
      <c r="K2606" s="1"/>
      <c r="L2606" s="1"/>
      <c r="M2606" s="1"/>
      <c r="N2606" s="1"/>
      <c r="O2606" s="1"/>
      <c r="P2606" s="1"/>
      <c r="Q2606" s="201">
        <f t="shared" si="521"/>
        <v>0</v>
      </c>
      <c r="R2606" s="104">
        <v>0</v>
      </c>
      <c r="S2606" s="85">
        <f t="shared" si="522"/>
        <v>0</v>
      </c>
      <c r="T2606" s="85">
        <f t="shared" si="523"/>
        <v>0</v>
      </c>
      <c r="U2606" s="1"/>
      <c r="V2606" s="1"/>
    </row>
    <row r="2607" spans="1:22" x14ac:dyDescent="0.3">
      <c r="A2607" s="1"/>
      <c r="B2607" s="1"/>
      <c r="C2607" s="1"/>
      <c r="D2607" s="1"/>
      <c r="E2607" s="1"/>
      <c r="F2607" s="22"/>
      <c r="G2607" s="1"/>
      <c r="H2607" s="1"/>
      <c r="I2607" s="1"/>
      <c r="J2607" s="1">
        <f t="shared" si="520"/>
        <v>0</v>
      </c>
      <c r="K2607" s="1"/>
      <c r="L2607" s="1"/>
      <c r="M2607" s="1"/>
      <c r="N2607" s="1"/>
      <c r="O2607" s="1"/>
      <c r="P2607" s="1"/>
      <c r="Q2607" s="201">
        <f t="shared" si="521"/>
        <v>0</v>
      </c>
      <c r="R2607" s="104">
        <v>0</v>
      </c>
      <c r="S2607" s="85">
        <f t="shared" si="522"/>
        <v>0</v>
      </c>
      <c r="T2607" s="85">
        <f t="shared" si="523"/>
        <v>0</v>
      </c>
      <c r="U2607" s="1"/>
      <c r="V2607" s="1"/>
    </row>
    <row r="2608" spans="1:22" x14ac:dyDescent="0.3">
      <c r="A2608" s="1"/>
      <c r="B2608" s="1"/>
      <c r="C2608" s="1"/>
      <c r="D2608" s="1"/>
      <c r="E2608" s="1"/>
      <c r="F2608" s="22"/>
      <c r="G2608" s="1"/>
      <c r="H2608" s="1"/>
      <c r="I2608" s="1"/>
      <c r="J2608" s="1">
        <f t="shared" si="520"/>
        <v>0</v>
      </c>
      <c r="K2608" s="1"/>
      <c r="L2608" s="1"/>
      <c r="M2608" s="1"/>
      <c r="N2608" s="1"/>
      <c r="O2608" s="1"/>
      <c r="P2608" s="1"/>
      <c r="Q2608" s="201">
        <f t="shared" si="521"/>
        <v>0</v>
      </c>
      <c r="R2608" s="104">
        <v>0</v>
      </c>
      <c r="S2608" s="85">
        <f t="shared" si="522"/>
        <v>0</v>
      </c>
      <c r="T2608" s="85">
        <f t="shared" si="523"/>
        <v>0</v>
      </c>
      <c r="U2608" s="1"/>
      <c r="V2608" s="1"/>
    </row>
    <row r="2609" spans="1:22" x14ac:dyDescent="0.3">
      <c r="A2609" s="1"/>
      <c r="B2609" s="1"/>
      <c r="C2609" s="1"/>
      <c r="D2609" s="1"/>
      <c r="E2609" s="1"/>
      <c r="F2609" s="22"/>
      <c r="G2609" s="1"/>
      <c r="H2609" s="1"/>
      <c r="I2609" s="1"/>
      <c r="J2609" s="1">
        <f t="shared" si="520"/>
        <v>0</v>
      </c>
      <c r="K2609" s="1"/>
      <c r="L2609" s="1"/>
      <c r="M2609" s="1"/>
      <c r="N2609" s="1"/>
      <c r="O2609" s="1"/>
      <c r="P2609" s="1"/>
      <c r="Q2609" s="201">
        <f t="shared" si="521"/>
        <v>0</v>
      </c>
      <c r="R2609" s="104">
        <v>0</v>
      </c>
      <c r="S2609" s="85">
        <f t="shared" si="522"/>
        <v>0</v>
      </c>
      <c r="T2609" s="85">
        <f t="shared" si="523"/>
        <v>0</v>
      </c>
      <c r="U2609" s="1"/>
      <c r="V2609" s="1"/>
    </row>
    <row r="2610" spans="1:22" x14ac:dyDescent="0.3">
      <c r="A2610" s="1"/>
      <c r="B2610" s="1"/>
      <c r="C2610" s="1"/>
      <c r="D2610" s="1"/>
      <c r="E2610" s="1"/>
      <c r="F2610" s="22"/>
      <c r="G2610" s="1"/>
      <c r="H2610" s="1"/>
      <c r="I2610" s="1"/>
      <c r="J2610" s="1">
        <f t="shared" si="520"/>
        <v>0</v>
      </c>
      <c r="K2610" s="1"/>
      <c r="L2610" s="1"/>
      <c r="M2610" s="1"/>
      <c r="N2610" s="1"/>
      <c r="O2610" s="1"/>
      <c r="P2610" s="1"/>
      <c r="Q2610" s="201">
        <f t="shared" si="521"/>
        <v>0</v>
      </c>
      <c r="R2610" s="104">
        <v>0</v>
      </c>
      <c r="S2610" s="85">
        <f t="shared" si="522"/>
        <v>0</v>
      </c>
      <c r="T2610" s="85">
        <f t="shared" si="523"/>
        <v>0</v>
      </c>
      <c r="U2610" s="1"/>
      <c r="V2610" s="1"/>
    </row>
    <row r="2611" spans="1:22" x14ac:dyDescent="0.3">
      <c r="A2611" s="1"/>
      <c r="B2611" s="1"/>
      <c r="C2611" s="1"/>
      <c r="D2611" s="1"/>
      <c r="E2611" s="1"/>
      <c r="F2611" s="22"/>
      <c r="G2611" s="1"/>
      <c r="H2611" s="1"/>
      <c r="I2611" s="1"/>
      <c r="J2611" s="1">
        <f t="shared" si="520"/>
        <v>0</v>
      </c>
      <c r="K2611" s="1"/>
      <c r="L2611" s="1"/>
      <c r="M2611" s="1"/>
      <c r="N2611" s="1"/>
      <c r="O2611" s="1"/>
      <c r="P2611" s="1"/>
      <c r="Q2611" s="201">
        <f t="shared" si="521"/>
        <v>0</v>
      </c>
      <c r="R2611" s="104">
        <v>0</v>
      </c>
      <c r="S2611" s="85">
        <f t="shared" si="522"/>
        <v>0</v>
      </c>
      <c r="T2611" s="85">
        <f t="shared" si="523"/>
        <v>0</v>
      </c>
      <c r="U2611" s="1"/>
      <c r="V2611" s="1"/>
    </row>
    <row r="2612" spans="1:22" x14ac:dyDescent="0.3">
      <c r="A2612" s="1"/>
      <c r="B2612" s="1"/>
      <c r="C2612" s="1"/>
      <c r="D2612" s="1"/>
      <c r="E2612" s="1"/>
      <c r="F2612" s="22"/>
      <c r="G2612" s="1"/>
      <c r="H2612" s="1"/>
      <c r="I2612" s="1"/>
      <c r="J2612" s="1">
        <f t="shared" si="520"/>
        <v>0</v>
      </c>
      <c r="K2612" s="1"/>
      <c r="L2612" s="1"/>
      <c r="M2612" s="1"/>
      <c r="N2612" s="1"/>
      <c r="O2612" s="1"/>
      <c r="P2612" s="1"/>
      <c r="Q2612" s="201">
        <f t="shared" si="521"/>
        <v>0</v>
      </c>
      <c r="R2612" s="104">
        <v>0</v>
      </c>
      <c r="S2612" s="85">
        <f t="shared" si="522"/>
        <v>0</v>
      </c>
      <c r="T2612" s="85">
        <f t="shared" si="523"/>
        <v>0</v>
      </c>
      <c r="U2612" s="1"/>
      <c r="V2612" s="1"/>
    </row>
    <row r="2613" spans="1:22" x14ac:dyDescent="0.3">
      <c r="A2613" s="1"/>
      <c r="B2613" s="1"/>
      <c r="C2613" s="1"/>
      <c r="D2613" s="1"/>
      <c r="E2613" s="1"/>
      <c r="F2613" s="22"/>
      <c r="G2613" s="1"/>
      <c r="H2613" s="1"/>
      <c r="I2613" s="1"/>
      <c r="J2613" s="1">
        <f t="shared" si="520"/>
        <v>0</v>
      </c>
      <c r="K2613" s="1"/>
      <c r="L2613" s="1"/>
      <c r="M2613" s="1"/>
      <c r="N2613" s="1"/>
      <c r="O2613" s="1"/>
      <c r="P2613" s="1"/>
      <c r="Q2613" s="201">
        <f t="shared" si="521"/>
        <v>0</v>
      </c>
      <c r="R2613" s="104">
        <v>0</v>
      </c>
      <c r="S2613" s="85">
        <f t="shared" si="522"/>
        <v>0</v>
      </c>
      <c r="T2613" s="85">
        <f t="shared" si="523"/>
        <v>0</v>
      </c>
      <c r="U2613" s="1"/>
      <c r="V2613" s="1"/>
    </row>
    <row r="2614" spans="1:22" x14ac:dyDescent="0.3">
      <c r="A2614" s="1"/>
      <c r="B2614" s="1"/>
      <c r="C2614" s="1"/>
      <c r="D2614" s="1"/>
      <c r="E2614" s="1"/>
      <c r="F2614" s="22"/>
      <c r="G2614" s="1"/>
      <c r="H2614" s="1"/>
      <c r="I2614" s="1"/>
      <c r="J2614" s="1">
        <f t="shared" si="520"/>
        <v>0</v>
      </c>
      <c r="K2614" s="1"/>
      <c r="L2614" s="1"/>
      <c r="M2614" s="1"/>
      <c r="N2614" s="1"/>
      <c r="O2614" s="1"/>
      <c r="P2614" s="1"/>
      <c r="Q2614" s="201">
        <f t="shared" si="521"/>
        <v>0</v>
      </c>
      <c r="R2614" s="104">
        <v>0</v>
      </c>
      <c r="S2614" s="85">
        <f t="shared" si="522"/>
        <v>0</v>
      </c>
      <c r="T2614" s="85">
        <f t="shared" si="523"/>
        <v>0</v>
      </c>
      <c r="U2614" s="1"/>
      <c r="V2614" s="1"/>
    </row>
    <row r="2615" spans="1:22" x14ac:dyDescent="0.3">
      <c r="A2615" s="1"/>
      <c r="B2615" s="1"/>
      <c r="C2615" s="1"/>
      <c r="D2615" s="1"/>
      <c r="E2615" s="1"/>
      <c r="F2615" s="22"/>
      <c r="G2615" s="1"/>
      <c r="H2615" s="1"/>
      <c r="I2615" s="1"/>
      <c r="J2615" s="1">
        <f t="shared" si="520"/>
        <v>0</v>
      </c>
      <c r="K2615" s="1"/>
      <c r="L2615" s="1"/>
      <c r="M2615" s="1"/>
      <c r="N2615" s="1"/>
      <c r="O2615" s="1"/>
      <c r="P2615" s="1"/>
      <c r="Q2615" s="201">
        <f t="shared" si="521"/>
        <v>0</v>
      </c>
      <c r="R2615" s="104">
        <v>0</v>
      </c>
      <c r="S2615" s="85">
        <f t="shared" si="522"/>
        <v>0</v>
      </c>
      <c r="T2615" s="85">
        <f t="shared" si="523"/>
        <v>0</v>
      </c>
      <c r="U2615" s="1"/>
      <c r="V2615" s="1"/>
    </row>
    <row r="2616" spans="1:22" x14ac:dyDescent="0.3">
      <c r="A2616" s="1"/>
      <c r="B2616" s="1"/>
      <c r="C2616" s="1"/>
      <c r="D2616" s="1"/>
      <c r="E2616" s="1"/>
      <c r="F2616" s="22"/>
      <c r="G2616" s="1"/>
      <c r="H2616" s="1"/>
      <c r="I2616" s="1"/>
      <c r="J2616" s="1">
        <f t="shared" si="520"/>
        <v>0</v>
      </c>
      <c r="K2616" s="1"/>
      <c r="L2616" s="1"/>
      <c r="M2616" s="1"/>
      <c r="N2616" s="1"/>
      <c r="O2616" s="1"/>
      <c r="P2616" s="1"/>
      <c r="Q2616" s="201">
        <f t="shared" si="521"/>
        <v>0</v>
      </c>
      <c r="R2616" s="104">
        <v>0</v>
      </c>
      <c r="S2616" s="85">
        <f t="shared" si="522"/>
        <v>0</v>
      </c>
      <c r="T2616" s="85">
        <f t="shared" si="523"/>
        <v>0</v>
      </c>
      <c r="U2616" s="1"/>
      <c r="V2616" s="1"/>
    </row>
    <row r="2617" spans="1:22" x14ac:dyDescent="0.3">
      <c r="A2617" s="1"/>
      <c r="B2617" s="1"/>
      <c r="C2617" s="1"/>
      <c r="D2617" s="1"/>
      <c r="E2617" s="1"/>
      <c r="F2617" s="22"/>
      <c r="G2617" s="1"/>
      <c r="H2617" s="1"/>
      <c r="I2617" s="1"/>
      <c r="J2617" s="1">
        <f t="shared" si="520"/>
        <v>0</v>
      </c>
      <c r="K2617" s="1"/>
      <c r="L2617" s="1"/>
      <c r="M2617" s="1"/>
      <c r="N2617" s="1"/>
      <c r="O2617" s="1"/>
      <c r="P2617" s="1"/>
      <c r="Q2617" s="201">
        <f t="shared" si="521"/>
        <v>0</v>
      </c>
      <c r="R2617" s="104">
        <v>0</v>
      </c>
      <c r="S2617" s="85">
        <f t="shared" si="522"/>
        <v>0</v>
      </c>
      <c r="T2617" s="85">
        <f t="shared" si="523"/>
        <v>0</v>
      </c>
      <c r="U2617" s="1"/>
      <c r="V2617" s="1"/>
    </row>
    <row r="2618" spans="1:22" x14ac:dyDescent="0.3">
      <c r="A2618" s="1"/>
      <c r="B2618" s="1"/>
      <c r="C2618" s="1"/>
      <c r="D2618" s="1"/>
      <c r="E2618" s="1"/>
      <c r="F2618" s="22"/>
      <c r="G2618" s="1"/>
      <c r="H2618" s="1"/>
      <c r="I2618" s="1"/>
      <c r="J2618" s="1">
        <f t="shared" si="520"/>
        <v>0</v>
      </c>
      <c r="K2618" s="1"/>
      <c r="L2618" s="1"/>
      <c r="M2618" s="1"/>
      <c r="N2618" s="1"/>
      <c r="O2618" s="1"/>
      <c r="P2618" s="1"/>
      <c r="Q2618" s="201">
        <f t="shared" si="521"/>
        <v>0</v>
      </c>
      <c r="R2618" s="104">
        <v>0</v>
      </c>
      <c r="S2618" s="85">
        <f t="shared" si="522"/>
        <v>0</v>
      </c>
      <c r="T2618" s="85">
        <f t="shared" si="523"/>
        <v>0</v>
      </c>
      <c r="U2618" s="1"/>
      <c r="V2618" s="1"/>
    </row>
    <row r="2619" spans="1:22" x14ac:dyDescent="0.3">
      <c r="A2619" s="1"/>
      <c r="B2619" s="1"/>
      <c r="C2619" s="1"/>
      <c r="D2619" s="1"/>
      <c r="E2619" s="1"/>
      <c r="F2619" s="22"/>
      <c r="G2619" s="1"/>
      <c r="H2619" s="1"/>
      <c r="I2619" s="1"/>
      <c r="J2619" s="1">
        <f t="shared" si="520"/>
        <v>0</v>
      </c>
      <c r="K2619" s="1"/>
      <c r="L2619" s="1"/>
      <c r="M2619" s="1"/>
      <c r="N2619" s="1"/>
      <c r="O2619" s="1"/>
      <c r="P2619" s="1"/>
      <c r="Q2619" s="201">
        <f t="shared" si="521"/>
        <v>0</v>
      </c>
      <c r="R2619" s="104">
        <v>0</v>
      </c>
      <c r="S2619" s="85">
        <f t="shared" si="522"/>
        <v>0</v>
      </c>
      <c r="T2619" s="85">
        <f t="shared" si="523"/>
        <v>0</v>
      </c>
      <c r="U2619" s="1"/>
      <c r="V2619" s="1"/>
    </row>
    <row r="2620" spans="1:22" x14ac:dyDescent="0.3">
      <c r="A2620" s="1"/>
      <c r="B2620" s="1"/>
      <c r="C2620" s="1"/>
      <c r="D2620" s="1"/>
      <c r="E2620" s="1"/>
      <c r="F2620" s="22"/>
      <c r="G2620" s="1"/>
      <c r="H2620" s="1"/>
      <c r="I2620" s="1"/>
      <c r="J2620" s="1">
        <f t="shared" si="520"/>
        <v>0</v>
      </c>
      <c r="K2620" s="1"/>
      <c r="L2620" s="1"/>
      <c r="M2620" s="1"/>
      <c r="N2620" s="1"/>
      <c r="O2620" s="1"/>
      <c r="P2620" s="1"/>
      <c r="Q2620" s="201">
        <f t="shared" si="521"/>
        <v>0</v>
      </c>
      <c r="R2620" s="104">
        <v>0</v>
      </c>
      <c r="S2620" s="85">
        <f t="shared" si="522"/>
        <v>0</v>
      </c>
      <c r="T2620" s="85">
        <f t="shared" si="523"/>
        <v>0</v>
      </c>
      <c r="U2620" s="1"/>
      <c r="V2620" s="1"/>
    </row>
    <row r="2621" spans="1:22" x14ac:dyDescent="0.3">
      <c r="A2621" s="1"/>
      <c r="B2621" s="1"/>
      <c r="C2621" s="1"/>
      <c r="D2621" s="1"/>
      <c r="E2621" s="1"/>
      <c r="F2621" s="22"/>
      <c r="G2621" s="1"/>
      <c r="H2621" s="1"/>
      <c r="I2621" s="1"/>
      <c r="J2621" s="1">
        <f t="shared" si="520"/>
        <v>0</v>
      </c>
      <c r="K2621" s="1"/>
      <c r="L2621" s="1"/>
      <c r="M2621" s="1"/>
      <c r="N2621" s="1"/>
      <c r="O2621" s="1"/>
      <c r="P2621" s="1"/>
      <c r="Q2621" s="201">
        <f t="shared" si="521"/>
        <v>0</v>
      </c>
      <c r="R2621" s="104">
        <v>0</v>
      </c>
      <c r="S2621" s="85">
        <f t="shared" si="522"/>
        <v>0</v>
      </c>
      <c r="T2621" s="85">
        <f t="shared" si="523"/>
        <v>0</v>
      </c>
      <c r="U2621" s="1"/>
      <c r="V2621" s="1"/>
    </row>
    <row r="2622" spans="1:22" x14ac:dyDescent="0.3">
      <c r="A2622" s="1"/>
      <c r="B2622" s="1"/>
      <c r="C2622" s="1"/>
      <c r="D2622" s="1"/>
      <c r="E2622" s="1"/>
      <c r="F2622" s="22"/>
      <c r="G2622" s="1"/>
      <c r="H2622" s="1"/>
      <c r="I2622" s="1"/>
      <c r="J2622" s="1">
        <f t="shared" si="520"/>
        <v>0</v>
      </c>
      <c r="K2622" s="1"/>
      <c r="L2622" s="1"/>
      <c r="M2622" s="1"/>
      <c r="N2622" s="1"/>
      <c r="O2622" s="1"/>
      <c r="P2622" s="1"/>
      <c r="Q2622" s="201">
        <f t="shared" si="521"/>
        <v>0</v>
      </c>
      <c r="R2622" s="104">
        <v>0</v>
      </c>
      <c r="S2622" s="85">
        <f t="shared" si="522"/>
        <v>0</v>
      </c>
      <c r="T2622" s="85">
        <f t="shared" si="523"/>
        <v>0</v>
      </c>
      <c r="U2622" s="1"/>
      <c r="V2622" s="1"/>
    </row>
    <row r="2623" spans="1:22" x14ac:dyDescent="0.3">
      <c r="A2623" s="1"/>
      <c r="B2623" s="1"/>
      <c r="C2623" s="1"/>
      <c r="D2623" s="1"/>
      <c r="E2623" s="1"/>
      <c r="F2623" s="22"/>
      <c r="G2623" s="1"/>
      <c r="H2623" s="1"/>
      <c r="I2623" s="1"/>
      <c r="J2623" s="1">
        <f t="shared" si="520"/>
        <v>0</v>
      </c>
      <c r="K2623" s="1"/>
      <c r="L2623" s="1"/>
      <c r="M2623" s="1"/>
      <c r="N2623" s="1"/>
      <c r="O2623" s="1"/>
      <c r="P2623" s="1"/>
      <c r="Q2623" s="201">
        <f t="shared" si="521"/>
        <v>0</v>
      </c>
      <c r="R2623" s="104">
        <v>0</v>
      </c>
      <c r="S2623" s="85">
        <f t="shared" si="522"/>
        <v>0</v>
      </c>
      <c r="T2623" s="85">
        <f t="shared" si="523"/>
        <v>0</v>
      </c>
      <c r="U2623" s="1"/>
      <c r="V2623" s="1"/>
    </row>
    <row r="2624" spans="1:22" x14ac:dyDescent="0.3">
      <c r="A2624" s="1"/>
      <c r="B2624" s="1"/>
      <c r="C2624" s="1"/>
      <c r="D2624" s="1"/>
      <c r="E2624" s="1"/>
      <c r="F2624" s="22"/>
      <c r="G2624" s="1"/>
      <c r="H2624" s="1"/>
      <c r="I2624" s="1"/>
      <c r="J2624" s="1">
        <f t="shared" si="520"/>
        <v>0</v>
      </c>
      <c r="K2624" s="1"/>
      <c r="L2624" s="1"/>
      <c r="M2624" s="1"/>
      <c r="N2624" s="1"/>
      <c r="O2624" s="1"/>
      <c r="P2624" s="1"/>
      <c r="Q2624" s="201">
        <f t="shared" si="521"/>
        <v>0</v>
      </c>
      <c r="R2624" s="104">
        <v>0</v>
      </c>
      <c r="S2624" s="85">
        <f t="shared" si="522"/>
        <v>0</v>
      </c>
      <c r="T2624" s="85">
        <f t="shared" si="523"/>
        <v>0</v>
      </c>
      <c r="U2624" s="1"/>
      <c r="V2624" s="1"/>
    </row>
    <row r="2625" spans="1:22" x14ac:dyDescent="0.3">
      <c r="A2625" s="1"/>
      <c r="B2625" s="1"/>
      <c r="C2625" s="1"/>
      <c r="D2625" s="1"/>
      <c r="E2625" s="1"/>
      <c r="F2625" s="22"/>
      <c r="G2625" s="1"/>
      <c r="H2625" s="1"/>
      <c r="I2625" s="1"/>
      <c r="J2625" s="1">
        <f t="shared" si="520"/>
        <v>0</v>
      </c>
      <c r="K2625" s="1"/>
      <c r="L2625" s="1"/>
      <c r="M2625" s="1"/>
      <c r="N2625" s="1"/>
      <c r="O2625" s="1"/>
      <c r="P2625" s="1"/>
      <c r="Q2625" s="201">
        <f t="shared" si="521"/>
        <v>0</v>
      </c>
      <c r="R2625" s="104">
        <v>0</v>
      </c>
      <c r="S2625" s="85">
        <f t="shared" si="522"/>
        <v>0</v>
      </c>
      <c r="T2625" s="85">
        <f t="shared" si="523"/>
        <v>0</v>
      </c>
      <c r="U2625" s="1"/>
      <c r="V2625" s="1"/>
    </row>
    <row r="2626" spans="1:22" x14ac:dyDescent="0.3">
      <c r="A2626" s="1"/>
      <c r="B2626" s="1"/>
      <c r="C2626" s="1"/>
      <c r="D2626" s="1"/>
      <c r="E2626" s="1"/>
      <c r="F2626" s="22"/>
      <c r="G2626" s="1"/>
      <c r="H2626" s="1"/>
      <c r="I2626" s="1"/>
      <c r="J2626" s="1">
        <f t="shared" si="520"/>
        <v>0</v>
      </c>
      <c r="K2626" s="1"/>
      <c r="L2626" s="1"/>
      <c r="M2626" s="1"/>
      <c r="N2626" s="1"/>
      <c r="O2626" s="1"/>
      <c r="P2626" s="1"/>
      <c r="Q2626" s="201">
        <f t="shared" si="521"/>
        <v>0</v>
      </c>
      <c r="R2626" s="104">
        <v>0</v>
      </c>
      <c r="S2626" s="85">
        <f t="shared" si="522"/>
        <v>0</v>
      </c>
      <c r="T2626" s="85">
        <f t="shared" si="523"/>
        <v>0</v>
      </c>
      <c r="U2626" s="1"/>
      <c r="V2626" s="1"/>
    </row>
    <row r="2627" spans="1:22" x14ac:dyDescent="0.3">
      <c r="A2627" s="1"/>
      <c r="B2627" s="1"/>
      <c r="C2627" s="1"/>
      <c r="D2627" s="1"/>
      <c r="E2627" s="1"/>
      <c r="F2627" s="1"/>
      <c r="G2627" s="1"/>
      <c r="H2627" s="1"/>
      <c r="I2627" s="1"/>
      <c r="J2627" s="1">
        <f t="shared" si="520"/>
        <v>0</v>
      </c>
      <c r="K2627" s="1"/>
      <c r="L2627" s="1"/>
      <c r="M2627" s="1"/>
      <c r="N2627" s="1"/>
      <c r="O2627" s="1"/>
      <c r="P2627" s="1"/>
      <c r="Q2627" s="201">
        <f t="shared" si="521"/>
        <v>0</v>
      </c>
      <c r="R2627" s="104">
        <v>0</v>
      </c>
      <c r="S2627" s="85">
        <f t="shared" si="522"/>
        <v>0</v>
      </c>
      <c r="T2627" s="85">
        <f t="shared" si="523"/>
        <v>0</v>
      </c>
      <c r="U2627" s="1"/>
      <c r="V2627" s="1"/>
    </row>
    <row r="2628" spans="1:22" x14ac:dyDescent="0.3">
      <c r="A2628" s="1"/>
      <c r="B2628" s="1"/>
      <c r="C2628" s="1"/>
      <c r="D2628" s="1"/>
      <c r="E2628" s="1"/>
      <c r="F2628" s="1"/>
      <c r="G2628" s="1"/>
      <c r="H2628" s="1"/>
      <c r="I2628" s="1"/>
      <c r="J2628" s="1">
        <f t="shared" si="520"/>
        <v>0</v>
      </c>
      <c r="K2628" s="1"/>
      <c r="L2628" s="1"/>
      <c r="M2628" s="1"/>
      <c r="N2628" s="1"/>
      <c r="O2628" s="1"/>
      <c r="P2628" s="1"/>
      <c r="Q2628" s="201">
        <f t="shared" si="521"/>
        <v>0</v>
      </c>
      <c r="R2628" s="104">
        <v>0</v>
      </c>
      <c r="S2628" s="85">
        <f t="shared" si="522"/>
        <v>0</v>
      </c>
      <c r="T2628" s="85">
        <f t="shared" si="523"/>
        <v>0</v>
      </c>
      <c r="U2628" s="1"/>
      <c r="V2628" s="1"/>
    </row>
  </sheetData>
  <autoFilter ref="A2:W2" xr:uid="{26FEFFEC-DDE2-4973-A1C2-26641ACB5F3D}"/>
  <mergeCells count="185">
    <mergeCell ref="A652:I652"/>
    <mergeCell ref="A653:I653"/>
    <mergeCell ref="A654:I654"/>
    <mergeCell ref="A639:I639"/>
    <mergeCell ref="A640:I640"/>
    <mergeCell ref="A641:I641"/>
    <mergeCell ref="A558:I558"/>
    <mergeCell ref="A559:I559"/>
    <mergeCell ref="A560:I560"/>
    <mergeCell ref="A565:I565"/>
    <mergeCell ref="A566:I566"/>
    <mergeCell ref="A567:I567"/>
    <mergeCell ref="A578:I578"/>
    <mergeCell ref="A579:I579"/>
    <mergeCell ref="A580:I580"/>
    <mergeCell ref="A625:I625"/>
    <mergeCell ref="A626:I626"/>
    <mergeCell ref="A627:I627"/>
    <mergeCell ref="A616:I616"/>
    <mergeCell ref="A617:I617"/>
    <mergeCell ref="A618:I618"/>
    <mergeCell ref="A602:I602"/>
    <mergeCell ref="A603:I603"/>
    <mergeCell ref="A604:I604"/>
    <mergeCell ref="A514:I514"/>
    <mergeCell ref="A515:I515"/>
    <mergeCell ref="A516:I516"/>
    <mergeCell ref="A531:I531"/>
    <mergeCell ref="A532:I532"/>
    <mergeCell ref="A533:I533"/>
    <mergeCell ref="A538:I538"/>
    <mergeCell ref="A539:I539"/>
    <mergeCell ref="A540:I540"/>
    <mergeCell ref="A552:I552"/>
    <mergeCell ref="A553:I553"/>
    <mergeCell ref="A554:I554"/>
    <mergeCell ref="A597:I597"/>
    <mergeCell ref="A598:I598"/>
    <mergeCell ref="A599:I599"/>
    <mergeCell ref="A587:I587"/>
    <mergeCell ref="A588:I588"/>
    <mergeCell ref="A589:I589"/>
    <mergeCell ref="A482:I482"/>
    <mergeCell ref="A483:I483"/>
    <mergeCell ref="A484:I484"/>
    <mergeCell ref="A489:I489"/>
    <mergeCell ref="A490:I490"/>
    <mergeCell ref="A491:I491"/>
    <mergeCell ref="A461:I461"/>
    <mergeCell ref="A462:I462"/>
    <mergeCell ref="A463:I463"/>
    <mergeCell ref="A466:I466"/>
    <mergeCell ref="A467:I467"/>
    <mergeCell ref="A468:I468"/>
    <mergeCell ref="A433:I433"/>
    <mergeCell ref="A434:I434"/>
    <mergeCell ref="A435:I435"/>
    <mergeCell ref="A439:I439"/>
    <mergeCell ref="A440:I440"/>
    <mergeCell ref="A441:I441"/>
    <mergeCell ref="A453:I453"/>
    <mergeCell ref="A454:I454"/>
    <mergeCell ref="A455:I455"/>
    <mergeCell ref="A392:I392"/>
    <mergeCell ref="A393:I393"/>
    <mergeCell ref="A394:I394"/>
    <mergeCell ref="A398:I398"/>
    <mergeCell ref="A399:I399"/>
    <mergeCell ref="A400:I400"/>
    <mergeCell ref="A373:I373"/>
    <mergeCell ref="A365:I365"/>
    <mergeCell ref="A366:I366"/>
    <mergeCell ref="A367:I367"/>
    <mergeCell ref="A371:I371"/>
    <mergeCell ref="A372:I372"/>
    <mergeCell ref="A388:I388"/>
    <mergeCell ref="A386:I386"/>
    <mergeCell ref="A387:I387"/>
    <mergeCell ref="A107:I107"/>
    <mergeCell ref="K1:N1"/>
    <mergeCell ref="O1:V1"/>
    <mergeCell ref="A10:I10"/>
    <mergeCell ref="A11:I11"/>
    <mergeCell ref="A12:I12"/>
    <mergeCell ref="A1:J1"/>
    <mergeCell ref="A3:A9"/>
    <mergeCell ref="B3:B9"/>
    <mergeCell ref="C3:C9"/>
    <mergeCell ref="D3:D9"/>
    <mergeCell ref="A265:I265"/>
    <mergeCell ref="A15:I15"/>
    <mergeCell ref="A16:I16"/>
    <mergeCell ref="A17:I17"/>
    <mergeCell ref="A41:I41"/>
    <mergeCell ref="A42:I42"/>
    <mergeCell ref="A36:I36"/>
    <mergeCell ref="A37:I37"/>
    <mergeCell ref="A38:I38"/>
    <mergeCell ref="A43:I43"/>
    <mergeCell ref="A47:I47"/>
    <mergeCell ref="A48:I48"/>
    <mergeCell ref="A49:I49"/>
    <mergeCell ref="A73:I73"/>
    <mergeCell ref="A108:I108"/>
    <mergeCell ref="A74:I74"/>
    <mergeCell ref="A75:I75"/>
    <mergeCell ref="A80:I80"/>
    <mergeCell ref="A97:I97"/>
    <mergeCell ref="A98:I98"/>
    <mergeCell ref="A99:I99"/>
    <mergeCell ref="A81:I81"/>
    <mergeCell ref="A82:I82"/>
    <mergeCell ref="A106:I106"/>
    <mergeCell ref="A136:I136"/>
    <mergeCell ref="A195:I195"/>
    <mergeCell ref="A196:I196"/>
    <mergeCell ref="A166:I166"/>
    <mergeCell ref="A167:I167"/>
    <mergeCell ref="A298:I298"/>
    <mergeCell ref="A299:I299"/>
    <mergeCell ref="A201:I201"/>
    <mergeCell ref="A202:I202"/>
    <mergeCell ref="A210:I210"/>
    <mergeCell ref="A194:I194"/>
    <mergeCell ref="A255:I255"/>
    <mergeCell ref="A256:I256"/>
    <mergeCell ref="A241:I241"/>
    <mergeCell ref="A242:I242"/>
    <mergeCell ref="A243:I243"/>
    <mergeCell ref="A254:I254"/>
    <mergeCell ref="A267:I267"/>
    <mergeCell ref="A293:I293"/>
    <mergeCell ref="A294:I294"/>
    <mergeCell ref="A295:I295"/>
    <mergeCell ref="A259:I259"/>
    <mergeCell ref="A260:I260"/>
    <mergeCell ref="A261:I261"/>
    <mergeCell ref="A348:I348"/>
    <mergeCell ref="A266:I266"/>
    <mergeCell ref="A332:I332"/>
    <mergeCell ref="A349:I349"/>
    <mergeCell ref="A350:I350"/>
    <mergeCell ref="A340:I340"/>
    <mergeCell ref="A129:I129"/>
    <mergeCell ref="A130:I130"/>
    <mergeCell ref="A131:I131"/>
    <mergeCell ref="A134:I134"/>
    <mergeCell ref="A168:I168"/>
    <mergeCell ref="A200:I200"/>
    <mergeCell ref="A211:I211"/>
    <mergeCell ref="A212:I212"/>
    <mergeCell ref="A135:I135"/>
    <mergeCell ref="A156:I156"/>
    <mergeCell ref="A157:I157"/>
    <mergeCell ref="A158:I158"/>
    <mergeCell ref="A140:I140"/>
    <mergeCell ref="A141:I141"/>
    <mergeCell ref="A142:I142"/>
    <mergeCell ref="A149:I149"/>
    <mergeCell ref="A150:I150"/>
    <mergeCell ref="A151:I151"/>
    <mergeCell ref="D733:D735"/>
    <mergeCell ref="A341:I341"/>
    <mergeCell ref="A342:I342"/>
    <mergeCell ref="A331:I331"/>
    <mergeCell ref="A225:I225"/>
    <mergeCell ref="A226:I226"/>
    <mergeCell ref="A227:I227"/>
    <mergeCell ref="A415:I415"/>
    <mergeCell ref="A416:I416"/>
    <mergeCell ref="A417:I417"/>
    <mergeCell ref="A300:I300"/>
    <mergeCell ref="A304:I304"/>
    <mergeCell ref="A305:I305"/>
    <mergeCell ref="A324:I324"/>
    <mergeCell ref="A316:I316"/>
    <mergeCell ref="A317:I317"/>
    <mergeCell ref="A318:I318"/>
    <mergeCell ref="A322:I322"/>
    <mergeCell ref="A323:I323"/>
    <mergeCell ref="A306:I306"/>
    <mergeCell ref="A310:I310"/>
    <mergeCell ref="A311:I311"/>
    <mergeCell ref="A312:I312"/>
    <mergeCell ref="A333:I333"/>
  </mergeCells>
  <phoneticPr fontId="7"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091D7-A12A-40A8-B892-0B07D65B96EF}">
  <dimension ref="A1:O519"/>
  <sheetViews>
    <sheetView topLeftCell="A502" workbookViewId="0">
      <selection activeCell="A516" sqref="A516:J519"/>
    </sheetView>
  </sheetViews>
  <sheetFormatPr defaultRowHeight="14.4" x14ac:dyDescent="0.3"/>
  <cols>
    <col min="2" max="2" width="11.6640625" customWidth="1"/>
    <col min="4" max="4" width="31" customWidth="1"/>
    <col min="6" max="6" width="53.77734375" style="194" bestFit="1" customWidth="1"/>
    <col min="10" max="10" width="9.88671875" customWidth="1"/>
  </cols>
  <sheetData>
    <row r="1" spans="1:10" x14ac:dyDescent="0.3">
      <c r="A1" s="1">
        <v>129</v>
      </c>
      <c r="B1" s="1">
        <v>9200146935</v>
      </c>
      <c r="C1" s="37">
        <v>45697</v>
      </c>
      <c r="D1" s="1" t="s">
        <v>43</v>
      </c>
      <c r="E1" s="1" t="s">
        <v>123</v>
      </c>
      <c r="F1" s="26" t="s">
        <v>1625</v>
      </c>
      <c r="G1" s="1">
        <v>1600</v>
      </c>
      <c r="H1" s="1" t="s">
        <v>60</v>
      </c>
      <c r="I1" s="1">
        <v>228</v>
      </c>
      <c r="J1" s="124">
        <f>G1*I1</f>
        <v>364800</v>
      </c>
    </row>
    <row r="2" spans="1:10" x14ac:dyDescent="0.3">
      <c r="A2" s="1"/>
      <c r="B2" s="1"/>
      <c r="C2" s="1"/>
      <c r="D2" s="1"/>
      <c r="E2" s="1"/>
      <c r="F2" s="191" t="s">
        <v>39</v>
      </c>
      <c r="G2" s="1"/>
      <c r="H2" s="1"/>
      <c r="I2" s="1"/>
      <c r="J2" s="124">
        <f>SUM(J1)</f>
        <v>364800</v>
      </c>
    </row>
    <row r="3" spans="1:10" x14ac:dyDescent="0.3">
      <c r="A3" s="1"/>
      <c r="B3" s="1"/>
      <c r="C3" s="1"/>
      <c r="D3" s="1"/>
      <c r="E3" s="1"/>
      <c r="F3" s="191" t="s">
        <v>187</v>
      </c>
      <c r="G3" s="1"/>
      <c r="H3" s="1"/>
      <c r="I3" s="1"/>
      <c r="J3" s="124">
        <f>J2*0%</f>
        <v>0</v>
      </c>
    </row>
    <row r="4" spans="1:10" x14ac:dyDescent="0.3">
      <c r="A4" s="1"/>
      <c r="B4" s="1"/>
      <c r="C4" s="1"/>
      <c r="D4" s="1"/>
      <c r="E4" s="1"/>
      <c r="F4" s="191" t="s">
        <v>41</v>
      </c>
      <c r="G4" s="1"/>
      <c r="H4" s="1"/>
      <c r="I4" s="1"/>
      <c r="J4" s="124">
        <f>SUM(J2:J3)</f>
        <v>364800</v>
      </c>
    </row>
    <row r="8" spans="1:10" ht="25.2" x14ac:dyDescent="0.3">
      <c r="A8" s="1">
        <v>175</v>
      </c>
      <c r="B8" s="1">
        <v>8100023062</v>
      </c>
      <c r="C8" s="37">
        <v>46358</v>
      </c>
      <c r="D8" s="1" t="s">
        <v>300</v>
      </c>
      <c r="E8" s="16" t="s">
        <v>127</v>
      </c>
      <c r="F8" s="108" t="s">
        <v>1982</v>
      </c>
      <c r="G8" s="16">
        <v>11</v>
      </c>
      <c r="H8" s="16" t="s">
        <v>28</v>
      </c>
      <c r="I8" s="16">
        <v>8996</v>
      </c>
      <c r="J8" s="16">
        <f t="shared" ref="J8:J20" si="0">G8*I8</f>
        <v>98956</v>
      </c>
    </row>
    <row r="9" spans="1:10" ht="25.2" x14ac:dyDescent="0.3">
      <c r="A9" s="1"/>
      <c r="B9" s="1"/>
      <c r="C9" s="1"/>
      <c r="D9" s="1"/>
      <c r="E9" s="16" t="s">
        <v>127</v>
      </c>
      <c r="F9" s="108" t="s">
        <v>1983</v>
      </c>
      <c r="G9" s="16">
        <v>1</v>
      </c>
      <c r="H9" s="16" t="s">
        <v>28</v>
      </c>
      <c r="I9" s="16">
        <v>35520</v>
      </c>
      <c r="J9" s="16">
        <f t="shared" si="0"/>
        <v>35520</v>
      </c>
    </row>
    <row r="10" spans="1:10" ht="25.2" x14ac:dyDescent="0.3">
      <c r="A10" s="1"/>
      <c r="B10" s="1"/>
      <c r="C10" s="1"/>
      <c r="D10" s="1"/>
      <c r="E10" s="16" t="s">
        <v>127</v>
      </c>
      <c r="F10" s="108" t="s">
        <v>1984</v>
      </c>
      <c r="G10" s="16">
        <v>2</v>
      </c>
      <c r="H10" s="16" t="s">
        <v>28</v>
      </c>
      <c r="I10" s="16">
        <v>3087</v>
      </c>
      <c r="J10" s="16">
        <f t="shared" si="0"/>
        <v>6174</v>
      </c>
    </row>
    <row r="11" spans="1:10" x14ac:dyDescent="0.3">
      <c r="A11" s="1"/>
      <c r="B11" s="1"/>
      <c r="C11" s="1"/>
      <c r="D11" s="1"/>
      <c r="E11" s="16" t="s">
        <v>127</v>
      </c>
      <c r="F11" s="38" t="s">
        <v>1985</v>
      </c>
      <c r="G11" s="16">
        <v>200</v>
      </c>
      <c r="H11" s="16" t="s">
        <v>60</v>
      </c>
      <c r="I11" s="16">
        <v>245</v>
      </c>
      <c r="J11" s="16">
        <f t="shared" si="0"/>
        <v>49000</v>
      </c>
    </row>
    <row r="12" spans="1:10" x14ac:dyDescent="0.3">
      <c r="A12" s="1"/>
      <c r="B12" s="1"/>
      <c r="C12" s="1"/>
      <c r="D12" s="1"/>
      <c r="E12" s="16" t="s">
        <v>127</v>
      </c>
      <c r="F12" s="108" t="s">
        <v>1986</v>
      </c>
      <c r="G12" s="16">
        <v>100</v>
      </c>
      <c r="H12" s="16" t="s">
        <v>60</v>
      </c>
      <c r="I12" s="16">
        <v>118</v>
      </c>
      <c r="J12" s="16">
        <f t="shared" si="0"/>
        <v>11800</v>
      </c>
    </row>
    <row r="13" spans="1:10" x14ac:dyDescent="0.3">
      <c r="A13" s="1"/>
      <c r="B13" s="1"/>
      <c r="C13" s="1"/>
      <c r="D13" s="1"/>
      <c r="E13" s="1" t="s">
        <v>127</v>
      </c>
      <c r="F13" s="26" t="s">
        <v>1987</v>
      </c>
      <c r="G13" s="1">
        <v>24</v>
      </c>
      <c r="H13" s="1" t="s">
        <v>28</v>
      </c>
      <c r="I13" s="1">
        <v>120</v>
      </c>
      <c r="J13" s="1">
        <f t="shared" si="0"/>
        <v>2880</v>
      </c>
    </row>
    <row r="14" spans="1:10" x14ac:dyDescent="0.3">
      <c r="A14" s="1"/>
      <c r="B14" s="1"/>
      <c r="C14" s="1"/>
      <c r="D14" s="1"/>
      <c r="E14" s="1" t="s">
        <v>127</v>
      </c>
      <c r="F14" s="26" t="s">
        <v>1988</v>
      </c>
      <c r="G14" s="1">
        <v>24</v>
      </c>
      <c r="H14" s="1" t="s">
        <v>28</v>
      </c>
      <c r="I14" s="1">
        <v>200</v>
      </c>
      <c r="J14" s="1">
        <f t="shared" si="0"/>
        <v>4800</v>
      </c>
    </row>
    <row r="15" spans="1:10" x14ac:dyDescent="0.3">
      <c r="A15" s="1"/>
      <c r="B15" s="1"/>
      <c r="C15" s="1"/>
      <c r="D15" s="1"/>
      <c r="E15" s="1" t="s">
        <v>123</v>
      </c>
      <c r="F15" s="26" t="s">
        <v>1989</v>
      </c>
      <c r="G15" s="1">
        <v>200</v>
      </c>
      <c r="H15" s="1" t="s">
        <v>60</v>
      </c>
      <c r="I15" s="1">
        <v>84</v>
      </c>
      <c r="J15" s="1">
        <f t="shared" si="0"/>
        <v>16800</v>
      </c>
    </row>
    <row r="16" spans="1:10" x14ac:dyDescent="0.3">
      <c r="A16" s="1"/>
      <c r="B16" s="1"/>
      <c r="C16" s="1"/>
      <c r="D16" s="1"/>
      <c r="E16" s="1" t="s">
        <v>123</v>
      </c>
      <c r="F16" s="26" t="s">
        <v>1990</v>
      </c>
      <c r="G16" s="1">
        <v>100</v>
      </c>
      <c r="H16" s="1" t="s">
        <v>60</v>
      </c>
      <c r="I16" s="1">
        <v>20</v>
      </c>
      <c r="J16" s="1">
        <f t="shared" si="0"/>
        <v>2000</v>
      </c>
    </row>
    <row r="17" spans="1:10" x14ac:dyDescent="0.3">
      <c r="A17" s="1"/>
      <c r="B17" s="1"/>
      <c r="C17" s="1"/>
      <c r="D17" s="1"/>
      <c r="E17" s="1" t="s">
        <v>123</v>
      </c>
      <c r="F17" s="26" t="s">
        <v>1991</v>
      </c>
      <c r="G17" s="1">
        <v>11</v>
      </c>
      <c r="H17" s="1" t="s">
        <v>28</v>
      </c>
      <c r="I17" s="1">
        <v>800</v>
      </c>
      <c r="J17" s="1">
        <f t="shared" si="0"/>
        <v>8800</v>
      </c>
    </row>
    <row r="18" spans="1:10" x14ac:dyDescent="0.3">
      <c r="A18" s="1"/>
      <c r="B18" s="1"/>
      <c r="C18" s="1"/>
      <c r="D18" s="1"/>
      <c r="E18" s="1" t="s">
        <v>123</v>
      </c>
      <c r="F18" s="26" t="s">
        <v>1992</v>
      </c>
      <c r="G18" s="1">
        <v>6</v>
      </c>
      <c r="H18" s="1" t="s">
        <v>87</v>
      </c>
      <c r="I18" s="1">
        <v>600</v>
      </c>
      <c r="J18" s="1">
        <f t="shared" si="0"/>
        <v>3600</v>
      </c>
    </row>
    <row r="19" spans="1:10" x14ac:dyDescent="0.3">
      <c r="A19" s="1"/>
      <c r="B19" s="1"/>
      <c r="C19" s="1"/>
      <c r="D19" s="1"/>
      <c r="E19" s="1" t="s">
        <v>123</v>
      </c>
      <c r="F19" s="51" t="s">
        <v>1993</v>
      </c>
      <c r="G19" s="1">
        <v>11</v>
      </c>
      <c r="H19" s="1" t="s">
        <v>28</v>
      </c>
      <c r="I19" s="1">
        <v>570</v>
      </c>
      <c r="J19" s="1">
        <f t="shared" si="0"/>
        <v>6270</v>
      </c>
    </row>
    <row r="20" spans="1:10" x14ac:dyDescent="0.3">
      <c r="A20" s="1"/>
      <c r="B20" s="1"/>
      <c r="C20" s="1"/>
      <c r="D20" s="1"/>
      <c r="E20" s="1" t="s">
        <v>123</v>
      </c>
      <c r="F20" s="26" t="s">
        <v>1994</v>
      </c>
      <c r="G20" s="1">
        <v>17</v>
      </c>
      <c r="H20" s="1" t="s">
        <v>28</v>
      </c>
      <c r="I20" s="1">
        <v>200</v>
      </c>
      <c r="J20" s="1">
        <f t="shared" si="0"/>
        <v>3400</v>
      </c>
    </row>
    <row r="21" spans="1:10" x14ac:dyDescent="0.3">
      <c r="A21" s="1"/>
      <c r="B21" s="1"/>
      <c r="C21" s="1"/>
      <c r="D21" s="1"/>
      <c r="E21" s="1"/>
      <c r="F21" s="191" t="s">
        <v>39</v>
      </c>
      <c r="G21" s="1"/>
      <c r="H21" s="1"/>
      <c r="I21" s="1"/>
      <c r="J21" s="124">
        <f>SUM(J8:J20)</f>
        <v>250000</v>
      </c>
    </row>
    <row r="22" spans="1:10" x14ac:dyDescent="0.3">
      <c r="A22" s="1"/>
      <c r="B22" s="1"/>
      <c r="C22" s="1"/>
      <c r="D22" s="1"/>
      <c r="E22" s="1"/>
      <c r="F22" s="191" t="s">
        <v>187</v>
      </c>
      <c r="G22" s="1"/>
      <c r="H22" s="1"/>
      <c r="I22" s="1"/>
      <c r="J22" s="124">
        <f>J21*18/100</f>
        <v>45000</v>
      </c>
    </row>
    <row r="23" spans="1:10" x14ac:dyDescent="0.3">
      <c r="A23" s="1"/>
      <c r="B23" s="1"/>
      <c r="C23" s="1"/>
      <c r="D23" s="1"/>
      <c r="E23" s="1"/>
      <c r="F23" s="191" t="s">
        <v>41</v>
      </c>
      <c r="G23" s="1"/>
      <c r="H23" s="1"/>
      <c r="I23" s="1"/>
      <c r="J23" s="124">
        <f>SUM(J21:J22)</f>
        <v>295000</v>
      </c>
    </row>
    <row r="25" spans="1:10" ht="25.2" x14ac:dyDescent="0.3">
      <c r="A25" s="1">
        <v>177</v>
      </c>
      <c r="B25" s="1">
        <v>9200158730</v>
      </c>
      <c r="C25" s="1" t="s">
        <v>2013</v>
      </c>
      <c r="D25" s="1" t="s">
        <v>43</v>
      </c>
      <c r="E25" s="1" t="s">
        <v>123</v>
      </c>
      <c r="F25" s="51" t="s">
        <v>2014</v>
      </c>
      <c r="G25" s="1">
        <v>110</v>
      </c>
      <c r="H25" s="1" t="s">
        <v>60</v>
      </c>
      <c r="I25" s="1">
        <v>100</v>
      </c>
      <c r="J25" s="1">
        <f t="shared" ref="J25:J45" si="1">G25*I25</f>
        <v>11000</v>
      </c>
    </row>
    <row r="26" spans="1:10" ht="25.2" x14ac:dyDescent="0.3">
      <c r="A26" s="1"/>
      <c r="B26" s="1"/>
      <c r="C26" s="1"/>
      <c r="D26" s="1"/>
      <c r="E26" s="1" t="s">
        <v>123</v>
      </c>
      <c r="F26" s="51" t="s">
        <v>2015</v>
      </c>
      <c r="G26" s="1">
        <v>145</v>
      </c>
      <c r="H26" s="1" t="s">
        <v>60</v>
      </c>
      <c r="I26" s="1">
        <v>100</v>
      </c>
      <c r="J26" s="1">
        <f t="shared" si="1"/>
        <v>14500</v>
      </c>
    </row>
    <row r="27" spans="1:10" ht="25.2" x14ac:dyDescent="0.3">
      <c r="A27" s="1"/>
      <c r="B27" s="1"/>
      <c r="C27" s="1"/>
      <c r="D27" s="1"/>
      <c r="E27" s="1" t="s">
        <v>123</v>
      </c>
      <c r="F27" s="51" t="s">
        <v>2016</v>
      </c>
      <c r="G27" s="1">
        <v>20</v>
      </c>
      <c r="H27" s="1" t="s">
        <v>60</v>
      </c>
      <c r="I27" s="1">
        <v>100</v>
      </c>
      <c r="J27" s="1">
        <f t="shared" si="1"/>
        <v>2000</v>
      </c>
    </row>
    <row r="28" spans="1:10" ht="25.2" x14ac:dyDescent="0.3">
      <c r="A28" s="1"/>
      <c r="B28" s="1"/>
      <c r="C28" s="1"/>
      <c r="D28" s="1"/>
      <c r="E28" s="1" t="s">
        <v>123</v>
      </c>
      <c r="F28" s="51" t="s">
        <v>2017</v>
      </c>
      <c r="G28" s="1">
        <v>40</v>
      </c>
      <c r="H28" s="1" t="s">
        <v>28</v>
      </c>
      <c r="I28" s="1">
        <v>100</v>
      </c>
      <c r="J28" s="1">
        <f t="shared" si="1"/>
        <v>4000</v>
      </c>
    </row>
    <row r="29" spans="1:10" x14ac:dyDescent="0.3">
      <c r="A29" s="1"/>
      <c r="B29" s="1"/>
      <c r="C29" s="1"/>
      <c r="D29" s="1"/>
      <c r="E29" s="1" t="s">
        <v>123</v>
      </c>
      <c r="F29" s="26" t="s">
        <v>2018</v>
      </c>
      <c r="G29" s="1">
        <v>2</v>
      </c>
      <c r="H29" s="1" t="s">
        <v>87</v>
      </c>
      <c r="I29" s="1">
        <v>100</v>
      </c>
      <c r="J29" s="1">
        <f t="shared" si="1"/>
        <v>200</v>
      </c>
    </row>
    <row r="30" spans="1:10" x14ac:dyDescent="0.3">
      <c r="A30" s="1"/>
      <c r="B30" s="1"/>
      <c r="C30" s="1"/>
      <c r="D30" s="1"/>
      <c r="E30" s="1" t="s">
        <v>123</v>
      </c>
      <c r="F30" s="26" t="s">
        <v>2019</v>
      </c>
      <c r="G30" s="1">
        <v>2</v>
      </c>
      <c r="H30" s="1" t="s">
        <v>87</v>
      </c>
      <c r="I30" s="1">
        <v>100</v>
      </c>
      <c r="J30" s="1">
        <f t="shared" si="1"/>
        <v>200</v>
      </c>
    </row>
    <row r="31" spans="1:10" x14ac:dyDescent="0.3">
      <c r="A31" s="1"/>
      <c r="B31" s="1"/>
      <c r="C31" s="1"/>
      <c r="D31" s="1"/>
      <c r="E31" s="1" t="s">
        <v>123</v>
      </c>
      <c r="F31" s="26" t="s">
        <v>2020</v>
      </c>
      <c r="G31" s="1">
        <v>15</v>
      </c>
      <c r="H31" s="1" t="s">
        <v>87</v>
      </c>
      <c r="I31" s="1">
        <v>100</v>
      </c>
      <c r="J31" s="1">
        <f t="shared" si="1"/>
        <v>1500</v>
      </c>
    </row>
    <row r="32" spans="1:10" x14ac:dyDescent="0.3">
      <c r="A32" s="1"/>
      <c r="B32" s="1"/>
      <c r="C32" s="1"/>
      <c r="D32" s="1"/>
      <c r="E32" s="1" t="s">
        <v>123</v>
      </c>
      <c r="F32" s="26" t="s">
        <v>2021</v>
      </c>
      <c r="G32" s="1">
        <v>15</v>
      </c>
      <c r="H32" s="1" t="s">
        <v>87</v>
      </c>
      <c r="I32" s="1">
        <v>100</v>
      </c>
      <c r="J32" s="1">
        <f t="shared" si="1"/>
        <v>1500</v>
      </c>
    </row>
    <row r="33" spans="1:10" x14ac:dyDescent="0.3">
      <c r="A33" s="1"/>
      <c r="B33" s="1"/>
      <c r="C33" s="1"/>
      <c r="D33" s="1"/>
      <c r="E33" s="1" t="s">
        <v>123</v>
      </c>
      <c r="F33" s="26" t="s">
        <v>2022</v>
      </c>
      <c r="G33" s="1">
        <v>110</v>
      </c>
      <c r="H33" s="1" t="s">
        <v>87</v>
      </c>
      <c r="I33" s="1">
        <v>100</v>
      </c>
      <c r="J33" s="1">
        <f t="shared" si="1"/>
        <v>11000</v>
      </c>
    </row>
    <row r="34" spans="1:10" ht="25.2" x14ac:dyDescent="0.3">
      <c r="A34" s="1"/>
      <c r="B34" s="1"/>
      <c r="C34" s="1"/>
      <c r="D34" s="1"/>
      <c r="E34" s="1" t="s">
        <v>123</v>
      </c>
      <c r="F34" s="51" t="s">
        <v>2023</v>
      </c>
      <c r="G34" s="1">
        <v>7</v>
      </c>
      <c r="H34" s="1" t="s">
        <v>87</v>
      </c>
      <c r="I34" s="1">
        <v>100</v>
      </c>
      <c r="J34" s="1">
        <f t="shared" si="1"/>
        <v>700</v>
      </c>
    </row>
    <row r="35" spans="1:10" ht="25.2" x14ac:dyDescent="0.3">
      <c r="A35" s="1"/>
      <c r="B35" s="1"/>
      <c r="C35" s="1"/>
      <c r="D35" s="1"/>
      <c r="E35" s="1" t="s">
        <v>123</v>
      </c>
      <c r="F35" s="51" t="s">
        <v>2024</v>
      </c>
      <c r="G35" s="1">
        <v>15</v>
      </c>
      <c r="H35" s="1" t="s">
        <v>87</v>
      </c>
      <c r="I35" s="1">
        <v>100</v>
      </c>
      <c r="J35" s="1">
        <f t="shared" si="1"/>
        <v>1500</v>
      </c>
    </row>
    <row r="36" spans="1:10" ht="25.2" x14ac:dyDescent="0.3">
      <c r="A36" s="1"/>
      <c r="B36" s="1"/>
      <c r="C36" s="1"/>
      <c r="D36" s="1"/>
      <c r="E36" s="1" t="s">
        <v>123</v>
      </c>
      <c r="F36" s="51" t="s">
        <v>2025</v>
      </c>
      <c r="G36" s="1">
        <v>15</v>
      </c>
      <c r="H36" s="1" t="s">
        <v>60</v>
      </c>
      <c r="I36" s="1">
        <v>100</v>
      </c>
      <c r="J36" s="1">
        <f t="shared" si="1"/>
        <v>1500</v>
      </c>
    </row>
    <row r="37" spans="1:10" ht="25.2" x14ac:dyDescent="0.3">
      <c r="A37" s="1"/>
      <c r="B37" s="1"/>
      <c r="C37" s="1"/>
      <c r="D37" s="1"/>
      <c r="E37" s="1" t="s">
        <v>123</v>
      </c>
      <c r="F37" s="51" t="s">
        <v>2026</v>
      </c>
      <c r="G37" s="1">
        <v>255</v>
      </c>
      <c r="H37" s="1" t="s">
        <v>60</v>
      </c>
      <c r="I37" s="1">
        <v>21</v>
      </c>
      <c r="J37" s="1">
        <f t="shared" si="1"/>
        <v>5355</v>
      </c>
    </row>
    <row r="38" spans="1:10" ht="25.2" x14ac:dyDescent="0.3">
      <c r="A38" s="1"/>
      <c r="B38" s="1"/>
      <c r="C38" s="1"/>
      <c r="D38" s="1"/>
      <c r="E38" s="1" t="s">
        <v>123</v>
      </c>
      <c r="F38" s="51" t="s">
        <v>2027</v>
      </c>
      <c r="G38" s="1">
        <v>255</v>
      </c>
      <c r="H38" s="1" t="s">
        <v>60</v>
      </c>
      <c r="I38" s="1">
        <v>18</v>
      </c>
      <c r="J38" s="1">
        <f t="shared" si="1"/>
        <v>4590</v>
      </c>
    </row>
    <row r="39" spans="1:10" ht="25.2" x14ac:dyDescent="0.3">
      <c r="A39" s="1"/>
      <c r="B39" s="1"/>
      <c r="C39" s="1"/>
      <c r="D39" s="1"/>
      <c r="E39" s="1" t="s">
        <v>123</v>
      </c>
      <c r="F39" s="51" t="s">
        <v>2028</v>
      </c>
      <c r="G39" s="1">
        <v>30</v>
      </c>
      <c r="H39" s="1" t="s">
        <v>87</v>
      </c>
      <c r="I39" s="1">
        <v>1000</v>
      </c>
      <c r="J39" s="1">
        <f t="shared" si="1"/>
        <v>30000</v>
      </c>
    </row>
    <row r="40" spans="1:10" ht="25.2" x14ac:dyDescent="0.3">
      <c r="A40" s="1"/>
      <c r="B40" s="1"/>
      <c r="C40" s="1"/>
      <c r="D40" s="1"/>
      <c r="E40" s="1" t="s">
        <v>123</v>
      </c>
      <c r="F40" s="51" t="s">
        <v>2029</v>
      </c>
      <c r="G40" s="1">
        <v>16</v>
      </c>
      <c r="H40" s="1" t="s">
        <v>87</v>
      </c>
      <c r="I40" s="1">
        <v>400</v>
      </c>
      <c r="J40" s="1">
        <f t="shared" si="1"/>
        <v>6400</v>
      </c>
    </row>
    <row r="41" spans="1:10" ht="25.2" x14ac:dyDescent="0.3">
      <c r="A41" s="1"/>
      <c r="B41" s="1"/>
      <c r="C41" s="1"/>
      <c r="D41" s="1"/>
      <c r="E41" s="1" t="s">
        <v>123</v>
      </c>
      <c r="F41" s="51" t="s">
        <v>2030</v>
      </c>
      <c r="G41" s="1">
        <v>16</v>
      </c>
      <c r="H41" s="1" t="s">
        <v>60</v>
      </c>
      <c r="I41" s="1">
        <v>298</v>
      </c>
      <c r="J41" s="1">
        <f t="shared" si="1"/>
        <v>4768</v>
      </c>
    </row>
    <row r="42" spans="1:10" x14ac:dyDescent="0.3">
      <c r="A42" s="1"/>
      <c r="B42" s="1"/>
      <c r="C42" s="1"/>
      <c r="D42" s="1"/>
      <c r="E42" s="1" t="s">
        <v>123</v>
      </c>
      <c r="F42" s="26" t="s">
        <v>2031</v>
      </c>
      <c r="G42" s="1">
        <v>315</v>
      </c>
      <c r="H42" s="1" t="s">
        <v>87</v>
      </c>
      <c r="I42" s="1">
        <v>150</v>
      </c>
      <c r="J42" s="1">
        <f t="shared" si="1"/>
        <v>47250</v>
      </c>
    </row>
    <row r="43" spans="1:10" x14ac:dyDescent="0.3">
      <c r="A43" s="1"/>
      <c r="B43" s="1"/>
      <c r="C43" s="1"/>
      <c r="D43" s="1"/>
      <c r="E43" s="1" t="s">
        <v>123</v>
      </c>
      <c r="F43" s="26" t="s">
        <v>2032</v>
      </c>
      <c r="G43" s="1">
        <v>15</v>
      </c>
      <c r="H43" s="1" t="s">
        <v>87</v>
      </c>
      <c r="I43" s="1">
        <v>145</v>
      </c>
      <c r="J43" s="1">
        <f t="shared" si="1"/>
        <v>2175</v>
      </c>
    </row>
    <row r="44" spans="1:10" x14ac:dyDescent="0.3">
      <c r="A44" s="1"/>
      <c r="B44" s="1"/>
      <c r="C44" s="1"/>
      <c r="D44" s="1"/>
      <c r="E44" s="1" t="s">
        <v>123</v>
      </c>
      <c r="F44" s="26" t="s">
        <v>2033</v>
      </c>
      <c r="G44" s="1">
        <v>2</v>
      </c>
      <c r="H44" s="1" t="s">
        <v>857</v>
      </c>
      <c r="I44" s="1">
        <v>2500</v>
      </c>
      <c r="J44" s="1">
        <f t="shared" si="1"/>
        <v>5000</v>
      </c>
    </row>
    <row r="45" spans="1:10" ht="25.2" x14ac:dyDescent="0.3">
      <c r="A45" s="1"/>
      <c r="B45" s="1"/>
      <c r="C45" s="1"/>
      <c r="D45" s="1"/>
      <c r="E45" s="1" t="s">
        <v>123</v>
      </c>
      <c r="F45" s="51" t="s">
        <v>2034</v>
      </c>
      <c r="G45" s="1">
        <v>4</v>
      </c>
      <c r="H45" s="1" t="s">
        <v>857</v>
      </c>
      <c r="I45" s="1">
        <v>2500</v>
      </c>
      <c r="J45" s="1">
        <f t="shared" si="1"/>
        <v>10000</v>
      </c>
    </row>
    <row r="46" spans="1:10" x14ac:dyDescent="0.3">
      <c r="A46" s="1"/>
      <c r="B46" s="1"/>
      <c r="C46" s="1"/>
      <c r="D46" s="1"/>
      <c r="E46" s="1"/>
      <c r="F46" s="191" t="s">
        <v>39</v>
      </c>
      <c r="G46" s="1"/>
      <c r="H46" s="1"/>
      <c r="I46" s="1"/>
      <c r="J46" s="124">
        <f>SUM(J25:J45)</f>
        <v>165138</v>
      </c>
    </row>
    <row r="47" spans="1:10" x14ac:dyDescent="0.3">
      <c r="A47" s="1"/>
      <c r="B47" s="1"/>
      <c r="C47" s="1"/>
      <c r="D47" s="1"/>
      <c r="E47" s="1"/>
      <c r="F47" s="191" t="s">
        <v>599</v>
      </c>
      <c r="G47" s="1"/>
      <c r="H47" s="1"/>
      <c r="I47" s="1"/>
      <c r="J47" s="124">
        <f>J46*0/100</f>
        <v>0</v>
      </c>
    </row>
    <row r="48" spans="1:10" x14ac:dyDescent="0.3">
      <c r="A48" s="1"/>
      <c r="B48" s="1"/>
      <c r="C48" s="1"/>
      <c r="D48" s="1"/>
      <c r="E48" s="1"/>
      <c r="F48" s="191" t="s">
        <v>41</v>
      </c>
      <c r="G48" s="1"/>
      <c r="H48" s="1"/>
      <c r="I48" s="1"/>
      <c r="J48" s="124">
        <f>SUM(J46:J47)</f>
        <v>165138</v>
      </c>
    </row>
    <row r="50" spans="1:14" x14ac:dyDescent="0.3">
      <c r="A50" s="1">
        <v>179</v>
      </c>
      <c r="B50" s="1">
        <v>8600064358</v>
      </c>
      <c r="C50" s="1" t="s">
        <v>2044</v>
      </c>
      <c r="D50" s="1" t="s">
        <v>43</v>
      </c>
      <c r="E50" s="85" t="s">
        <v>127</v>
      </c>
      <c r="F50" s="160" t="s">
        <v>2066</v>
      </c>
      <c r="G50" s="85">
        <v>35</v>
      </c>
      <c r="H50" s="85" t="s">
        <v>28</v>
      </c>
      <c r="I50" s="85">
        <v>386</v>
      </c>
      <c r="J50" s="85">
        <f t="shared" ref="J50" si="2">G50*I50</f>
        <v>13510</v>
      </c>
    </row>
    <row r="52" spans="1:14" ht="63" x14ac:dyDescent="0.3">
      <c r="A52" s="1">
        <v>182</v>
      </c>
      <c r="B52" s="1">
        <v>9200159580</v>
      </c>
      <c r="C52" s="37">
        <v>46084</v>
      </c>
      <c r="D52" s="1" t="s">
        <v>300</v>
      </c>
      <c r="E52" s="1" t="s">
        <v>123</v>
      </c>
      <c r="F52" s="51" t="s">
        <v>2328</v>
      </c>
      <c r="G52" s="1">
        <v>350</v>
      </c>
      <c r="H52" s="1" t="s">
        <v>111</v>
      </c>
      <c r="I52" s="1">
        <v>260</v>
      </c>
      <c r="J52" s="1">
        <f>G52*I52</f>
        <v>91000</v>
      </c>
      <c r="K52" s="119">
        <v>34</v>
      </c>
      <c r="L52" s="119" t="s">
        <v>205</v>
      </c>
      <c r="M52" s="119" t="s">
        <v>91</v>
      </c>
      <c r="N52" s="119" t="s">
        <v>2332</v>
      </c>
    </row>
    <row r="53" spans="1:14" ht="63" x14ac:dyDescent="0.3">
      <c r="A53" s="1"/>
      <c r="B53" s="1"/>
      <c r="C53" s="1"/>
      <c r="D53" s="1"/>
      <c r="E53" s="1" t="s">
        <v>123</v>
      </c>
      <c r="F53" s="51" t="s">
        <v>2327</v>
      </c>
      <c r="G53" s="1">
        <v>150</v>
      </c>
      <c r="H53" s="1" t="s">
        <v>111</v>
      </c>
      <c r="I53" s="1">
        <v>280</v>
      </c>
      <c r="J53" s="1">
        <f t="shared" ref="J53:J71" si="3">G53*I53</f>
        <v>42000</v>
      </c>
      <c r="K53" s="119">
        <v>9</v>
      </c>
      <c r="L53" s="119" t="s">
        <v>205</v>
      </c>
      <c r="M53" s="119" t="s">
        <v>91</v>
      </c>
      <c r="N53" s="119" t="s">
        <v>2329</v>
      </c>
    </row>
    <row r="54" spans="1:14" ht="25.2" x14ac:dyDescent="0.3">
      <c r="A54" s="1"/>
      <c r="B54" s="1"/>
      <c r="C54" s="1"/>
      <c r="D54" s="1"/>
      <c r="E54" s="1" t="s">
        <v>123</v>
      </c>
      <c r="F54" s="51" t="s">
        <v>2094</v>
      </c>
      <c r="G54" s="1">
        <v>100</v>
      </c>
      <c r="H54" s="1" t="s">
        <v>111</v>
      </c>
      <c r="I54" s="1">
        <v>190</v>
      </c>
      <c r="J54" s="1">
        <f t="shared" si="3"/>
        <v>19000</v>
      </c>
      <c r="K54" s="1"/>
      <c r="L54" s="1"/>
      <c r="M54" s="1"/>
      <c r="N54" s="1"/>
    </row>
    <row r="55" spans="1:14" ht="37.799999999999997" x14ac:dyDescent="0.3">
      <c r="A55" s="1"/>
      <c r="B55" s="1"/>
      <c r="C55" s="1"/>
      <c r="D55" s="1"/>
      <c r="E55" s="1" t="s">
        <v>123</v>
      </c>
      <c r="F55" s="51" t="s">
        <v>2095</v>
      </c>
      <c r="G55" s="1">
        <v>1</v>
      </c>
      <c r="H55" s="1" t="s">
        <v>28</v>
      </c>
      <c r="I55" s="1">
        <v>15800</v>
      </c>
      <c r="J55" s="1">
        <f t="shared" si="3"/>
        <v>15800</v>
      </c>
      <c r="K55" s="1"/>
      <c r="L55" s="1"/>
      <c r="M55" s="1"/>
      <c r="N55" s="1"/>
    </row>
    <row r="56" spans="1:14" ht="25.2" x14ac:dyDescent="0.3">
      <c r="A56" s="1"/>
      <c r="B56" s="1"/>
      <c r="C56" s="1"/>
      <c r="D56" s="1"/>
      <c r="E56" s="1" t="s">
        <v>123</v>
      </c>
      <c r="F56" s="51" t="s">
        <v>2096</v>
      </c>
      <c r="G56" s="1">
        <v>20</v>
      </c>
      <c r="H56" s="1" t="s">
        <v>252</v>
      </c>
      <c r="I56" s="1">
        <v>750</v>
      </c>
      <c r="J56" s="1">
        <f t="shared" si="3"/>
        <v>15000</v>
      </c>
      <c r="K56" s="119">
        <v>20</v>
      </c>
      <c r="L56" s="119" t="s">
        <v>308</v>
      </c>
      <c r="M56" s="119" t="s">
        <v>91</v>
      </c>
      <c r="N56" s="119" t="s">
        <v>2142</v>
      </c>
    </row>
    <row r="57" spans="1:14" x14ac:dyDescent="0.3">
      <c r="A57" s="1"/>
      <c r="B57" s="1"/>
      <c r="C57" s="1"/>
      <c r="D57" s="1"/>
      <c r="E57" s="1" t="s">
        <v>123</v>
      </c>
      <c r="F57" s="26" t="s">
        <v>2097</v>
      </c>
      <c r="G57" s="1">
        <v>4</v>
      </c>
      <c r="H57" s="1" t="s">
        <v>28</v>
      </c>
      <c r="I57" s="1">
        <v>325</v>
      </c>
      <c r="J57" s="1">
        <f t="shared" si="3"/>
        <v>1300</v>
      </c>
      <c r="K57" s="119">
        <v>4</v>
      </c>
      <c r="L57" s="119" t="s">
        <v>28</v>
      </c>
      <c r="M57" s="119" t="s">
        <v>91</v>
      </c>
      <c r="N57" s="119" t="s">
        <v>2142</v>
      </c>
    </row>
    <row r="58" spans="1:14" x14ac:dyDescent="0.3">
      <c r="A58" s="1"/>
      <c r="B58" s="1"/>
      <c r="C58" s="1"/>
      <c r="D58" s="1"/>
      <c r="E58" s="1" t="s">
        <v>123</v>
      </c>
      <c r="F58" s="26" t="s">
        <v>2098</v>
      </c>
      <c r="G58" s="1">
        <v>4</v>
      </c>
      <c r="H58" s="1" t="s">
        <v>28</v>
      </c>
      <c r="I58" s="1">
        <v>325</v>
      </c>
      <c r="J58" s="1">
        <f t="shared" si="3"/>
        <v>1300</v>
      </c>
      <c r="K58" s="119"/>
      <c r="L58" s="119"/>
      <c r="M58" s="119" t="s">
        <v>91</v>
      </c>
      <c r="N58" s="119" t="s">
        <v>2142</v>
      </c>
    </row>
    <row r="59" spans="1:14" x14ac:dyDescent="0.3">
      <c r="A59" s="1"/>
      <c r="B59" s="1"/>
      <c r="C59" s="1"/>
      <c r="D59" s="1"/>
      <c r="E59" s="1" t="s">
        <v>123</v>
      </c>
      <c r="F59" s="26" t="s">
        <v>2099</v>
      </c>
      <c r="G59" s="1">
        <v>6</v>
      </c>
      <c r="H59" s="1" t="s">
        <v>28</v>
      </c>
      <c r="I59" s="1">
        <v>175</v>
      </c>
      <c r="J59" s="1">
        <f t="shared" si="3"/>
        <v>1050</v>
      </c>
      <c r="K59" s="119">
        <v>6</v>
      </c>
      <c r="L59" s="119" t="s">
        <v>28</v>
      </c>
      <c r="M59" s="119" t="s">
        <v>91</v>
      </c>
      <c r="N59" s="119" t="s">
        <v>2142</v>
      </c>
    </row>
    <row r="60" spans="1:14" ht="37.799999999999997" x14ac:dyDescent="0.3">
      <c r="A60" s="1"/>
      <c r="B60" s="1"/>
      <c r="C60" s="1"/>
      <c r="D60" s="1"/>
      <c r="E60" s="1" t="s">
        <v>123</v>
      </c>
      <c r="F60" s="51" t="s">
        <v>2100</v>
      </c>
      <c r="G60" s="1">
        <v>2</v>
      </c>
      <c r="H60" s="1" t="s">
        <v>28</v>
      </c>
      <c r="I60" s="1">
        <v>5000</v>
      </c>
      <c r="J60" s="1">
        <f t="shared" si="3"/>
        <v>10000</v>
      </c>
      <c r="K60" s="1"/>
      <c r="L60" s="1"/>
      <c r="M60" s="1"/>
      <c r="N60" s="1"/>
    </row>
    <row r="61" spans="1:14" x14ac:dyDescent="0.3">
      <c r="A61" s="1"/>
      <c r="B61" s="1"/>
      <c r="C61" s="1"/>
      <c r="D61" s="1"/>
      <c r="E61" s="1" t="s">
        <v>123</v>
      </c>
      <c r="F61" s="26" t="s">
        <v>2101</v>
      </c>
      <c r="G61" s="1">
        <v>4</v>
      </c>
      <c r="H61" s="1" t="s">
        <v>28</v>
      </c>
      <c r="I61" s="1">
        <v>986</v>
      </c>
      <c r="J61" s="1">
        <f t="shared" si="3"/>
        <v>3944</v>
      </c>
      <c r="K61" s="1"/>
      <c r="L61" s="1"/>
      <c r="M61" s="1"/>
      <c r="N61" s="1"/>
    </row>
    <row r="62" spans="1:14" x14ac:dyDescent="0.3">
      <c r="A62" s="1"/>
      <c r="B62" s="1"/>
      <c r="C62" s="1"/>
      <c r="D62" s="1"/>
      <c r="E62" s="1" t="s">
        <v>123</v>
      </c>
      <c r="F62" s="26" t="s">
        <v>2102</v>
      </c>
      <c r="G62" s="1">
        <v>3</v>
      </c>
      <c r="H62" s="1" t="s">
        <v>28</v>
      </c>
      <c r="I62" s="1">
        <v>910</v>
      </c>
      <c r="J62" s="1">
        <f t="shared" si="3"/>
        <v>2730</v>
      </c>
      <c r="K62" s="1"/>
      <c r="L62" s="1"/>
      <c r="M62" s="1"/>
      <c r="N62" s="1"/>
    </row>
    <row r="63" spans="1:14" x14ac:dyDescent="0.3">
      <c r="A63" s="1"/>
      <c r="B63" s="1"/>
      <c r="C63" s="1"/>
      <c r="D63" s="1"/>
      <c r="E63" s="1" t="s">
        <v>123</v>
      </c>
      <c r="F63" s="26" t="s">
        <v>2103</v>
      </c>
      <c r="G63" s="1">
        <v>6</v>
      </c>
      <c r="H63" s="1" t="s">
        <v>28</v>
      </c>
      <c r="I63" s="1">
        <v>225</v>
      </c>
      <c r="J63" s="1">
        <f t="shared" si="3"/>
        <v>1350</v>
      </c>
      <c r="K63" s="1"/>
      <c r="L63" s="1"/>
      <c r="M63" s="1"/>
      <c r="N63" s="1"/>
    </row>
    <row r="64" spans="1:14" ht="25.2" x14ac:dyDescent="0.3">
      <c r="A64" s="1"/>
      <c r="B64" s="1"/>
      <c r="C64" s="1"/>
      <c r="D64" s="1"/>
      <c r="E64" s="1" t="s">
        <v>123</v>
      </c>
      <c r="F64" s="51" t="s">
        <v>2104</v>
      </c>
      <c r="G64" s="1">
        <v>1</v>
      </c>
      <c r="H64" s="1" t="s">
        <v>87</v>
      </c>
      <c r="I64" s="1">
        <v>6500</v>
      </c>
      <c r="J64" s="1">
        <f t="shared" si="3"/>
        <v>6500</v>
      </c>
      <c r="K64" s="1"/>
      <c r="L64" s="1"/>
      <c r="M64" s="1"/>
      <c r="N64" s="1"/>
    </row>
    <row r="65" spans="1:14" ht="25.2" x14ac:dyDescent="0.3">
      <c r="A65" s="1"/>
      <c r="B65" s="1"/>
      <c r="C65" s="1"/>
      <c r="D65" s="1"/>
      <c r="E65" s="1" t="s">
        <v>123</v>
      </c>
      <c r="F65" s="51" t="s">
        <v>2105</v>
      </c>
      <c r="G65" s="1">
        <v>1</v>
      </c>
      <c r="H65" s="1" t="s">
        <v>87</v>
      </c>
      <c r="I65" s="1">
        <v>2500</v>
      </c>
      <c r="J65" s="1">
        <f t="shared" si="3"/>
        <v>2500</v>
      </c>
      <c r="K65" s="1"/>
      <c r="L65" s="1"/>
      <c r="M65" s="1"/>
      <c r="N65" s="1"/>
    </row>
    <row r="66" spans="1:14" ht="25.2" x14ac:dyDescent="0.3">
      <c r="A66" s="1"/>
      <c r="B66" s="1"/>
      <c r="C66" s="1"/>
      <c r="D66" s="1"/>
      <c r="E66" s="1" t="s">
        <v>123</v>
      </c>
      <c r="F66" s="51" t="s">
        <v>2106</v>
      </c>
      <c r="G66" s="1">
        <v>4</v>
      </c>
      <c r="H66" s="1" t="s">
        <v>28</v>
      </c>
      <c r="I66" s="1">
        <v>1180</v>
      </c>
      <c r="J66" s="1">
        <f t="shared" si="3"/>
        <v>4720</v>
      </c>
      <c r="K66" s="1"/>
      <c r="L66" s="1"/>
      <c r="M66" s="1"/>
      <c r="N66" s="1"/>
    </row>
    <row r="67" spans="1:14" x14ac:dyDescent="0.3">
      <c r="A67" s="1"/>
      <c r="B67" s="1"/>
      <c r="C67" s="1"/>
      <c r="D67" s="1"/>
      <c r="E67" s="1" t="s">
        <v>123</v>
      </c>
      <c r="F67" s="51" t="s">
        <v>2107</v>
      </c>
      <c r="G67" s="1">
        <v>1</v>
      </c>
      <c r="H67" s="1" t="s">
        <v>87</v>
      </c>
      <c r="I67" s="1">
        <v>4500</v>
      </c>
      <c r="J67" s="1">
        <f t="shared" si="3"/>
        <v>4500</v>
      </c>
      <c r="K67" s="1"/>
      <c r="L67" s="1"/>
      <c r="M67" s="1"/>
      <c r="N67" s="1"/>
    </row>
    <row r="68" spans="1:14" ht="50.4" x14ac:dyDescent="0.3">
      <c r="A68" s="1"/>
      <c r="B68" s="1"/>
      <c r="C68" s="1"/>
      <c r="D68" s="1"/>
      <c r="E68" s="1" t="s">
        <v>123</v>
      </c>
      <c r="F68" s="51" t="s">
        <v>2108</v>
      </c>
      <c r="G68" s="1">
        <v>60</v>
      </c>
      <c r="H68" s="1" t="s">
        <v>111</v>
      </c>
      <c r="I68" s="1">
        <v>375</v>
      </c>
      <c r="J68" s="1">
        <f t="shared" si="3"/>
        <v>22500</v>
      </c>
      <c r="K68" s="1"/>
      <c r="L68" s="1"/>
      <c r="M68" s="1"/>
      <c r="N68" s="1"/>
    </row>
    <row r="69" spans="1:14" x14ac:dyDescent="0.3">
      <c r="A69" s="1"/>
      <c r="B69" s="1"/>
      <c r="C69" s="1"/>
      <c r="D69" s="1"/>
      <c r="E69" s="1" t="s">
        <v>123</v>
      </c>
      <c r="F69" s="26" t="s">
        <v>2109</v>
      </c>
      <c r="G69" s="1">
        <v>1</v>
      </c>
      <c r="H69" s="1" t="s">
        <v>28</v>
      </c>
      <c r="I69" s="1">
        <v>3200</v>
      </c>
      <c r="J69" s="1">
        <f t="shared" si="3"/>
        <v>3200</v>
      </c>
      <c r="K69" s="1"/>
      <c r="L69" s="1"/>
      <c r="M69" s="1"/>
      <c r="N69" s="1"/>
    </row>
    <row r="70" spans="1:14" x14ac:dyDescent="0.3">
      <c r="A70" s="1"/>
      <c r="B70" s="1"/>
      <c r="C70" s="1"/>
      <c r="D70" s="1"/>
      <c r="E70" s="1" t="s">
        <v>123</v>
      </c>
      <c r="F70" s="26" t="s">
        <v>2110</v>
      </c>
      <c r="G70" s="1">
        <v>1000</v>
      </c>
      <c r="H70" s="1" t="s">
        <v>111</v>
      </c>
      <c r="I70" s="1">
        <v>12</v>
      </c>
      <c r="J70" s="1">
        <f t="shared" si="3"/>
        <v>12000</v>
      </c>
      <c r="K70" s="1"/>
      <c r="L70" s="1"/>
      <c r="M70" s="1"/>
      <c r="N70" s="1"/>
    </row>
    <row r="71" spans="1:14" x14ac:dyDescent="0.3">
      <c r="A71" s="1"/>
      <c r="B71" s="1"/>
      <c r="C71" s="1"/>
      <c r="D71" s="1"/>
      <c r="E71" s="1" t="s">
        <v>123</v>
      </c>
      <c r="F71" s="26" t="s">
        <v>2111</v>
      </c>
      <c r="G71" s="1">
        <v>1000</v>
      </c>
      <c r="H71" s="1" t="s">
        <v>111</v>
      </c>
      <c r="I71" s="1">
        <v>23</v>
      </c>
      <c r="J71" s="1">
        <f t="shared" si="3"/>
        <v>23000</v>
      </c>
      <c r="K71" s="1"/>
      <c r="L71" s="1"/>
      <c r="M71" s="1"/>
      <c r="N71" s="1"/>
    </row>
    <row r="72" spans="1:14" x14ac:dyDescent="0.3">
      <c r="A72" s="1"/>
      <c r="B72" s="1"/>
      <c r="C72" s="1"/>
      <c r="D72" s="1"/>
      <c r="E72" s="1"/>
      <c r="F72" s="191" t="s">
        <v>39</v>
      </c>
      <c r="G72" s="1"/>
      <c r="H72" s="1"/>
      <c r="I72" s="1"/>
      <c r="J72" s="124">
        <f>SUM(J52:J71)</f>
        <v>283394</v>
      </c>
      <c r="K72" s="1"/>
      <c r="L72" s="1"/>
      <c r="M72" s="1"/>
      <c r="N72" s="1"/>
    </row>
    <row r="73" spans="1:14" x14ac:dyDescent="0.3">
      <c r="A73" s="1"/>
      <c r="B73" s="1"/>
      <c r="C73" s="1"/>
      <c r="D73" s="1"/>
      <c r="E73" s="1"/>
      <c r="F73" s="191" t="s">
        <v>187</v>
      </c>
      <c r="G73" s="1"/>
      <c r="H73" s="1"/>
      <c r="I73" s="1"/>
      <c r="J73" s="124">
        <f>J72*18/100</f>
        <v>51010.92</v>
      </c>
      <c r="K73" s="1"/>
      <c r="L73" s="1"/>
      <c r="M73" s="1"/>
      <c r="N73" s="1"/>
    </row>
    <row r="74" spans="1:14" x14ac:dyDescent="0.3">
      <c r="A74" s="1"/>
      <c r="B74" s="1"/>
      <c r="C74" s="1"/>
      <c r="D74" s="1"/>
      <c r="E74" s="1"/>
      <c r="F74" s="191" t="s">
        <v>41</v>
      </c>
      <c r="G74" s="1"/>
      <c r="H74" s="1"/>
      <c r="I74" s="1"/>
      <c r="J74" s="124">
        <f>SUM(J72:J73)</f>
        <v>334404.92</v>
      </c>
      <c r="K74" s="1"/>
      <c r="L74" s="1"/>
      <c r="M74" s="1"/>
      <c r="N74" s="1"/>
    </row>
    <row r="76" spans="1:14" ht="25.2" x14ac:dyDescent="0.3">
      <c r="A76" s="1">
        <v>184</v>
      </c>
      <c r="B76" s="1">
        <v>8600064697</v>
      </c>
      <c r="C76" s="37">
        <v>46176</v>
      </c>
      <c r="D76" s="22" t="s">
        <v>2114</v>
      </c>
      <c r="E76" s="1" t="s">
        <v>127</v>
      </c>
      <c r="F76" s="51" t="s">
        <v>2115</v>
      </c>
      <c r="G76" s="1">
        <v>100</v>
      </c>
      <c r="H76" s="1" t="s">
        <v>28</v>
      </c>
      <c r="I76" s="1">
        <v>190</v>
      </c>
      <c r="J76" s="1">
        <f t="shared" ref="J76:J78" si="4">G76*I76</f>
        <v>19000</v>
      </c>
    </row>
    <row r="77" spans="1:14" ht="25.2" x14ac:dyDescent="0.3">
      <c r="A77" s="1"/>
      <c r="B77" s="1"/>
      <c r="C77" s="1"/>
      <c r="D77" s="1"/>
      <c r="E77" s="1" t="s">
        <v>127</v>
      </c>
      <c r="F77" s="51" t="s">
        <v>2116</v>
      </c>
      <c r="G77" s="1">
        <v>4</v>
      </c>
      <c r="H77" s="1" t="s">
        <v>28</v>
      </c>
      <c r="I77" s="1">
        <v>1850</v>
      </c>
      <c r="J77" s="1">
        <f t="shared" si="4"/>
        <v>7400</v>
      </c>
    </row>
    <row r="78" spans="1:14" ht="25.2" x14ac:dyDescent="0.3">
      <c r="A78" s="1"/>
      <c r="B78" s="1"/>
      <c r="C78" s="1"/>
      <c r="D78" s="1"/>
      <c r="E78" s="1" t="s">
        <v>127</v>
      </c>
      <c r="F78" s="51" t="s">
        <v>2117</v>
      </c>
      <c r="G78" s="1">
        <v>8</v>
      </c>
      <c r="H78" s="1" t="s">
        <v>28</v>
      </c>
      <c r="I78" s="1">
        <v>2159</v>
      </c>
      <c r="J78" s="1">
        <f t="shared" si="4"/>
        <v>17272</v>
      </c>
    </row>
    <row r="79" spans="1:14" x14ac:dyDescent="0.3">
      <c r="A79" s="1"/>
      <c r="B79" s="1"/>
      <c r="C79" s="1"/>
      <c r="D79" s="1"/>
      <c r="E79" s="1"/>
      <c r="F79" s="191" t="s">
        <v>39</v>
      </c>
      <c r="G79" s="1"/>
      <c r="H79" s="1"/>
      <c r="I79" s="1"/>
      <c r="J79" s="124">
        <f>SUM(J76:J78)</f>
        <v>43672</v>
      </c>
    </row>
    <row r="80" spans="1:14" x14ac:dyDescent="0.3">
      <c r="A80" s="1"/>
      <c r="B80" s="1"/>
      <c r="C80" s="1"/>
      <c r="D80" s="1"/>
      <c r="E80" s="1"/>
      <c r="F80" s="191" t="s">
        <v>187</v>
      </c>
      <c r="G80" s="1"/>
      <c r="H80" s="1"/>
      <c r="I80" s="1"/>
      <c r="J80" s="124">
        <f>J79*18/100</f>
        <v>7860.96</v>
      </c>
    </row>
    <row r="81" spans="1:15" x14ac:dyDescent="0.3">
      <c r="A81" s="1"/>
      <c r="B81" s="1"/>
      <c r="C81" s="1"/>
      <c r="D81" s="1"/>
      <c r="E81" s="1"/>
      <c r="F81" s="191" t="s">
        <v>41</v>
      </c>
      <c r="G81" s="1"/>
      <c r="H81" s="1"/>
      <c r="I81" s="1"/>
      <c r="J81" s="124">
        <f>SUM(J79:J80)</f>
        <v>51532.959999999999</v>
      </c>
    </row>
    <row r="83" spans="1:15" x14ac:dyDescent="0.3">
      <c r="A83" s="1">
        <v>188</v>
      </c>
      <c r="B83" s="1">
        <v>9200160318</v>
      </c>
      <c r="C83" s="1" t="s">
        <v>2157</v>
      </c>
      <c r="D83" s="1" t="s">
        <v>43</v>
      </c>
      <c r="E83" s="1" t="s">
        <v>123</v>
      </c>
      <c r="F83" s="51" t="s">
        <v>2146</v>
      </c>
      <c r="G83" s="1">
        <v>3</v>
      </c>
      <c r="H83" s="1" t="s">
        <v>28</v>
      </c>
      <c r="I83" s="1">
        <v>3000</v>
      </c>
      <c r="J83" s="1">
        <f t="shared" ref="J83:J86" si="5">G83*I83</f>
        <v>9000</v>
      </c>
      <c r="K83" s="1"/>
      <c r="L83" s="1"/>
      <c r="M83" s="1"/>
      <c r="N83" s="1"/>
    </row>
    <row r="84" spans="1:15" ht="25.2" x14ac:dyDescent="0.3">
      <c r="A84" s="1"/>
      <c r="B84" s="1" t="s">
        <v>2158</v>
      </c>
      <c r="C84" s="1"/>
      <c r="D84" s="1"/>
      <c r="E84" s="1" t="s">
        <v>123</v>
      </c>
      <c r="F84" s="155" t="s">
        <v>2149</v>
      </c>
      <c r="G84" s="1">
        <v>3</v>
      </c>
      <c r="H84" s="1" t="s">
        <v>87</v>
      </c>
      <c r="I84" s="1">
        <v>6000</v>
      </c>
      <c r="J84" s="1">
        <f t="shared" si="5"/>
        <v>18000</v>
      </c>
      <c r="K84" s="1"/>
      <c r="L84" s="1"/>
      <c r="M84" s="1"/>
      <c r="N84" s="1"/>
    </row>
    <row r="85" spans="1:15" ht="25.2" x14ac:dyDescent="0.3">
      <c r="A85" s="62"/>
      <c r="B85" s="62"/>
      <c r="C85" s="62"/>
      <c r="D85" s="62"/>
      <c r="E85" s="1" t="s">
        <v>123</v>
      </c>
      <c r="F85" s="51" t="s">
        <v>2147</v>
      </c>
      <c r="G85" s="1">
        <v>150</v>
      </c>
      <c r="H85" s="1" t="s">
        <v>60</v>
      </c>
      <c r="I85" s="1">
        <v>180</v>
      </c>
      <c r="J85" s="1">
        <f t="shared" si="5"/>
        <v>27000</v>
      </c>
      <c r="K85" s="119">
        <v>150</v>
      </c>
      <c r="L85" s="119" t="s">
        <v>60</v>
      </c>
      <c r="M85" s="119" t="s">
        <v>91</v>
      </c>
      <c r="N85" s="119" t="s">
        <v>2202</v>
      </c>
    </row>
    <row r="86" spans="1:15" x14ac:dyDescent="0.3">
      <c r="A86" s="62"/>
      <c r="B86" s="62"/>
      <c r="C86" s="62"/>
      <c r="D86" s="62"/>
      <c r="E86" s="1" t="s">
        <v>123</v>
      </c>
      <c r="F86" s="26" t="s">
        <v>2148</v>
      </c>
      <c r="G86" s="1">
        <v>150</v>
      </c>
      <c r="H86" s="1" t="s">
        <v>60</v>
      </c>
      <c r="I86" s="1">
        <v>45</v>
      </c>
      <c r="J86" s="1">
        <f t="shared" si="5"/>
        <v>6750</v>
      </c>
      <c r="K86" s="1"/>
      <c r="L86" s="1"/>
      <c r="M86" s="1"/>
      <c r="N86" s="1"/>
    </row>
    <row r="87" spans="1:15" x14ac:dyDescent="0.3">
      <c r="A87" s="1"/>
      <c r="B87" s="1"/>
      <c r="C87" s="1"/>
      <c r="D87" s="1"/>
      <c r="E87" s="1"/>
      <c r="F87" s="191" t="s">
        <v>39</v>
      </c>
      <c r="G87" s="1"/>
      <c r="H87" s="1"/>
      <c r="I87" s="1"/>
      <c r="J87" s="124">
        <f>SUM(J83:J86)</f>
        <v>60750</v>
      </c>
      <c r="K87" s="1"/>
      <c r="L87" s="1"/>
      <c r="M87" s="1"/>
      <c r="N87" s="1"/>
    </row>
    <row r="88" spans="1:15" x14ac:dyDescent="0.3">
      <c r="A88" s="1"/>
      <c r="B88" s="1"/>
      <c r="C88" s="1"/>
      <c r="D88" s="1"/>
      <c r="E88" s="1"/>
      <c r="F88" s="191" t="s">
        <v>599</v>
      </c>
      <c r="G88" s="1"/>
      <c r="H88" s="1"/>
      <c r="I88" s="1"/>
      <c r="J88" s="124">
        <f>J87*0/100</f>
        <v>0</v>
      </c>
      <c r="K88" s="1"/>
      <c r="L88" s="1"/>
      <c r="M88" s="1"/>
      <c r="N88" s="1"/>
    </row>
    <row r="89" spans="1:15" x14ac:dyDescent="0.3">
      <c r="A89" s="1"/>
      <c r="B89" s="1"/>
      <c r="C89" s="1"/>
      <c r="D89" s="1"/>
      <c r="E89" s="1"/>
      <c r="F89" s="191" t="s">
        <v>41</v>
      </c>
      <c r="G89" s="1"/>
      <c r="H89" s="1"/>
      <c r="I89" s="1"/>
      <c r="J89" s="124">
        <f>SUM(J87:J88)</f>
        <v>60750</v>
      </c>
      <c r="K89" s="1"/>
      <c r="L89" s="1"/>
      <c r="M89" s="1"/>
      <c r="N89" s="1"/>
    </row>
    <row r="91" spans="1:15" ht="75.599999999999994" x14ac:dyDescent="0.3">
      <c r="A91" s="1">
        <v>190</v>
      </c>
      <c r="B91" s="1">
        <v>9200160624</v>
      </c>
      <c r="C91" s="1" t="s">
        <v>2159</v>
      </c>
      <c r="D91" s="1" t="s">
        <v>43</v>
      </c>
      <c r="E91" s="1" t="s">
        <v>123</v>
      </c>
      <c r="F91" s="51" t="s">
        <v>2160</v>
      </c>
      <c r="G91" s="1">
        <v>66</v>
      </c>
      <c r="H91" s="1" t="s">
        <v>28</v>
      </c>
      <c r="I91" s="1">
        <v>17250</v>
      </c>
      <c r="J91" s="1">
        <f>G91*I91</f>
        <v>1138500</v>
      </c>
      <c r="K91" s="119">
        <v>66</v>
      </c>
      <c r="L91" s="119" t="s">
        <v>28</v>
      </c>
      <c r="M91" s="119" t="s">
        <v>91</v>
      </c>
      <c r="N91" s="119" t="s">
        <v>2264</v>
      </c>
      <c r="O91" s="1"/>
    </row>
    <row r="93" spans="1:15" x14ac:dyDescent="0.3">
      <c r="A93" s="1">
        <v>192</v>
      </c>
      <c r="B93" s="1">
        <v>9200162322</v>
      </c>
      <c r="C93" s="37">
        <v>42404</v>
      </c>
      <c r="D93" s="1" t="s">
        <v>43</v>
      </c>
      <c r="E93" s="1" t="s">
        <v>123</v>
      </c>
      <c r="F93" s="26" t="s">
        <v>2208</v>
      </c>
      <c r="G93" s="1">
        <v>1</v>
      </c>
      <c r="H93" s="1" t="s">
        <v>28</v>
      </c>
      <c r="I93" s="1">
        <v>840</v>
      </c>
      <c r="J93" s="1">
        <f t="shared" ref="J93:J113" si="6">G93*I93</f>
        <v>840</v>
      </c>
      <c r="K93" s="119">
        <v>1</v>
      </c>
      <c r="L93" s="119" t="s">
        <v>28</v>
      </c>
      <c r="M93" s="119" t="s">
        <v>1570</v>
      </c>
      <c r="N93" s="119" t="s">
        <v>2265</v>
      </c>
    </row>
    <row r="94" spans="1:15" x14ac:dyDescent="0.3">
      <c r="A94" s="1"/>
      <c r="B94" s="1"/>
      <c r="C94" s="1"/>
      <c r="D94" s="1"/>
      <c r="E94" s="1" t="s">
        <v>123</v>
      </c>
      <c r="F94" s="26" t="s">
        <v>2209</v>
      </c>
      <c r="G94" s="1">
        <v>2</v>
      </c>
      <c r="H94" s="1" t="s">
        <v>28</v>
      </c>
      <c r="I94" s="1">
        <v>840</v>
      </c>
      <c r="J94" s="1">
        <f t="shared" si="6"/>
        <v>1680</v>
      </c>
      <c r="K94" s="119">
        <v>2</v>
      </c>
      <c r="L94" s="119" t="s">
        <v>28</v>
      </c>
      <c r="M94" s="119" t="s">
        <v>1570</v>
      </c>
      <c r="N94" s="119" t="s">
        <v>2265</v>
      </c>
    </row>
    <row r="95" spans="1:15" x14ac:dyDescent="0.3">
      <c r="A95" s="1"/>
      <c r="B95" s="1"/>
      <c r="C95" s="1"/>
      <c r="D95" s="1"/>
      <c r="E95" s="1" t="s">
        <v>123</v>
      </c>
      <c r="F95" s="26" t="s">
        <v>2210</v>
      </c>
      <c r="G95" s="1">
        <v>2</v>
      </c>
      <c r="H95" s="1" t="s">
        <v>28</v>
      </c>
      <c r="I95" s="1">
        <v>5000</v>
      </c>
      <c r="J95" s="1">
        <f t="shared" si="6"/>
        <v>10000</v>
      </c>
      <c r="K95" s="119">
        <v>2</v>
      </c>
      <c r="L95" s="119" t="s">
        <v>28</v>
      </c>
      <c r="M95" s="119" t="s">
        <v>1570</v>
      </c>
      <c r="N95" s="119" t="s">
        <v>2265</v>
      </c>
    </row>
    <row r="96" spans="1:15" x14ac:dyDescent="0.3">
      <c r="A96" s="1"/>
      <c r="B96" s="1"/>
      <c r="C96" s="1"/>
      <c r="D96" s="1"/>
      <c r="E96" s="1" t="s">
        <v>123</v>
      </c>
      <c r="F96" s="26" t="s">
        <v>2211</v>
      </c>
      <c r="G96" s="1">
        <v>2</v>
      </c>
      <c r="H96" s="1" t="s">
        <v>28</v>
      </c>
      <c r="I96" s="1">
        <v>6300</v>
      </c>
      <c r="J96" s="1">
        <f t="shared" si="6"/>
        <v>12600</v>
      </c>
      <c r="K96" s="119">
        <v>2</v>
      </c>
      <c r="L96" s="119" t="s">
        <v>28</v>
      </c>
      <c r="M96" s="119" t="s">
        <v>1570</v>
      </c>
      <c r="N96" s="119" t="s">
        <v>2265</v>
      </c>
    </row>
    <row r="97" spans="1:14" x14ac:dyDescent="0.3">
      <c r="A97" s="1"/>
      <c r="B97" s="1"/>
      <c r="C97" s="1"/>
      <c r="D97" s="1"/>
      <c r="E97" s="1" t="s">
        <v>123</v>
      </c>
      <c r="F97" s="26" t="s">
        <v>2212</v>
      </c>
      <c r="G97" s="1">
        <v>1</v>
      </c>
      <c r="H97" s="1" t="s">
        <v>28</v>
      </c>
      <c r="I97" s="1">
        <v>17850</v>
      </c>
      <c r="J97" s="1">
        <f t="shared" si="6"/>
        <v>17850</v>
      </c>
      <c r="K97" s="119">
        <v>1</v>
      </c>
      <c r="L97" s="119" t="s">
        <v>28</v>
      </c>
      <c r="M97" s="119" t="s">
        <v>1570</v>
      </c>
      <c r="N97" s="119" t="s">
        <v>2265</v>
      </c>
    </row>
    <row r="98" spans="1:14" x14ac:dyDescent="0.3">
      <c r="A98" s="1"/>
      <c r="B98" s="1"/>
      <c r="C98" s="1"/>
      <c r="D98" s="1"/>
      <c r="E98" s="1" t="s">
        <v>123</v>
      </c>
      <c r="F98" s="160" t="s">
        <v>2213</v>
      </c>
      <c r="G98" s="1">
        <v>4</v>
      </c>
      <c r="H98" s="1" t="s">
        <v>28</v>
      </c>
      <c r="I98" s="1">
        <v>2400</v>
      </c>
      <c r="J98" s="1">
        <f t="shared" si="6"/>
        <v>9600</v>
      </c>
      <c r="K98" s="119">
        <v>4</v>
      </c>
      <c r="L98" s="119" t="s">
        <v>28</v>
      </c>
      <c r="M98" s="119" t="s">
        <v>1570</v>
      </c>
      <c r="N98" s="119" t="s">
        <v>2265</v>
      </c>
    </row>
    <row r="99" spans="1:14" x14ac:dyDescent="0.3">
      <c r="A99" s="1"/>
      <c r="B99" s="1"/>
      <c r="C99" s="1"/>
      <c r="D99" s="1"/>
      <c r="E99" s="1" t="s">
        <v>123</v>
      </c>
      <c r="F99" s="76" t="s">
        <v>2214</v>
      </c>
      <c r="G99" s="1">
        <v>1</v>
      </c>
      <c r="H99" s="1" t="s">
        <v>28</v>
      </c>
      <c r="I99" s="1">
        <v>21000</v>
      </c>
      <c r="J99" s="1">
        <f t="shared" si="6"/>
        <v>21000</v>
      </c>
      <c r="K99" s="1"/>
      <c r="L99" s="1"/>
      <c r="M99" s="1"/>
      <c r="N99" s="1"/>
    </row>
    <row r="100" spans="1:14" ht="25.2" x14ac:dyDescent="0.3">
      <c r="A100" s="1"/>
      <c r="B100" s="1"/>
      <c r="C100" s="1"/>
      <c r="D100" s="1"/>
      <c r="E100" s="1" t="s">
        <v>123</v>
      </c>
      <c r="F100" s="192" t="s">
        <v>2215</v>
      </c>
      <c r="G100" s="1">
        <v>6</v>
      </c>
      <c r="H100" s="1" t="s">
        <v>181</v>
      </c>
      <c r="I100" s="1">
        <v>4950</v>
      </c>
      <c r="J100" s="1">
        <f t="shared" si="6"/>
        <v>29700</v>
      </c>
      <c r="K100" s="1"/>
      <c r="L100" s="1"/>
      <c r="M100" s="1"/>
      <c r="N100" s="1"/>
    </row>
    <row r="101" spans="1:14" x14ac:dyDescent="0.3">
      <c r="A101" s="1"/>
      <c r="B101" s="1"/>
      <c r="C101" s="1"/>
      <c r="D101" s="1"/>
      <c r="E101" s="1" t="s">
        <v>123</v>
      </c>
      <c r="F101" s="26" t="s">
        <v>2216</v>
      </c>
      <c r="G101" s="1">
        <v>200</v>
      </c>
      <c r="H101" s="1" t="s">
        <v>308</v>
      </c>
      <c r="I101" s="1">
        <v>215</v>
      </c>
      <c r="J101" s="1">
        <f t="shared" si="6"/>
        <v>43000</v>
      </c>
      <c r="K101" s="119">
        <v>200</v>
      </c>
      <c r="L101" s="119" t="s">
        <v>308</v>
      </c>
      <c r="M101" s="119" t="s">
        <v>1570</v>
      </c>
      <c r="N101" s="119" t="s">
        <v>2265</v>
      </c>
    </row>
    <row r="102" spans="1:14" x14ac:dyDescent="0.3">
      <c r="A102" s="1"/>
      <c r="B102" s="1"/>
      <c r="C102" s="1"/>
      <c r="D102" s="1"/>
      <c r="E102" s="1" t="s">
        <v>123</v>
      </c>
      <c r="F102" s="26" t="s">
        <v>2217</v>
      </c>
      <c r="G102" s="1">
        <v>15</v>
      </c>
      <c r="H102" s="1" t="s">
        <v>28</v>
      </c>
      <c r="I102" s="1">
        <v>210</v>
      </c>
      <c r="J102" s="1">
        <f t="shared" si="6"/>
        <v>3150</v>
      </c>
      <c r="K102" s="119">
        <v>15</v>
      </c>
      <c r="L102" s="119" t="s">
        <v>28</v>
      </c>
      <c r="M102" s="119" t="s">
        <v>1570</v>
      </c>
      <c r="N102" s="119" t="s">
        <v>2265</v>
      </c>
    </row>
    <row r="103" spans="1:14" x14ac:dyDescent="0.3">
      <c r="A103" s="1"/>
      <c r="B103" s="1"/>
      <c r="C103" s="1"/>
      <c r="D103" s="1"/>
      <c r="E103" s="1" t="s">
        <v>123</v>
      </c>
      <c r="F103" s="26" t="s">
        <v>2218</v>
      </c>
      <c r="G103" s="1">
        <v>12</v>
      </c>
      <c r="H103" s="1" t="s">
        <v>28</v>
      </c>
      <c r="I103" s="1">
        <v>410</v>
      </c>
      <c r="J103" s="1">
        <f t="shared" si="6"/>
        <v>4920</v>
      </c>
      <c r="K103" s="119">
        <v>12</v>
      </c>
      <c r="L103" s="119" t="s">
        <v>28</v>
      </c>
      <c r="M103" s="119" t="s">
        <v>1570</v>
      </c>
      <c r="N103" s="119" t="s">
        <v>2265</v>
      </c>
    </row>
    <row r="104" spans="1:14" x14ac:dyDescent="0.3">
      <c r="A104" s="1"/>
      <c r="B104" s="1"/>
      <c r="C104" s="1"/>
      <c r="D104" s="1"/>
      <c r="E104" s="1" t="s">
        <v>123</v>
      </c>
      <c r="F104" s="26" t="s">
        <v>2219</v>
      </c>
      <c r="G104" s="1">
        <v>2</v>
      </c>
      <c r="H104" s="1" t="s">
        <v>28</v>
      </c>
      <c r="I104" s="1">
        <v>585</v>
      </c>
      <c r="J104" s="1">
        <f t="shared" si="6"/>
        <v>1170</v>
      </c>
      <c r="K104" s="119">
        <v>2</v>
      </c>
      <c r="L104" s="119" t="s">
        <v>28</v>
      </c>
      <c r="M104" s="119" t="s">
        <v>1570</v>
      </c>
      <c r="N104" s="119" t="s">
        <v>2265</v>
      </c>
    </row>
    <row r="105" spans="1:14" x14ac:dyDescent="0.3">
      <c r="A105" s="1"/>
      <c r="B105" s="1"/>
      <c r="C105" s="1"/>
      <c r="D105" s="1"/>
      <c r="E105" s="1" t="s">
        <v>123</v>
      </c>
      <c r="F105" s="26" t="s">
        <v>2220</v>
      </c>
      <c r="G105" s="1">
        <v>8</v>
      </c>
      <c r="H105" s="1" t="s">
        <v>28</v>
      </c>
      <c r="I105" s="1">
        <v>235</v>
      </c>
      <c r="J105" s="1">
        <f t="shared" si="6"/>
        <v>1880</v>
      </c>
      <c r="K105" s="119">
        <v>8</v>
      </c>
      <c r="L105" s="119" t="s">
        <v>28</v>
      </c>
      <c r="M105" s="119" t="s">
        <v>1570</v>
      </c>
      <c r="N105" s="119" t="s">
        <v>2265</v>
      </c>
    </row>
    <row r="106" spans="1:14" x14ac:dyDescent="0.3">
      <c r="A106" s="1"/>
      <c r="B106" s="1"/>
      <c r="C106" s="1"/>
      <c r="D106" s="1"/>
      <c r="E106" s="1" t="s">
        <v>123</v>
      </c>
      <c r="F106" s="26" t="s">
        <v>2221</v>
      </c>
      <c r="G106" s="1">
        <v>7</v>
      </c>
      <c r="H106" s="1" t="s">
        <v>28</v>
      </c>
      <c r="I106" s="1">
        <v>380</v>
      </c>
      <c r="J106" s="1">
        <f t="shared" si="6"/>
        <v>2660</v>
      </c>
      <c r="K106" s="119">
        <v>7</v>
      </c>
      <c r="L106" s="119" t="s">
        <v>28</v>
      </c>
      <c r="M106" s="119" t="s">
        <v>1570</v>
      </c>
      <c r="N106" s="119" t="s">
        <v>2265</v>
      </c>
    </row>
    <row r="107" spans="1:14" x14ac:dyDescent="0.3">
      <c r="A107" s="1"/>
      <c r="B107" s="1"/>
      <c r="C107" s="1"/>
      <c r="D107" s="1"/>
      <c r="E107" s="1" t="s">
        <v>123</v>
      </c>
      <c r="F107" s="26" t="s">
        <v>2222</v>
      </c>
      <c r="G107" s="1">
        <v>4</v>
      </c>
      <c r="H107" s="1" t="s">
        <v>28</v>
      </c>
      <c r="I107" s="1">
        <v>3750</v>
      </c>
      <c r="J107" s="1">
        <f t="shared" si="6"/>
        <v>15000</v>
      </c>
      <c r="K107" s="119">
        <v>4</v>
      </c>
      <c r="L107" s="119" t="s">
        <v>28</v>
      </c>
      <c r="M107" s="119" t="s">
        <v>1570</v>
      </c>
      <c r="N107" s="119" t="s">
        <v>2265</v>
      </c>
    </row>
    <row r="108" spans="1:14" x14ac:dyDescent="0.3">
      <c r="A108" s="1"/>
      <c r="B108" s="1"/>
      <c r="C108" s="1"/>
      <c r="D108" s="1"/>
      <c r="E108" s="1" t="s">
        <v>123</v>
      </c>
      <c r="F108" s="26" t="s">
        <v>2223</v>
      </c>
      <c r="G108" s="1">
        <v>8</v>
      </c>
      <c r="H108" s="1" t="s">
        <v>28</v>
      </c>
      <c r="I108" s="1">
        <v>425</v>
      </c>
      <c r="J108" s="1">
        <f t="shared" si="6"/>
        <v>3400</v>
      </c>
      <c r="K108" s="119">
        <v>8</v>
      </c>
      <c r="L108" s="119" t="s">
        <v>28</v>
      </c>
      <c r="M108" s="119" t="s">
        <v>1570</v>
      </c>
      <c r="N108" s="119" t="s">
        <v>2265</v>
      </c>
    </row>
    <row r="109" spans="1:14" x14ac:dyDescent="0.3">
      <c r="A109" s="1"/>
      <c r="B109" s="1"/>
      <c r="C109" s="1"/>
      <c r="D109" s="1"/>
      <c r="E109" s="1" t="s">
        <v>123</v>
      </c>
      <c r="F109" s="76" t="s">
        <v>2224</v>
      </c>
      <c r="G109" s="1">
        <v>170</v>
      </c>
      <c r="H109" s="1" t="s">
        <v>252</v>
      </c>
      <c r="I109" s="1">
        <v>450</v>
      </c>
      <c r="J109" s="1">
        <f t="shared" si="6"/>
        <v>76500</v>
      </c>
      <c r="K109" s="1"/>
      <c r="L109" s="1"/>
      <c r="M109" s="1"/>
      <c r="N109" s="1"/>
    </row>
    <row r="110" spans="1:14" ht="25.2" x14ac:dyDescent="0.3">
      <c r="A110" s="1"/>
      <c r="B110" s="1"/>
      <c r="C110" s="1"/>
      <c r="D110" s="1"/>
      <c r="E110" s="1" t="s">
        <v>123</v>
      </c>
      <c r="F110" s="192" t="s">
        <v>2225</v>
      </c>
      <c r="G110" s="1">
        <v>170</v>
      </c>
      <c r="H110" s="1" t="s">
        <v>252</v>
      </c>
      <c r="I110" s="1">
        <v>250</v>
      </c>
      <c r="J110" s="1">
        <f t="shared" si="6"/>
        <v>42500</v>
      </c>
      <c r="K110" s="1"/>
      <c r="L110" s="1"/>
      <c r="M110" s="1"/>
      <c r="N110" s="1"/>
    </row>
    <row r="111" spans="1:14" x14ac:dyDescent="0.3">
      <c r="A111" s="1"/>
      <c r="B111" s="1"/>
      <c r="C111" s="1"/>
      <c r="D111" s="1"/>
      <c r="E111" s="1" t="s">
        <v>123</v>
      </c>
      <c r="F111" s="76" t="s">
        <v>2226</v>
      </c>
      <c r="G111" s="1">
        <v>2</v>
      </c>
      <c r="H111" s="1" t="s">
        <v>28</v>
      </c>
      <c r="I111" s="1">
        <v>5000</v>
      </c>
      <c r="J111" s="1">
        <f t="shared" si="6"/>
        <v>10000</v>
      </c>
      <c r="K111" s="1"/>
      <c r="L111" s="1"/>
      <c r="M111" s="1"/>
      <c r="N111" s="1"/>
    </row>
    <row r="112" spans="1:14" x14ac:dyDescent="0.3">
      <c r="A112" s="1"/>
      <c r="B112" s="1"/>
      <c r="C112" s="1"/>
      <c r="D112" s="1"/>
      <c r="E112" s="1" t="s">
        <v>123</v>
      </c>
      <c r="F112" s="76" t="s">
        <v>2214</v>
      </c>
      <c r="G112" s="1">
        <v>2</v>
      </c>
      <c r="H112" s="1" t="s">
        <v>28</v>
      </c>
      <c r="I112" s="1">
        <v>21000</v>
      </c>
      <c r="J112" s="1">
        <f t="shared" si="6"/>
        <v>42000</v>
      </c>
      <c r="K112" s="1"/>
      <c r="L112" s="1"/>
      <c r="M112" s="1"/>
      <c r="N112" s="1"/>
    </row>
    <row r="113" spans="1:14" x14ac:dyDescent="0.3">
      <c r="A113" s="1"/>
      <c r="B113" s="1"/>
      <c r="C113" s="1"/>
      <c r="D113" s="1"/>
      <c r="E113" s="1" t="s">
        <v>123</v>
      </c>
      <c r="F113" s="26" t="s">
        <v>2227</v>
      </c>
      <c r="G113" s="1">
        <v>5</v>
      </c>
      <c r="H113" s="1" t="s">
        <v>141</v>
      </c>
      <c r="I113" s="1">
        <v>110</v>
      </c>
      <c r="J113" s="1">
        <f t="shared" si="6"/>
        <v>550</v>
      </c>
      <c r="K113" s="119">
        <v>5</v>
      </c>
      <c r="L113" s="119" t="s">
        <v>141</v>
      </c>
      <c r="M113" s="119" t="s">
        <v>1570</v>
      </c>
      <c r="N113" s="119" t="s">
        <v>2265</v>
      </c>
    </row>
    <row r="114" spans="1:14" x14ac:dyDescent="0.3">
      <c r="A114" s="62"/>
      <c r="B114" s="1"/>
      <c r="C114" s="1"/>
      <c r="D114" s="1"/>
      <c r="E114" s="1"/>
      <c r="F114" s="191" t="s">
        <v>39</v>
      </c>
      <c r="G114" s="1"/>
      <c r="H114" s="1"/>
      <c r="I114" s="1"/>
      <c r="J114" s="124">
        <f>SUM(J93:J113)</f>
        <v>350000</v>
      </c>
      <c r="K114" s="1"/>
      <c r="L114" s="1"/>
      <c r="M114" s="1"/>
      <c r="N114" s="1"/>
    </row>
    <row r="115" spans="1:14" x14ac:dyDescent="0.3">
      <c r="A115" s="62"/>
      <c r="B115" s="1"/>
      <c r="C115" s="1"/>
      <c r="D115" s="1"/>
      <c r="E115" s="1"/>
      <c r="F115" s="191" t="s">
        <v>599</v>
      </c>
      <c r="G115" s="1"/>
      <c r="H115" s="1"/>
      <c r="I115" s="1"/>
      <c r="J115" s="124">
        <f>J114*0/100</f>
        <v>0</v>
      </c>
      <c r="K115" s="1"/>
      <c r="L115" s="1"/>
      <c r="M115" s="1"/>
      <c r="N115" s="1"/>
    </row>
    <row r="116" spans="1:14" x14ac:dyDescent="0.3">
      <c r="A116" s="62"/>
      <c r="B116" s="1"/>
      <c r="C116" s="1"/>
      <c r="D116" s="1"/>
      <c r="E116" s="1"/>
      <c r="F116" s="191" t="s">
        <v>41</v>
      </c>
      <c r="G116" s="1"/>
      <c r="H116" s="1"/>
      <c r="I116" s="1"/>
      <c r="J116" s="124">
        <f>SUM(J114:J115)</f>
        <v>350000</v>
      </c>
      <c r="K116" s="1"/>
      <c r="L116" s="1"/>
      <c r="M116" s="1"/>
      <c r="N116" s="1"/>
    </row>
    <row r="118" spans="1:14" ht="25.2" x14ac:dyDescent="0.3">
      <c r="A118" s="1">
        <v>194</v>
      </c>
      <c r="B118" s="1">
        <v>9200163068</v>
      </c>
      <c r="C118" s="37">
        <v>42617</v>
      </c>
      <c r="D118" s="1" t="s">
        <v>43</v>
      </c>
      <c r="E118" s="1" t="s">
        <v>123</v>
      </c>
      <c r="F118" s="51" t="s">
        <v>2235</v>
      </c>
      <c r="G118" s="1">
        <v>2</v>
      </c>
      <c r="H118" s="1" t="s">
        <v>28</v>
      </c>
      <c r="I118" s="1">
        <v>4500</v>
      </c>
      <c r="J118" s="1">
        <f t="shared" ref="J118:J129" si="7">G118*I118</f>
        <v>9000</v>
      </c>
      <c r="K118" s="1">
        <v>2</v>
      </c>
      <c r="L118" s="1" t="s">
        <v>28</v>
      </c>
      <c r="M118" s="1" t="s">
        <v>91</v>
      </c>
      <c r="N118" s="1" t="s">
        <v>2330</v>
      </c>
    </row>
    <row r="119" spans="1:14" ht="25.2" x14ac:dyDescent="0.3">
      <c r="A119" s="1"/>
      <c r="B119" s="1"/>
      <c r="C119" s="1"/>
      <c r="D119" s="1"/>
      <c r="E119" s="1" t="s">
        <v>123</v>
      </c>
      <c r="F119" s="51" t="s">
        <v>2236</v>
      </c>
      <c r="G119" s="1">
        <v>2</v>
      </c>
      <c r="H119" s="1" t="s">
        <v>28</v>
      </c>
      <c r="I119" s="1">
        <v>7600</v>
      </c>
      <c r="J119" s="1">
        <f t="shared" si="7"/>
        <v>15200</v>
      </c>
      <c r="K119" s="1">
        <v>2</v>
      </c>
      <c r="L119" s="1" t="s">
        <v>28</v>
      </c>
      <c r="M119" s="1" t="s">
        <v>91</v>
      </c>
      <c r="N119" s="1" t="s">
        <v>2330</v>
      </c>
    </row>
    <row r="120" spans="1:14" ht="37.799999999999997" x14ac:dyDescent="0.3">
      <c r="A120" s="1"/>
      <c r="B120" s="1"/>
      <c r="C120" s="1"/>
      <c r="D120" s="1"/>
      <c r="E120" s="1" t="s">
        <v>123</v>
      </c>
      <c r="F120" s="51" t="s">
        <v>2237</v>
      </c>
      <c r="G120" s="1">
        <v>2</v>
      </c>
      <c r="H120" s="1" t="s">
        <v>28</v>
      </c>
      <c r="I120" s="1">
        <v>23800</v>
      </c>
      <c r="J120" s="1">
        <f t="shared" si="7"/>
        <v>47600</v>
      </c>
      <c r="K120" s="1"/>
      <c r="L120" s="1"/>
      <c r="M120" s="1"/>
      <c r="N120" s="1"/>
    </row>
    <row r="121" spans="1:14" x14ac:dyDescent="0.3">
      <c r="A121" s="1"/>
      <c r="B121" s="1"/>
      <c r="C121" s="1"/>
      <c r="D121" s="1"/>
      <c r="E121" s="1" t="s">
        <v>123</v>
      </c>
      <c r="F121" s="26" t="s">
        <v>2238</v>
      </c>
      <c r="G121" s="1">
        <v>2</v>
      </c>
      <c r="H121" s="1" t="s">
        <v>87</v>
      </c>
      <c r="I121" s="1">
        <v>2500</v>
      </c>
      <c r="J121" s="1">
        <f t="shared" si="7"/>
        <v>5000</v>
      </c>
      <c r="K121" s="1"/>
      <c r="L121" s="1"/>
      <c r="M121" s="1"/>
      <c r="N121" s="1"/>
    </row>
    <row r="122" spans="1:14" ht="25.2" x14ac:dyDescent="0.3">
      <c r="A122" s="1"/>
      <c r="B122" s="1"/>
      <c r="C122" s="1"/>
      <c r="D122" s="1"/>
      <c r="E122" s="1" t="s">
        <v>123</v>
      </c>
      <c r="F122" s="51" t="s">
        <v>2239</v>
      </c>
      <c r="G122" s="1">
        <v>2</v>
      </c>
      <c r="H122" s="1" t="s">
        <v>87</v>
      </c>
      <c r="I122" s="1">
        <v>7600</v>
      </c>
      <c r="J122" s="1">
        <f t="shared" si="7"/>
        <v>15200</v>
      </c>
      <c r="K122" s="1"/>
      <c r="L122" s="1"/>
      <c r="M122" s="1"/>
      <c r="N122" s="1"/>
    </row>
    <row r="123" spans="1:14" x14ac:dyDescent="0.3">
      <c r="A123" s="1"/>
      <c r="B123" s="1"/>
      <c r="C123" s="1"/>
      <c r="D123" s="1"/>
      <c r="E123" s="1" t="s">
        <v>123</v>
      </c>
      <c r="F123" s="26" t="s">
        <v>2240</v>
      </c>
      <c r="G123" s="1">
        <v>2</v>
      </c>
      <c r="H123" s="1" t="s">
        <v>28</v>
      </c>
      <c r="I123" s="1">
        <v>15000</v>
      </c>
      <c r="J123" s="1">
        <f t="shared" si="7"/>
        <v>30000</v>
      </c>
      <c r="K123" s="1"/>
      <c r="L123" s="1"/>
      <c r="M123" s="1"/>
      <c r="N123" s="1"/>
    </row>
    <row r="124" spans="1:14" x14ac:dyDescent="0.3">
      <c r="A124" s="1"/>
      <c r="B124" s="1"/>
      <c r="C124" s="1"/>
      <c r="D124" s="1"/>
      <c r="E124" s="1" t="s">
        <v>123</v>
      </c>
      <c r="F124" s="26" t="s">
        <v>2241</v>
      </c>
      <c r="G124" s="1">
        <v>60</v>
      </c>
      <c r="H124" s="1" t="s">
        <v>308</v>
      </c>
      <c r="I124" s="1">
        <v>140</v>
      </c>
      <c r="J124" s="1">
        <f t="shared" si="7"/>
        <v>8400</v>
      </c>
      <c r="K124" s="1">
        <v>40</v>
      </c>
      <c r="L124" s="1" t="s">
        <v>308</v>
      </c>
      <c r="M124" s="1" t="s">
        <v>91</v>
      </c>
      <c r="N124" s="1" t="s">
        <v>2331</v>
      </c>
    </row>
    <row r="125" spans="1:14" x14ac:dyDescent="0.3">
      <c r="A125" s="1"/>
      <c r="B125" s="1"/>
      <c r="C125" s="1"/>
      <c r="D125" s="1"/>
      <c r="E125" s="1" t="s">
        <v>123</v>
      </c>
      <c r="F125" s="26" t="s">
        <v>2242</v>
      </c>
      <c r="G125" s="1">
        <v>8</v>
      </c>
      <c r="H125" s="1" t="s">
        <v>28</v>
      </c>
      <c r="I125" s="1">
        <v>250</v>
      </c>
      <c r="J125" s="1">
        <f t="shared" si="7"/>
        <v>2000</v>
      </c>
      <c r="K125" s="1">
        <v>6</v>
      </c>
      <c r="L125" s="1"/>
      <c r="M125" s="1" t="s">
        <v>91</v>
      </c>
      <c r="N125" s="1" t="s">
        <v>2331</v>
      </c>
    </row>
    <row r="126" spans="1:14" x14ac:dyDescent="0.3">
      <c r="A126" s="1"/>
      <c r="B126" s="1"/>
      <c r="C126" s="1"/>
      <c r="D126" s="1"/>
      <c r="E126" s="1" t="s">
        <v>123</v>
      </c>
      <c r="F126" s="26" t="s">
        <v>2243</v>
      </c>
      <c r="G126" s="1">
        <v>2</v>
      </c>
      <c r="H126" s="1" t="s">
        <v>28</v>
      </c>
      <c r="I126" s="1">
        <v>280</v>
      </c>
      <c r="J126" s="1">
        <f t="shared" si="7"/>
        <v>560</v>
      </c>
      <c r="K126" s="1">
        <v>1</v>
      </c>
      <c r="L126" s="1"/>
      <c r="M126" s="1" t="s">
        <v>91</v>
      </c>
      <c r="N126" s="1" t="s">
        <v>2331</v>
      </c>
    </row>
    <row r="127" spans="1:14" x14ac:dyDescent="0.3">
      <c r="A127" s="1"/>
      <c r="B127" s="1"/>
      <c r="C127" s="1"/>
      <c r="D127" s="1"/>
      <c r="E127" s="1" t="s">
        <v>123</v>
      </c>
      <c r="F127" s="26" t="s">
        <v>2244</v>
      </c>
      <c r="G127" s="1">
        <v>2</v>
      </c>
      <c r="H127" s="1" t="s">
        <v>28</v>
      </c>
      <c r="I127" s="1">
        <v>130</v>
      </c>
      <c r="J127" s="1">
        <f t="shared" si="7"/>
        <v>260</v>
      </c>
      <c r="K127" s="1"/>
      <c r="L127" s="1"/>
      <c r="M127" s="1" t="s">
        <v>91</v>
      </c>
      <c r="N127" s="1" t="s">
        <v>2331</v>
      </c>
    </row>
    <row r="128" spans="1:14" x14ac:dyDescent="0.3">
      <c r="A128" s="1"/>
      <c r="B128" s="1"/>
      <c r="C128" s="1"/>
      <c r="D128" s="1"/>
      <c r="E128" s="1" t="s">
        <v>123</v>
      </c>
      <c r="F128" s="26" t="s">
        <v>2245</v>
      </c>
      <c r="G128" s="1">
        <v>2</v>
      </c>
      <c r="H128" s="1" t="s">
        <v>28</v>
      </c>
      <c r="I128" s="1">
        <v>1200</v>
      </c>
      <c r="J128" s="1">
        <f t="shared" si="7"/>
        <v>2400</v>
      </c>
      <c r="K128" s="1"/>
      <c r="L128" s="1"/>
      <c r="M128" s="1" t="s">
        <v>91</v>
      </c>
      <c r="N128" s="1" t="s">
        <v>2331</v>
      </c>
    </row>
    <row r="129" spans="1:14" x14ac:dyDescent="0.3">
      <c r="A129" s="1"/>
      <c r="B129" s="1"/>
      <c r="C129" s="1"/>
      <c r="D129" s="1"/>
      <c r="E129" s="1" t="s">
        <v>123</v>
      </c>
      <c r="F129" s="26" t="s">
        <v>2246</v>
      </c>
      <c r="G129" s="1">
        <v>60</v>
      </c>
      <c r="H129" s="1" t="s">
        <v>111</v>
      </c>
      <c r="I129" s="1">
        <v>650</v>
      </c>
      <c r="J129" s="1">
        <f t="shared" si="7"/>
        <v>39000</v>
      </c>
      <c r="K129" s="119" t="s">
        <v>2275</v>
      </c>
      <c r="L129" s="119"/>
      <c r="M129" s="119" t="s">
        <v>91</v>
      </c>
      <c r="N129" s="119" t="s">
        <v>2276</v>
      </c>
    </row>
    <row r="130" spans="1:14" x14ac:dyDescent="0.3">
      <c r="A130" s="62"/>
      <c r="B130" s="1"/>
      <c r="C130" s="1"/>
      <c r="D130" s="1"/>
      <c r="E130" s="1"/>
      <c r="F130" s="191" t="s">
        <v>39</v>
      </c>
      <c r="G130" s="1"/>
      <c r="H130" s="1"/>
      <c r="I130" s="1"/>
      <c r="J130" s="124">
        <f>SUM(J118:J129)</f>
        <v>174620</v>
      </c>
      <c r="K130" s="1"/>
      <c r="L130" s="1"/>
      <c r="M130" s="1"/>
      <c r="N130" s="1"/>
    </row>
    <row r="131" spans="1:14" x14ac:dyDescent="0.3">
      <c r="A131" s="62"/>
      <c r="B131" s="1"/>
      <c r="C131" s="1"/>
      <c r="D131" s="1"/>
      <c r="E131" s="1"/>
      <c r="F131" s="191" t="s">
        <v>599</v>
      </c>
      <c r="G131" s="1"/>
      <c r="H131" s="1"/>
      <c r="I131" s="1"/>
      <c r="J131" s="124">
        <f>J130*0/100</f>
        <v>0</v>
      </c>
      <c r="K131" s="1"/>
      <c r="L131" s="1"/>
      <c r="M131" s="1"/>
      <c r="N131" s="1"/>
    </row>
    <row r="132" spans="1:14" x14ac:dyDescent="0.3">
      <c r="A132" s="62"/>
      <c r="B132" s="1"/>
      <c r="C132" s="1"/>
      <c r="D132" s="1"/>
      <c r="E132" s="1"/>
      <c r="F132" s="191" t="s">
        <v>41</v>
      </c>
      <c r="G132" s="1"/>
      <c r="H132" s="1"/>
      <c r="I132" s="1"/>
      <c r="J132" s="124">
        <f>SUM(J130:J131)</f>
        <v>174620</v>
      </c>
      <c r="K132" s="1"/>
      <c r="L132" s="1"/>
      <c r="M132" s="1"/>
      <c r="N132" s="1"/>
    </row>
    <row r="134" spans="1:14" x14ac:dyDescent="0.3">
      <c r="A134" s="1">
        <v>195</v>
      </c>
      <c r="B134" s="1">
        <v>8100024212</v>
      </c>
      <c r="C134" s="37">
        <v>46299</v>
      </c>
      <c r="D134" s="1" t="s">
        <v>43</v>
      </c>
      <c r="E134" s="1" t="s">
        <v>123</v>
      </c>
      <c r="F134" s="26" t="s">
        <v>2250</v>
      </c>
      <c r="G134" s="1">
        <v>10</v>
      </c>
      <c r="H134" s="1" t="s">
        <v>28</v>
      </c>
      <c r="I134" s="1">
        <v>1200</v>
      </c>
      <c r="J134" s="1">
        <f t="shared" ref="J134:J136" si="8">G134*I134</f>
        <v>12000</v>
      </c>
      <c r="K134" s="1">
        <v>10</v>
      </c>
      <c r="L134" s="1" t="s">
        <v>28</v>
      </c>
      <c r="M134" s="1" t="s">
        <v>91</v>
      </c>
      <c r="N134" s="1" t="s">
        <v>2280</v>
      </c>
    </row>
    <row r="135" spans="1:14" x14ac:dyDescent="0.3">
      <c r="E135" s="1" t="s">
        <v>123</v>
      </c>
      <c r="F135" s="26" t="s">
        <v>2251</v>
      </c>
      <c r="G135" s="1">
        <v>10</v>
      </c>
      <c r="H135" s="1" t="s">
        <v>87</v>
      </c>
      <c r="I135" s="1">
        <v>2500</v>
      </c>
      <c r="J135" s="1">
        <f t="shared" si="8"/>
        <v>25000</v>
      </c>
      <c r="K135" s="1"/>
      <c r="L135" s="1"/>
      <c r="M135" s="1"/>
      <c r="N135" s="1"/>
    </row>
    <row r="136" spans="1:14" x14ac:dyDescent="0.3">
      <c r="E136" s="1" t="s">
        <v>123</v>
      </c>
      <c r="F136" s="26" t="s">
        <v>2252</v>
      </c>
      <c r="G136" s="1">
        <v>10</v>
      </c>
      <c r="H136" s="1" t="s">
        <v>181</v>
      </c>
      <c r="I136" s="1">
        <v>3000</v>
      </c>
      <c r="J136" s="1">
        <f t="shared" si="8"/>
        <v>30000</v>
      </c>
      <c r="K136" s="1"/>
      <c r="L136" s="1"/>
      <c r="M136" s="1"/>
      <c r="N136" s="1"/>
    </row>
    <row r="140" spans="1:14" ht="50.4" x14ac:dyDescent="0.3">
      <c r="A140" s="1">
        <v>197</v>
      </c>
      <c r="B140" s="1">
        <v>9200164054</v>
      </c>
      <c r="C140" s="1" t="s">
        <v>2266</v>
      </c>
      <c r="D140" s="1" t="s">
        <v>43</v>
      </c>
      <c r="E140" s="1" t="s">
        <v>123</v>
      </c>
      <c r="F140" s="51" t="s">
        <v>2267</v>
      </c>
      <c r="G140" s="1">
        <v>5</v>
      </c>
      <c r="H140" s="1" t="s">
        <v>87</v>
      </c>
      <c r="I140" s="1">
        <v>18200</v>
      </c>
      <c r="J140" s="1">
        <f t="shared" ref="J140:J221" si="9">G140*I140</f>
        <v>91000</v>
      </c>
    </row>
    <row r="141" spans="1:14" ht="50.4" x14ac:dyDescent="0.3">
      <c r="A141" s="1"/>
      <c r="B141" s="1"/>
      <c r="C141" s="1"/>
      <c r="D141" s="1"/>
      <c r="E141" s="1" t="s">
        <v>123</v>
      </c>
      <c r="F141" s="51" t="s">
        <v>2268</v>
      </c>
      <c r="G141" s="1">
        <v>380</v>
      </c>
      <c r="H141" s="1" t="s">
        <v>111</v>
      </c>
      <c r="I141" s="1">
        <v>280</v>
      </c>
      <c r="J141" s="1">
        <f t="shared" si="9"/>
        <v>106400</v>
      </c>
      <c r="K141" s="187" t="s">
        <v>2365</v>
      </c>
      <c r="L141" s="119" t="s">
        <v>205</v>
      </c>
      <c r="M141" s="119" t="s">
        <v>91</v>
      </c>
      <c r="N141" s="119" t="s">
        <v>2364</v>
      </c>
    </row>
    <row r="142" spans="1:14" x14ac:dyDescent="0.3">
      <c r="A142" s="1"/>
      <c r="B142" s="1"/>
      <c r="C142" s="1"/>
      <c r="D142" s="1"/>
      <c r="E142" s="1"/>
      <c r="F142" s="191" t="s">
        <v>39</v>
      </c>
      <c r="G142" s="1"/>
      <c r="H142" s="1"/>
      <c r="I142" s="1"/>
      <c r="J142" s="124">
        <f>SUM(J140:J141)</f>
        <v>197400</v>
      </c>
    </row>
    <row r="143" spans="1:14" x14ac:dyDescent="0.3">
      <c r="A143" s="1"/>
      <c r="B143" s="1"/>
      <c r="C143" s="1"/>
      <c r="D143" s="1"/>
      <c r="E143" s="1"/>
      <c r="F143" s="191" t="s">
        <v>599</v>
      </c>
      <c r="G143" s="1"/>
      <c r="H143" s="1"/>
      <c r="I143" s="1"/>
      <c r="J143" s="124">
        <f>J142*0/100</f>
        <v>0</v>
      </c>
    </row>
    <row r="144" spans="1:14" x14ac:dyDescent="0.3">
      <c r="A144" s="1"/>
      <c r="B144" s="1"/>
      <c r="C144" s="1"/>
      <c r="D144" s="1"/>
      <c r="E144" s="1"/>
      <c r="F144" s="191" t="s">
        <v>41</v>
      </c>
      <c r="G144" s="1"/>
      <c r="H144" s="1"/>
      <c r="I144" s="1"/>
      <c r="J144" s="124">
        <f>SUM(J142:J143)</f>
        <v>197400</v>
      </c>
    </row>
    <row r="145" spans="1:10" x14ac:dyDescent="0.3">
      <c r="A145" s="1"/>
      <c r="B145" s="1"/>
      <c r="C145" s="1"/>
      <c r="D145" s="1"/>
      <c r="E145" s="1"/>
      <c r="F145" s="191"/>
      <c r="G145" s="1"/>
      <c r="H145" s="1"/>
      <c r="I145" s="1"/>
      <c r="J145" s="124"/>
    </row>
    <row r="146" spans="1:10" ht="25.2" x14ac:dyDescent="0.3">
      <c r="A146" s="1">
        <v>198</v>
      </c>
      <c r="B146" s="1">
        <v>9200164606</v>
      </c>
      <c r="C146" s="1" t="s">
        <v>2283</v>
      </c>
      <c r="D146" s="1" t="s">
        <v>43</v>
      </c>
      <c r="E146" s="1" t="s">
        <v>123</v>
      </c>
      <c r="F146" s="51" t="s">
        <v>2282</v>
      </c>
      <c r="G146" s="1">
        <v>2</v>
      </c>
      <c r="H146" s="1" t="s">
        <v>28</v>
      </c>
      <c r="I146" s="1">
        <v>48450</v>
      </c>
      <c r="J146" s="1">
        <f t="shared" si="9"/>
        <v>96900</v>
      </c>
    </row>
    <row r="147" spans="1:10" x14ac:dyDescent="0.3">
      <c r="A147" s="1"/>
      <c r="B147" s="1"/>
      <c r="C147" s="1"/>
      <c r="D147" s="1"/>
      <c r="E147" s="1"/>
      <c r="F147" s="191" t="s">
        <v>39</v>
      </c>
      <c r="G147" s="1"/>
      <c r="H147" s="1"/>
      <c r="I147" s="1"/>
      <c r="J147" s="124">
        <f>SUM(J146)</f>
        <v>96900</v>
      </c>
    </row>
    <row r="148" spans="1:10" x14ac:dyDescent="0.3">
      <c r="A148" s="1"/>
      <c r="B148" s="1"/>
      <c r="C148" s="1"/>
      <c r="D148" s="1"/>
      <c r="E148" s="1"/>
      <c r="F148" s="191" t="s">
        <v>187</v>
      </c>
      <c r="G148" s="1"/>
      <c r="H148" s="1"/>
      <c r="I148" s="1"/>
      <c r="J148" s="124">
        <f>J147*18/100</f>
        <v>17442</v>
      </c>
    </row>
    <row r="149" spans="1:10" x14ac:dyDescent="0.3">
      <c r="A149" s="1"/>
      <c r="B149" s="1"/>
      <c r="C149" s="1"/>
      <c r="D149" s="1"/>
      <c r="E149" s="1"/>
      <c r="F149" s="191" t="s">
        <v>41</v>
      </c>
      <c r="G149" s="1"/>
      <c r="H149" s="1"/>
      <c r="I149" s="1"/>
      <c r="J149" s="124">
        <f>SUM(J147:J148)</f>
        <v>114342</v>
      </c>
    </row>
    <row r="150" spans="1:10" x14ac:dyDescent="0.3">
      <c r="A150" s="1"/>
      <c r="B150" s="1"/>
      <c r="C150" s="1"/>
      <c r="D150" s="1"/>
      <c r="E150" s="1"/>
      <c r="F150" s="191"/>
      <c r="G150" s="1"/>
      <c r="H150" s="1"/>
      <c r="I150" s="1"/>
      <c r="J150" s="124"/>
    </row>
    <row r="151" spans="1:10" x14ac:dyDescent="0.3">
      <c r="A151" s="1"/>
      <c r="B151" s="1"/>
      <c r="C151" s="1"/>
      <c r="D151" s="1"/>
      <c r="E151" s="1"/>
      <c r="F151" s="191"/>
      <c r="G151" s="1"/>
      <c r="H151" s="1"/>
      <c r="I151" s="1"/>
      <c r="J151" s="124"/>
    </row>
    <row r="152" spans="1:10" x14ac:dyDescent="0.3">
      <c r="A152" s="1">
        <v>201</v>
      </c>
      <c r="B152" s="1">
        <v>8100024582</v>
      </c>
      <c r="C152" s="37">
        <v>46027</v>
      </c>
      <c r="D152" s="1" t="s">
        <v>300</v>
      </c>
      <c r="E152" s="1" t="s">
        <v>123</v>
      </c>
      <c r="F152" s="51" t="s">
        <v>2289</v>
      </c>
      <c r="G152" s="1">
        <v>6</v>
      </c>
      <c r="H152" s="1" t="s">
        <v>181</v>
      </c>
      <c r="I152" s="1">
        <v>2200</v>
      </c>
      <c r="J152" s="1">
        <f t="shared" si="9"/>
        <v>13200</v>
      </c>
    </row>
    <row r="153" spans="1:10" x14ac:dyDescent="0.3">
      <c r="A153" s="1"/>
      <c r="B153" s="1"/>
      <c r="C153" s="1"/>
      <c r="D153" s="1"/>
      <c r="E153" s="1" t="s">
        <v>123</v>
      </c>
      <c r="F153" s="26" t="s">
        <v>2290</v>
      </c>
      <c r="G153" s="1">
        <v>7</v>
      </c>
      <c r="H153" s="1" t="s">
        <v>28</v>
      </c>
      <c r="I153" s="1">
        <v>1500</v>
      </c>
      <c r="J153" s="1">
        <f t="shared" si="9"/>
        <v>10500</v>
      </c>
    </row>
    <row r="154" spans="1:10" ht="25.2" x14ac:dyDescent="0.3">
      <c r="A154" s="1"/>
      <c r="B154" s="1"/>
      <c r="C154" s="1"/>
      <c r="D154" s="1"/>
      <c r="E154" s="1" t="s">
        <v>123</v>
      </c>
      <c r="F154" s="51" t="s">
        <v>2291</v>
      </c>
      <c r="G154" s="1">
        <v>7</v>
      </c>
      <c r="H154" s="1" t="s">
        <v>87</v>
      </c>
      <c r="I154" s="1">
        <v>6500</v>
      </c>
      <c r="J154" s="1">
        <f t="shared" si="9"/>
        <v>45500</v>
      </c>
    </row>
    <row r="155" spans="1:10" x14ac:dyDescent="0.3">
      <c r="A155" s="1"/>
      <c r="B155" s="1"/>
      <c r="C155" s="1"/>
      <c r="D155" s="1"/>
      <c r="E155" s="1" t="s">
        <v>123</v>
      </c>
      <c r="F155" s="26" t="s">
        <v>2292</v>
      </c>
      <c r="G155" s="1">
        <v>7</v>
      </c>
      <c r="H155" s="1" t="s">
        <v>87</v>
      </c>
      <c r="I155" s="1">
        <v>6000</v>
      </c>
      <c r="J155" s="1">
        <f t="shared" si="9"/>
        <v>42000</v>
      </c>
    </row>
    <row r="156" spans="1:10" x14ac:dyDescent="0.3">
      <c r="A156" s="1"/>
      <c r="B156" s="1"/>
      <c r="C156" s="1"/>
      <c r="D156" s="1"/>
      <c r="E156" s="1" t="s">
        <v>123</v>
      </c>
      <c r="F156" s="26" t="s">
        <v>2293</v>
      </c>
      <c r="G156" s="1">
        <v>7</v>
      </c>
      <c r="H156" s="1" t="s">
        <v>87</v>
      </c>
      <c r="I156" s="1">
        <v>1800</v>
      </c>
      <c r="J156" s="1">
        <f t="shared" si="9"/>
        <v>12600</v>
      </c>
    </row>
    <row r="157" spans="1:10" x14ac:dyDescent="0.3">
      <c r="A157" s="1"/>
      <c r="B157" s="1"/>
      <c r="C157" s="1"/>
      <c r="D157" s="1"/>
      <c r="E157" s="1" t="s">
        <v>123</v>
      </c>
      <c r="F157" s="26" t="s">
        <v>2294</v>
      </c>
      <c r="G157" s="1">
        <v>2</v>
      </c>
      <c r="H157" s="1" t="s">
        <v>1709</v>
      </c>
      <c r="I157" s="1">
        <v>2500</v>
      </c>
      <c r="J157" s="1">
        <f t="shared" si="9"/>
        <v>5000</v>
      </c>
    </row>
    <row r="158" spans="1:10" x14ac:dyDescent="0.3">
      <c r="A158" s="1"/>
      <c r="B158" s="1"/>
      <c r="C158" s="1"/>
      <c r="D158" s="1"/>
      <c r="E158" s="1" t="s">
        <v>123</v>
      </c>
      <c r="F158" s="26" t="s">
        <v>2295</v>
      </c>
      <c r="G158" s="1">
        <v>40</v>
      </c>
      <c r="H158" s="1" t="s">
        <v>252</v>
      </c>
      <c r="I158" s="1">
        <v>330</v>
      </c>
      <c r="J158" s="1">
        <f t="shared" si="9"/>
        <v>13200</v>
      </c>
    </row>
    <row r="159" spans="1:10" x14ac:dyDescent="0.3">
      <c r="A159" s="1"/>
      <c r="B159" s="1"/>
      <c r="C159" s="1"/>
      <c r="D159" s="1"/>
      <c r="E159" s="1" t="s">
        <v>123</v>
      </c>
      <c r="F159" s="26" t="s">
        <v>2296</v>
      </c>
      <c r="G159" s="1">
        <v>60</v>
      </c>
      <c r="H159" s="1" t="s">
        <v>111</v>
      </c>
      <c r="I159" s="1">
        <v>850</v>
      </c>
      <c r="J159" s="1">
        <f t="shared" si="9"/>
        <v>51000</v>
      </c>
    </row>
    <row r="160" spans="1:10" x14ac:dyDescent="0.3">
      <c r="A160" s="1"/>
      <c r="B160" s="1"/>
      <c r="C160" s="1"/>
      <c r="D160" s="1"/>
      <c r="E160" s="1" t="s">
        <v>127</v>
      </c>
      <c r="F160" s="51" t="s">
        <v>2297</v>
      </c>
      <c r="G160" s="1">
        <v>6</v>
      </c>
      <c r="H160" s="1" t="s">
        <v>181</v>
      </c>
      <c r="I160" s="1">
        <v>14928</v>
      </c>
      <c r="J160" s="1">
        <f t="shared" si="9"/>
        <v>89568</v>
      </c>
    </row>
    <row r="161" spans="1:10" x14ac:dyDescent="0.3">
      <c r="A161" s="1"/>
      <c r="B161" s="1"/>
      <c r="C161" s="1"/>
      <c r="D161" s="1"/>
      <c r="E161" s="1"/>
      <c r="F161" s="191" t="s">
        <v>39</v>
      </c>
      <c r="G161" s="1"/>
      <c r="H161" s="1"/>
      <c r="I161" s="1"/>
      <c r="J161" s="124">
        <f>SUM(J152:J160)</f>
        <v>282568</v>
      </c>
    </row>
    <row r="162" spans="1:10" x14ac:dyDescent="0.3">
      <c r="A162" s="1"/>
      <c r="B162" s="1"/>
      <c r="C162" s="1"/>
      <c r="D162" s="1"/>
      <c r="E162" s="1"/>
      <c r="F162" s="191" t="s">
        <v>187</v>
      </c>
      <c r="G162" s="1"/>
      <c r="H162" s="1"/>
      <c r="I162" s="1"/>
      <c r="J162" s="124">
        <f>J161*18/100</f>
        <v>50862.239999999998</v>
      </c>
    </row>
    <row r="163" spans="1:10" x14ac:dyDescent="0.3">
      <c r="A163" s="1"/>
      <c r="B163" s="1"/>
      <c r="C163" s="1"/>
      <c r="D163" s="1"/>
      <c r="E163" s="1"/>
      <c r="F163" s="191" t="s">
        <v>41</v>
      </c>
      <c r="G163" s="1"/>
      <c r="H163" s="1"/>
      <c r="I163" s="1"/>
      <c r="J163" s="124">
        <f>SUM(J161:J162)</f>
        <v>333430.24</v>
      </c>
    </row>
    <row r="164" spans="1:10" x14ac:dyDescent="0.3">
      <c r="A164" s="1"/>
      <c r="B164" s="1"/>
      <c r="C164" s="1"/>
      <c r="D164" s="1"/>
      <c r="E164" s="1"/>
      <c r="F164" s="191"/>
      <c r="G164" s="1"/>
      <c r="H164" s="1"/>
      <c r="I164" s="1"/>
      <c r="J164" s="124"/>
    </row>
    <row r="165" spans="1:10" x14ac:dyDescent="0.3">
      <c r="A165" s="1">
        <v>202</v>
      </c>
      <c r="B165" s="1">
        <v>9200165132</v>
      </c>
      <c r="C165" s="37">
        <v>46058</v>
      </c>
      <c r="D165" s="1" t="s">
        <v>43</v>
      </c>
      <c r="E165" s="1" t="s">
        <v>123</v>
      </c>
      <c r="F165" s="26" t="s">
        <v>2298</v>
      </c>
      <c r="G165" s="1">
        <v>2</v>
      </c>
      <c r="H165" s="1" t="s">
        <v>28</v>
      </c>
      <c r="I165" s="1">
        <v>3500</v>
      </c>
      <c r="J165" s="1">
        <f t="shared" si="9"/>
        <v>7000</v>
      </c>
    </row>
    <row r="166" spans="1:10" x14ac:dyDescent="0.3">
      <c r="A166" s="1"/>
      <c r="B166" s="1"/>
      <c r="C166" s="1"/>
      <c r="D166" s="1"/>
      <c r="E166" s="1" t="s">
        <v>123</v>
      </c>
      <c r="F166" s="26" t="s">
        <v>2299</v>
      </c>
      <c r="G166" s="1">
        <v>1</v>
      </c>
      <c r="H166" s="1" t="s">
        <v>28</v>
      </c>
      <c r="I166" s="1">
        <v>9600</v>
      </c>
      <c r="J166" s="1">
        <f t="shared" si="9"/>
        <v>9600</v>
      </c>
    </row>
    <row r="167" spans="1:10" x14ac:dyDescent="0.3">
      <c r="A167" s="1"/>
      <c r="B167" s="1"/>
      <c r="C167" s="1"/>
      <c r="D167" s="1"/>
      <c r="E167" s="1" t="s">
        <v>123</v>
      </c>
      <c r="F167" s="51" t="s">
        <v>2300</v>
      </c>
      <c r="G167" s="1">
        <v>2</v>
      </c>
      <c r="H167" s="1" t="s">
        <v>28</v>
      </c>
      <c r="I167" s="1">
        <v>2500</v>
      </c>
      <c r="J167" s="1">
        <f t="shared" si="9"/>
        <v>5000</v>
      </c>
    </row>
    <row r="168" spans="1:10" x14ac:dyDescent="0.3">
      <c r="A168" s="1"/>
      <c r="B168" s="1"/>
      <c r="C168" s="1"/>
      <c r="D168" s="1"/>
      <c r="E168" s="1" t="s">
        <v>123</v>
      </c>
      <c r="F168" s="26" t="s">
        <v>2301</v>
      </c>
      <c r="G168" s="1">
        <v>1</v>
      </c>
      <c r="H168" s="1" t="s">
        <v>28</v>
      </c>
      <c r="I168" s="1">
        <v>2200</v>
      </c>
      <c r="J168" s="1">
        <f t="shared" si="9"/>
        <v>2200</v>
      </c>
    </row>
    <row r="169" spans="1:10" x14ac:dyDescent="0.3">
      <c r="A169" s="1"/>
      <c r="B169" s="1"/>
      <c r="C169" s="1"/>
      <c r="D169" s="1"/>
      <c r="E169" s="1" t="s">
        <v>123</v>
      </c>
      <c r="F169" s="26" t="s">
        <v>2302</v>
      </c>
      <c r="G169" s="1">
        <v>2</v>
      </c>
      <c r="H169" s="1" t="s">
        <v>28</v>
      </c>
      <c r="I169" s="1">
        <v>3500</v>
      </c>
      <c r="J169" s="1">
        <f t="shared" si="9"/>
        <v>7000</v>
      </c>
    </row>
    <row r="170" spans="1:10" x14ac:dyDescent="0.3">
      <c r="A170" s="1"/>
      <c r="B170" s="1"/>
      <c r="C170" s="1"/>
      <c r="D170" s="1"/>
      <c r="E170" s="1" t="s">
        <v>123</v>
      </c>
      <c r="F170" s="26" t="s">
        <v>2303</v>
      </c>
      <c r="G170" s="1">
        <v>1</v>
      </c>
      <c r="H170" s="1" t="s">
        <v>28</v>
      </c>
      <c r="I170" s="1">
        <v>3500</v>
      </c>
      <c r="J170" s="1">
        <f t="shared" si="9"/>
        <v>3500</v>
      </c>
    </row>
    <row r="171" spans="1:10" x14ac:dyDescent="0.3">
      <c r="A171" s="1"/>
      <c r="B171" s="1"/>
      <c r="C171" s="1"/>
      <c r="D171" s="1"/>
      <c r="E171" s="1" t="s">
        <v>123</v>
      </c>
      <c r="F171" s="26" t="s">
        <v>2304</v>
      </c>
      <c r="G171" s="1">
        <v>1</v>
      </c>
      <c r="H171" s="1" t="s">
        <v>28</v>
      </c>
      <c r="I171" s="1">
        <v>2200</v>
      </c>
      <c r="J171" s="1">
        <f t="shared" si="9"/>
        <v>2200</v>
      </c>
    </row>
    <row r="172" spans="1:10" x14ac:dyDescent="0.3">
      <c r="A172" s="1"/>
      <c r="B172" s="1"/>
      <c r="C172" s="1"/>
      <c r="D172" s="1"/>
      <c r="E172" s="1" t="s">
        <v>123</v>
      </c>
      <c r="F172" s="26" t="s">
        <v>2305</v>
      </c>
      <c r="G172" s="1">
        <v>1</v>
      </c>
      <c r="H172" s="1" t="s">
        <v>28</v>
      </c>
      <c r="I172" s="1">
        <v>9600</v>
      </c>
      <c r="J172" s="1">
        <f t="shared" si="9"/>
        <v>9600</v>
      </c>
    </row>
    <row r="173" spans="1:10" x14ac:dyDescent="0.3">
      <c r="A173" s="1"/>
      <c r="B173" s="1"/>
      <c r="C173" s="1"/>
      <c r="D173" s="1"/>
      <c r="E173" s="1" t="s">
        <v>123</v>
      </c>
      <c r="F173" s="26" t="s">
        <v>2306</v>
      </c>
      <c r="G173" s="1">
        <v>3</v>
      </c>
      <c r="H173" s="1" t="s">
        <v>28</v>
      </c>
      <c r="I173" s="1">
        <v>3500</v>
      </c>
      <c r="J173" s="1">
        <f t="shared" si="9"/>
        <v>10500</v>
      </c>
    </row>
    <row r="174" spans="1:10" x14ac:dyDescent="0.3">
      <c r="A174" s="1"/>
      <c r="B174" s="1"/>
      <c r="C174" s="1"/>
      <c r="D174" s="1"/>
      <c r="E174" s="1" t="s">
        <v>123</v>
      </c>
      <c r="F174" s="26" t="s">
        <v>2307</v>
      </c>
      <c r="G174" s="1">
        <v>1</v>
      </c>
      <c r="H174" s="1" t="s">
        <v>28</v>
      </c>
      <c r="I174" s="1">
        <v>11500</v>
      </c>
      <c r="J174" s="1">
        <f t="shared" si="9"/>
        <v>11500</v>
      </c>
    </row>
    <row r="175" spans="1:10" x14ac:dyDescent="0.3">
      <c r="A175" s="1"/>
      <c r="B175" s="1"/>
      <c r="C175" s="1"/>
      <c r="D175" s="1"/>
      <c r="E175" s="1" t="s">
        <v>123</v>
      </c>
      <c r="F175" s="26" t="s">
        <v>2308</v>
      </c>
      <c r="G175" s="1">
        <v>1</v>
      </c>
      <c r="H175" s="1" t="s">
        <v>28</v>
      </c>
      <c r="I175" s="1">
        <v>3500</v>
      </c>
      <c r="J175" s="1">
        <f t="shared" si="9"/>
        <v>3500</v>
      </c>
    </row>
    <row r="176" spans="1:10" x14ac:dyDescent="0.3">
      <c r="A176" s="1"/>
      <c r="B176" s="1"/>
      <c r="C176" s="1"/>
      <c r="D176" s="1"/>
      <c r="E176" s="1" t="s">
        <v>123</v>
      </c>
      <c r="F176" s="26" t="s">
        <v>2309</v>
      </c>
      <c r="G176" s="1">
        <v>1</v>
      </c>
      <c r="H176" s="1" t="s">
        <v>28</v>
      </c>
      <c r="I176" s="1">
        <v>3500</v>
      </c>
      <c r="J176" s="1">
        <f t="shared" si="9"/>
        <v>3500</v>
      </c>
    </row>
    <row r="177" spans="1:14" x14ac:dyDescent="0.3">
      <c r="A177" s="1"/>
      <c r="B177" s="1"/>
      <c r="C177" s="1"/>
      <c r="D177" s="1"/>
      <c r="E177" s="1" t="s">
        <v>123</v>
      </c>
      <c r="F177" s="26" t="s">
        <v>2310</v>
      </c>
      <c r="G177" s="1">
        <v>1</v>
      </c>
      <c r="H177" s="1" t="s">
        <v>28</v>
      </c>
      <c r="I177" s="1">
        <v>13500</v>
      </c>
      <c r="J177" s="1">
        <f t="shared" si="9"/>
        <v>13500</v>
      </c>
    </row>
    <row r="178" spans="1:14" x14ac:dyDescent="0.3">
      <c r="A178" s="1"/>
      <c r="B178" s="1"/>
      <c r="C178" s="1"/>
      <c r="D178" s="1"/>
      <c r="E178" s="1" t="s">
        <v>123</v>
      </c>
      <c r="F178" s="51" t="s">
        <v>2311</v>
      </c>
      <c r="G178" s="1">
        <v>1</v>
      </c>
      <c r="H178" s="1" t="s">
        <v>28</v>
      </c>
      <c r="I178" s="1">
        <v>3500</v>
      </c>
      <c r="J178" s="1">
        <f t="shared" si="9"/>
        <v>3500</v>
      </c>
    </row>
    <row r="179" spans="1:14" x14ac:dyDescent="0.3">
      <c r="A179" s="1"/>
      <c r="B179" s="1"/>
      <c r="C179" s="1"/>
      <c r="D179" s="1"/>
      <c r="E179" s="1" t="s">
        <v>123</v>
      </c>
      <c r="F179" s="26" t="s">
        <v>2312</v>
      </c>
      <c r="G179" s="1">
        <v>1</v>
      </c>
      <c r="H179" s="1" t="s">
        <v>28</v>
      </c>
      <c r="I179" s="1">
        <v>3500</v>
      </c>
      <c r="J179" s="1">
        <f t="shared" si="9"/>
        <v>3500</v>
      </c>
    </row>
    <row r="180" spans="1:14" x14ac:dyDescent="0.3">
      <c r="A180" s="1"/>
      <c r="B180" s="1"/>
      <c r="C180" s="1"/>
      <c r="D180" s="1"/>
      <c r="E180" s="1" t="s">
        <v>123</v>
      </c>
      <c r="F180" s="26" t="s">
        <v>2313</v>
      </c>
      <c r="G180" s="1">
        <v>1</v>
      </c>
      <c r="H180" s="1" t="s">
        <v>28</v>
      </c>
      <c r="I180" s="1">
        <v>3500</v>
      </c>
      <c r="J180" s="1">
        <f t="shared" si="9"/>
        <v>3500</v>
      </c>
    </row>
    <row r="181" spans="1:14" x14ac:dyDescent="0.3">
      <c r="A181" s="1"/>
      <c r="B181" s="1"/>
      <c r="C181" s="1"/>
      <c r="D181" s="1"/>
      <c r="E181" s="1" t="s">
        <v>123</v>
      </c>
      <c r="F181" s="26" t="s">
        <v>2314</v>
      </c>
      <c r="G181" s="1">
        <v>4</v>
      </c>
      <c r="H181" s="1" t="s">
        <v>28</v>
      </c>
      <c r="I181" s="1">
        <v>10500</v>
      </c>
      <c r="J181" s="1">
        <f t="shared" si="9"/>
        <v>42000</v>
      </c>
    </row>
    <row r="182" spans="1:14" x14ac:dyDescent="0.3">
      <c r="A182" s="1"/>
      <c r="B182" s="1"/>
      <c r="C182" s="1"/>
      <c r="D182" s="1"/>
      <c r="E182" s="1" t="s">
        <v>123</v>
      </c>
      <c r="F182" s="26" t="s">
        <v>2315</v>
      </c>
      <c r="G182" s="1">
        <v>2</v>
      </c>
      <c r="H182" s="1" t="s">
        <v>28</v>
      </c>
      <c r="I182" s="1">
        <v>15800</v>
      </c>
      <c r="J182" s="1">
        <f t="shared" si="9"/>
        <v>31600</v>
      </c>
    </row>
    <row r="183" spans="1:14" x14ac:dyDescent="0.3">
      <c r="A183" s="1"/>
      <c r="B183" s="1"/>
      <c r="C183" s="1"/>
      <c r="D183" s="1"/>
      <c r="E183" s="1" t="s">
        <v>123</v>
      </c>
      <c r="F183" s="26" t="s">
        <v>2316</v>
      </c>
      <c r="G183" s="1">
        <v>1</v>
      </c>
      <c r="H183" s="1" t="s">
        <v>28</v>
      </c>
      <c r="I183" s="1">
        <v>9600</v>
      </c>
      <c r="J183" s="1">
        <f t="shared" si="9"/>
        <v>9600</v>
      </c>
    </row>
    <row r="184" spans="1:14" ht="37.799999999999997" x14ac:dyDescent="0.3">
      <c r="A184" s="1"/>
      <c r="B184" s="1"/>
      <c r="C184" s="1"/>
      <c r="D184" s="1"/>
      <c r="E184" s="1" t="s">
        <v>123</v>
      </c>
      <c r="F184" s="51" t="s">
        <v>2317</v>
      </c>
      <c r="G184" s="1">
        <v>5</v>
      </c>
      <c r="H184" s="1" t="s">
        <v>28</v>
      </c>
      <c r="I184" s="1">
        <v>2540</v>
      </c>
      <c r="J184" s="1">
        <f t="shared" si="9"/>
        <v>12700</v>
      </c>
    </row>
    <row r="185" spans="1:14" x14ac:dyDescent="0.3">
      <c r="A185" s="1"/>
      <c r="B185" s="1"/>
      <c r="C185" s="1"/>
      <c r="D185" s="1"/>
      <c r="E185" s="1"/>
      <c r="F185" s="191" t="s">
        <v>39</v>
      </c>
      <c r="G185" s="1"/>
      <c r="H185" s="1"/>
      <c r="I185" s="1"/>
      <c r="J185" s="124">
        <f>SUM(J165:J184)</f>
        <v>195000</v>
      </c>
    </row>
    <row r="186" spans="1:14" x14ac:dyDescent="0.3">
      <c r="A186" s="1"/>
      <c r="B186" s="1"/>
      <c r="C186" s="1"/>
      <c r="D186" s="1"/>
      <c r="E186" s="1"/>
      <c r="F186" s="191" t="s">
        <v>599</v>
      </c>
      <c r="G186" s="1"/>
      <c r="H186" s="1"/>
      <c r="I186" s="1"/>
      <c r="J186" s="124">
        <f>J185*0/100</f>
        <v>0</v>
      </c>
    </row>
    <row r="187" spans="1:14" x14ac:dyDescent="0.3">
      <c r="A187" s="1"/>
      <c r="B187" s="1"/>
      <c r="C187" s="1"/>
      <c r="D187" s="1"/>
      <c r="E187" s="1"/>
      <c r="F187" s="191" t="s">
        <v>41</v>
      </c>
      <c r="G187" s="1"/>
      <c r="H187" s="1"/>
      <c r="I187" s="1"/>
      <c r="J187" s="124">
        <f>SUM(J185:J186)</f>
        <v>195000</v>
      </c>
    </row>
    <row r="188" spans="1:14" x14ac:dyDescent="0.3">
      <c r="A188" s="1"/>
      <c r="B188" s="1"/>
      <c r="C188" s="1"/>
      <c r="D188" s="1"/>
      <c r="E188" s="1"/>
      <c r="F188" s="191"/>
      <c r="G188" s="1"/>
      <c r="H188" s="1"/>
      <c r="I188" s="1"/>
      <c r="J188" s="124"/>
    </row>
    <row r="189" spans="1:14" x14ac:dyDescent="0.3">
      <c r="A189" s="1">
        <v>203</v>
      </c>
      <c r="B189" s="1">
        <v>9200165158</v>
      </c>
      <c r="C189" s="37">
        <v>46117</v>
      </c>
      <c r="D189" s="1" t="s">
        <v>43</v>
      </c>
      <c r="E189" s="1" t="s">
        <v>123</v>
      </c>
      <c r="F189" s="51" t="s">
        <v>2348</v>
      </c>
      <c r="G189" s="1">
        <v>300</v>
      </c>
      <c r="H189" s="1" t="s">
        <v>28</v>
      </c>
      <c r="I189" s="1">
        <v>699</v>
      </c>
      <c r="J189" s="1">
        <f t="shared" ref="J189:J191" si="10">G189*I189</f>
        <v>209700</v>
      </c>
      <c r="K189" s="119">
        <v>66</v>
      </c>
      <c r="L189" s="119" t="s">
        <v>28</v>
      </c>
      <c r="M189" s="119" t="s">
        <v>91</v>
      </c>
      <c r="N189" s="119" t="s">
        <v>2363</v>
      </c>
    </row>
    <row r="190" spans="1:14" x14ac:dyDescent="0.3">
      <c r="A190" s="1"/>
      <c r="B190" s="1"/>
      <c r="C190" s="1"/>
      <c r="D190" s="1"/>
      <c r="E190" s="1" t="s">
        <v>123</v>
      </c>
      <c r="F190" s="51" t="s">
        <v>2349</v>
      </c>
      <c r="G190" s="1">
        <v>300</v>
      </c>
      <c r="H190" s="1" t="s">
        <v>28</v>
      </c>
      <c r="I190" s="1">
        <v>1926</v>
      </c>
      <c r="J190" s="1">
        <f t="shared" si="10"/>
        <v>577800</v>
      </c>
      <c r="K190" s="119">
        <v>300</v>
      </c>
      <c r="L190" s="119" t="s">
        <v>28</v>
      </c>
      <c r="M190" s="119" t="s">
        <v>91</v>
      </c>
      <c r="N190" s="119" t="s">
        <v>2363</v>
      </c>
    </row>
    <row r="191" spans="1:14" ht="37.799999999999997" x14ac:dyDescent="0.3">
      <c r="A191" s="1"/>
      <c r="B191" s="1"/>
      <c r="C191" s="1"/>
      <c r="D191" s="1"/>
      <c r="E191" s="1" t="s">
        <v>123</v>
      </c>
      <c r="F191" s="51" t="s">
        <v>2350</v>
      </c>
      <c r="G191" s="1">
        <v>40</v>
      </c>
      <c r="H191" s="1" t="s">
        <v>510</v>
      </c>
      <c r="I191" s="1">
        <v>1275</v>
      </c>
      <c r="J191" s="1">
        <f t="shared" si="10"/>
        <v>51000</v>
      </c>
      <c r="K191" s="119">
        <v>3</v>
      </c>
      <c r="L191" s="119" t="s">
        <v>510</v>
      </c>
      <c r="M191" s="119" t="s">
        <v>91</v>
      </c>
      <c r="N191" s="119" t="s">
        <v>2363</v>
      </c>
    </row>
    <row r="192" spans="1:14" x14ac:dyDescent="0.3">
      <c r="A192" s="1"/>
      <c r="B192" s="1"/>
      <c r="C192" s="1"/>
      <c r="D192" s="1"/>
      <c r="E192" s="1"/>
      <c r="F192" s="191" t="s">
        <v>39</v>
      </c>
      <c r="G192" s="1"/>
      <c r="H192" s="1"/>
      <c r="I192" s="1"/>
      <c r="J192" s="124">
        <f>SUM(J189:J191)</f>
        <v>838500</v>
      </c>
    </row>
    <row r="193" spans="1:10" x14ac:dyDescent="0.3">
      <c r="A193" s="1"/>
      <c r="B193" s="1"/>
      <c r="C193" s="1"/>
      <c r="D193" s="1"/>
      <c r="E193" s="1"/>
      <c r="F193" s="191" t="s">
        <v>599</v>
      </c>
      <c r="G193" s="1"/>
      <c r="H193" s="1"/>
      <c r="I193" s="1"/>
      <c r="J193" s="124">
        <f>J192*0/100</f>
        <v>0</v>
      </c>
    </row>
    <row r="194" spans="1:10" x14ac:dyDescent="0.3">
      <c r="A194" s="1"/>
      <c r="B194" s="1"/>
      <c r="C194" s="1"/>
      <c r="D194" s="1"/>
      <c r="E194" s="1"/>
      <c r="F194" s="191" t="s">
        <v>41</v>
      </c>
      <c r="G194" s="1"/>
      <c r="H194" s="1"/>
      <c r="I194" s="1"/>
      <c r="J194" s="124">
        <f>SUM(J192:J193)</f>
        <v>838500</v>
      </c>
    </row>
    <row r="195" spans="1:10" x14ac:dyDescent="0.3">
      <c r="A195" s="1"/>
      <c r="B195" s="1"/>
      <c r="C195" s="1"/>
      <c r="D195" s="1"/>
      <c r="E195" s="1"/>
      <c r="F195" s="191"/>
      <c r="G195" s="1"/>
      <c r="H195" s="1"/>
      <c r="I195" s="1"/>
      <c r="J195" s="124"/>
    </row>
    <row r="196" spans="1:10" ht="25.2" x14ac:dyDescent="0.3">
      <c r="A196" s="1">
        <v>204</v>
      </c>
      <c r="B196" s="1">
        <v>9200165185</v>
      </c>
      <c r="C196" s="37">
        <v>46117</v>
      </c>
      <c r="D196" s="1" t="s">
        <v>43</v>
      </c>
      <c r="E196" s="1" t="s">
        <v>123</v>
      </c>
      <c r="F196" s="51" t="s">
        <v>2318</v>
      </c>
      <c r="G196" s="1">
        <v>60</v>
      </c>
      <c r="H196" s="1" t="s">
        <v>111</v>
      </c>
      <c r="I196" s="1">
        <v>266</v>
      </c>
      <c r="J196" s="1">
        <f t="shared" si="9"/>
        <v>15960</v>
      </c>
    </row>
    <row r="197" spans="1:10" ht="37.799999999999997" x14ac:dyDescent="0.3">
      <c r="A197" s="1"/>
      <c r="B197" s="1"/>
      <c r="C197" s="1"/>
      <c r="D197" s="1"/>
      <c r="E197" s="1" t="s">
        <v>123</v>
      </c>
      <c r="F197" s="51" t="s">
        <v>2319</v>
      </c>
      <c r="G197" s="1">
        <v>40</v>
      </c>
      <c r="H197" s="1" t="s">
        <v>111</v>
      </c>
      <c r="I197" s="1">
        <v>342</v>
      </c>
      <c r="J197" s="1">
        <f t="shared" si="9"/>
        <v>13680</v>
      </c>
    </row>
    <row r="198" spans="1:10" ht="25.2" x14ac:dyDescent="0.3">
      <c r="A198" s="1"/>
      <c r="B198" s="1"/>
      <c r="C198" s="1"/>
      <c r="D198" s="1"/>
      <c r="E198" s="1" t="s">
        <v>123</v>
      </c>
      <c r="F198" s="51" t="s">
        <v>2320</v>
      </c>
      <c r="G198" s="1">
        <v>100</v>
      </c>
      <c r="H198" s="1" t="s">
        <v>111</v>
      </c>
      <c r="I198" s="1">
        <v>130</v>
      </c>
      <c r="J198" s="1">
        <f t="shared" si="9"/>
        <v>13000</v>
      </c>
    </row>
    <row r="199" spans="1:10" x14ac:dyDescent="0.3">
      <c r="A199" s="1"/>
      <c r="B199" s="1"/>
      <c r="C199" s="1"/>
      <c r="D199" s="1"/>
      <c r="E199" s="1" t="s">
        <v>123</v>
      </c>
      <c r="F199" s="26" t="s">
        <v>2321</v>
      </c>
      <c r="G199" s="1">
        <v>1</v>
      </c>
      <c r="H199" s="1" t="s">
        <v>28</v>
      </c>
      <c r="I199" s="1">
        <v>1758</v>
      </c>
      <c r="J199" s="1">
        <f t="shared" si="9"/>
        <v>1758</v>
      </c>
    </row>
    <row r="200" spans="1:10" ht="25.2" x14ac:dyDescent="0.3">
      <c r="A200" s="1"/>
      <c r="B200" s="1"/>
      <c r="C200" s="1"/>
      <c r="D200" s="1"/>
      <c r="E200" s="1" t="s">
        <v>123</v>
      </c>
      <c r="F200" s="51" t="s">
        <v>2322</v>
      </c>
      <c r="G200" s="1">
        <v>15</v>
      </c>
      <c r="H200" s="1" t="s">
        <v>252</v>
      </c>
      <c r="I200" s="1">
        <v>1045</v>
      </c>
      <c r="J200" s="1">
        <f t="shared" si="9"/>
        <v>15675</v>
      </c>
    </row>
    <row r="201" spans="1:10" x14ac:dyDescent="0.3">
      <c r="A201" s="1"/>
      <c r="B201" s="1"/>
      <c r="C201" s="1"/>
      <c r="D201" s="1"/>
      <c r="E201" s="1" t="s">
        <v>123</v>
      </c>
      <c r="F201" s="51" t="s">
        <v>2323</v>
      </c>
      <c r="G201" s="1">
        <v>100</v>
      </c>
      <c r="H201" s="1" t="s">
        <v>111</v>
      </c>
      <c r="I201" s="1">
        <v>40</v>
      </c>
      <c r="J201" s="1">
        <f t="shared" si="9"/>
        <v>4000</v>
      </c>
    </row>
    <row r="202" spans="1:10" x14ac:dyDescent="0.3">
      <c r="A202" s="1"/>
      <c r="B202" s="1"/>
      <c r="C202" s="1"/>
      <c r="D202" s="1"/>
      <c r="E202" s="1" t="s">
        <v>123</v>
      </c>
      <c r="F202" s="26" t="s">
        <v>2324</v>
      </c>
      <c r="G202" s="1">
        <v>100</v>
      </c>
      <c r="H202" s="1" t="s">
        <v>111</v>
      </c>
      <c r="I202" s="1">
        <v>80</v>
      </c>
      <c r="J202" s="1">
        <f t="shared" si="9"/>
        <v>8000</v>
      </c>
    </row>
    <row r="203" spans="1:10" x14ac:dyDescent="0.3">
      <c r="A203" s="1"/>
      <c r="B203" s="1"/>
      <c r="C203" s="1"/>
      <c r="D203" s="1"/>
      <c r="E203" s="1" t="s">
        <v>123</v>
      </c>
      <c r="F203" s="26" t="s">
        <v>2325</v>
      </c>
      <c r="G203" s="1">
        <v>1</v>
      </c>
      <c r="H203" s="1" t="s">
        <v>2326</v>
      </c>
      <c r="I203" s="1">
        <v>2500</v>
      </c>
      <c r="J203" s="1">
        <f t="shared" si="9"/>
        <v>2500</v>
      </c>
    </row>
    <row r="204" spans="1:10" x14ac:dyDescent="0.3">
      <c r="A204" s="1"/>
      <c r="B204" s="1"/>
      <c r="C204" s="1"/>
      <c r="D204" s="1"/>
      <c r="E204" s="1"/>
      <c r="F204" s="191" t="s">
        <v>39</v>
      </c>
      <c r="G204" s="1"/>
      <c r="H204" s="1"/>
      <c r="I204" s="1"/>
      <c r="J204" s="124">
        <f>SUM(J196:J203)</f>
        <v>74573</v>
      </c>
    </row>
    <row r="205" spans="1:10" x14ac:dyDescent="0.3">
      <c r="A205" s="1"/>
      <c r="B205" s="1"/>
      <c r="C205" s="1"/>
      <c r="D205" s="1"/>
      <c r="E205" s="1"/>
      <c r="F205" s="191" t="s">
        <v>599</v>
      </c>
      <c r="G205" s="1"/>
      <c r="H205" s="1"/>
      <c r="I205" s="1"/>
      <c r="J205" s="124">
        <f>J204*18/100</f>
        <v>13423.14</v>
      </c>
    </row>
    <row r="206" spans="1:10" x14ac:dyDescent="0.3">
      <c r="A206" s="1"/>
      <c r="B206" s="1"/>
      <c r="C206" s="1"/>
      <c r="D206" s="1"/>
      <c r="E206" s="1"/>
      <c r="F206" s="191" t="s">
        <v>41</v>
      </c>
      <c r="G206" s="1"/>
      <c r="H206" s="1"/>
      <c r="I206" s="1"/>
      <c r="J206" s="124">
        <f>SUM(J204:J205)</f>
        <v>87996.14</v>
      </c>
    </row>
    <row r="207" spans="1:10" x14ac:dyDescent="0.3">
      <c r="A207" s="1"/>
      <c r="B207" s="1"/>
      <c r="C207" s="1"/>
      <c r="D207" s="1"/>
      <c r="E207" s="1"/>
      <c r="F207" s="191"/>
      <c r="G207" s="1"/>
      <c r="H207" s="1"/>
      <c r="I207" s="1"/>
      <c r="J207" s="124"/>
    </row>
    <row r="208" spans="1:10" ht="63" x14ac:dyDescent="0.3">
      <c r="A208" s="1">
        <v>205</v>
      </c>
      <c r="B208" s="1">
        <v>9200165793</v>
      </c>
      <c r="C208" s="37">
        <v>46331</v>
      </c>
      <c r="D208" s="1" t="s">
        <v>300</v>
      </c>
      <c r="E208" s="1" t="s">
        <v>123</v>
      </c>
      <c r="F208" s="51" t="s">
        <v>2334</v>
      </c>
      <c r="G208" s="1">
        <v>20</v>
      </c>
      <c r="H208" s="1" t="s">
        <v>252</v>
      </c>
      <c r="I208" s="1">
        <v>1450</v>
      </c>
      <c r="J208" s="1">
        <f t="shared" si="9"/>
        <v>29000</v>
      </c>
    </row>
    <row r="209" spans="1:10" x14ac:dyDescent="0.3">
      <c r="A209" s="1"/>
      <c r="B209" s="1"/>
      <c r="C209" s="1"/>
      <c r="D209" s="1"/>
      <c r="E209" s="1" t="s">
        <v>123</v>
      </c>
      <c r="F209" s="26" t="s">
        <v>2335</v>
      </c>
      <c r="G209" s="1">
        <v>6</v>
      </c>
      <c r="H209" s="1" t="s">
        <v>308</v>
      </c>
      <c r="I209" s="1">
        <v>400</v>
      </c>
      <c r="J209" s="1">
        <f t="shared" si="9"/>
        <v>2400</v>
      </c>
    </row>
    <row r="210" spans="1:10" x14ac:dyDescent="0.3">
      <c r="A210" s="1"/>
      <c r="B210" s="1"/>
      <c r="C210" s="1"/>
      <c r="D210" s="1"/>
      <c r="E210" s="1" t="s">
        <v>123</v>
      </c>
      <c r="F210" s="26" t="s">
        <v>2336</v>
      </c>
      <c r="G210" s="1">
        <v>2</v>
      </c>
      <c r="H210" s="1" t="s">
        <v>28</v>
      </c>
      <c r="I210" s="1">
        <v>550</v>
      </c>
      <c r="J210" s="1">
        <f t="shared" si="9"/>
        <v>1100</v>
      </c>
    </row>
    <row r="211" spans="1:10" x14ac:dyDescent="0.3">
      <c r="A211" s="1"/>
      <c r="B211" s="1"/>
      <c r="C211" s="1"/>
      <c r="D211" s="1"/>
      <c r="E211" s="1" t="s">
        <v>123</v>
      </c>
      <c r="F211" s="26" t="s">
        <v>2337</v>
      </c>
      <c r="G211" s="1">
        <v>1</v>
      </c>
      <c r="H211" s="1" t="s">
        <v>87</v>
      </c>
      <c r="I211" s="1">
        <v>3800</v>
      </c>
      <c r="J211" s="1">
        <f t="shared" si="9"/>
        <v>3800</v>
      </c>
    </row>
    <row r="212" spans="1:10" x14ac:dyDescent="0.3">
      <c r="A212" s="1"/>
      <c r="B212" s="1"/>
      <c r="C212" s="1"/>
      <c r="D212" s="1"/>
      <c r="E212" s="1"/>
      <c r="F212" s="191" t="s">
        <v>39</v>
      </c>
      <c r="G212" s="1"/>
      <c r="H212" s="1"/>
      <c r="I212" s="1"/>
      <c r="J212" s="124">
        <f>SUM(J208:J211)</f>
        <v>36300</v>
      </c>
    </row>
    <row r="213" spans="1:10" x14ac:dyDescent="0.3">
      <c r="A213" s="1"/>
      <c r="B213" s="1"/>
      <c r="C213" s="1"/>
      <c r="D213" s="1"/>
      <c r="E213" s="1"/>
      <c r="F213" s="191" t="s">
        <v>187</v>
      </c>
      <c r="G213" s="1"/>
      <c r="H213" s="1"/>
      <c r="I213" s="1"/>
      <c r="J213" s="124">
        <f>J212*18/100</f>
        <v>6534</v>
      </c>
    </row>
    <row r="214" spans="1:10" x14ac:dyDescent="0.3">
      <c r="A214" s="1"/>
      <c r="B214" s="1"/>
      <c r="C214" s="1"/>
      <c r="D214" s="1"/>
      <c r="E214" s="1"/>
      <c r="F214" s="191" t="s">
        <v>41</v>
      </c>
      <c r="G214" s="1"/>
      <c r="H214" s="1"/>
      <c r="I214" s="1"/>
      <c r="J214" s="124">
        <f>SUM(J212:J213)</f>
        <v>42834</v>
      </c>
    </row>
    <row r="215" spans="1:10" x14ac:dyDescent="0.3">
      <c r="A215" s="1">
        <v>206</v>
      </c>
      <c r="B215" s="1">
        <v>9200165795</v>
      </c>
      <c r="C215" s="37">
        <v>46331</v>
      </c>
      <c r="D215" s="1" t="s">
        <v>43</v>
      </c>
      <c r="E215" s="1" t="s">
        <v>123</v>
      </c>
      <c r="F215" s="51" t="s">
        <v>2338</v>
      </c>
      <c r="G215" s="1">
        <v>3</v>
      </c>
      <c r="H215" s="1" t="s">
        <v>28</v>
      </c>
      <c r="I215" s="1">
        <v>9200</v>
      </c>
      <c r="J215" s="1">
        <f t="shared" si="9"/>
        <v>27600</v>
      </c>
    </row>
    <row r="216" spans="1:10" x14ac:dyDescent="0.3">
      <c r="A216" s="1"/>
      <c r="B216" s="1"/>
      <c r="C216" s="1"/>
      <c r="D216" s="1"/>
      <c r="E216" s="1" t="s">
        <v>123</v>
      </c>
      <c r="F216" s="26" t="s">
        <v>2339</v>
      </c>
      <c r="G216" s="1">
        <v>2</v>
      </c>
      <c r="H216" s="1" t="s">
        <v>28</v>
      </c>
      <c r="I216" s="1">
        <v>8200</v>
      </c>
      <c r="J216" s="1">
        <f t="shared" si="9"/>
        <v>16400</v>
      </c>
    </row>
    <row r="217" spans="1:10" x14ac:dyDescent="0.3">
      <c r="A217" s="1"/>
      <c r="B217" s="1"/>
      <c r="C217" s="1"/>
      <c r="D217" s="1"/>
      <c r="E217" s="1" t="s">
        <v>123</v>
      </c>
      <c r="F217" s="26" t="s">
        <v>2340</v>
      </c>
      <c r="G217" s="1">
        <v>2</v>
      </c>
      <c r="H217" s="1" t="s">
        <v>28</v>
      </c>
      <c r="I217" s="1">
        <v>6800</v>
      </c>
      <c r="J217" s="1">
        <f t="shared" si="9"/>
        <v>13600</v>
      </c>
    </row>
    <row r="218" spans="1:10" ht="25.2" x14ac:dyDescent="0.3">
      <c r="A218" s="1"/>
      <c r="B218" s="1"/>
      <c r="C218" s="1"/>
      <c r="D218" s="1"/>
      <c r="E218" s="1" t="s">
        <v>123</v>
      </c>
      <c r="F218" s="51" t="s">
        <v>2341</v>
      </c>
      <c r="G218" s="1">
        <v>11</v>
      </c>
      <c r="H218" s="1" t="s">
        <v>28</v>
      </c>
      <c r="I218" s="1">
        <v>1500</v>
      </c>
      <c r="J218" s="1">
        <f t="shared" si="9"/>
        <v>16500</v>
      </c>
    </row>
    <row r="219" spans="1:10" ht="25.2" x14ac:dyDescent="0.3">
      <c r="A219" s="1"/>
      <c r="B219" s="1"/>
      <c r="C219" s="1"/>
      <c r="D219" s="1"/>
      <c r="E219" s="1" t="s">
        <v>123</v>
      </c>
      <c r="F219" s="51" t="s">
        <v>2342</v>
      </c>
      <c r="G219" s="1">
        <v>11</v>
      </c>
      <c r="H219" s="1" t="s">
        <v>28</v>
      </c>
      <c r="I219" s="1">
        <v>650</v>
      </c>
      <c r="J219" s="1">
        <f t="shared" si="9"/>
        <v>7150</v>
      </c>
    </row>
    <row r="220" spans="1:10" x14ac:dyDescent="0.3">
      <c r="A220" s="1"/>
      <c r="B220" s="1"/>
      <c r="C220" s="1"/>
      <c r="D220" s="1"/>
      <c r="E220" s="1" t="s">
        <v>123</v>
      </c>
      <c r="F220" s="26" t="s">
        <v>2343</v>
      </c>
      <c r="G220" s="1">
        <v>20</v>
      </c>
      <c r="H220" s="1" t="s">
        <v>28</v>
      </c>
      <c r="I220" s="1">
        <v>220</v>
      </c>
      <c r="J220" s="1">
        <f t="shared" si="9"/>
        <v>4400</v>
      </c>
    </row>
    <row r="221" spans="1:10" x14ac:dyDescent="0.3">
      <c r="A221" s="1"/>
      <c r="B221" s="1"/>
      <c r="C221" s="1"/>
      <c r="D221" s="1"/>
      <c r="E221" s="1" t="s">
        <v>123</v>
      </c>
      <c r="F221" s="26" t="s">
        <v>2344</v>
      </c>
      <c r="G221" s="1">
        <v>7</v>
      </c>
      <c r="H221" s="1" t="s">
        <v>28</v>
      </c>
      <c r="I221" s="1">
        <v>1400</v>
      </c>
      <c r="J221" s="1">
        <f t="shared" si="9"/>
        <v>9800</v>
      </c>
    </row>
    <row r="222" spans="1:10" x14ac:dyDescent="0.3">
      <c r="A222" s="1"/>
      <c r="B222" s="1"/>
      <c r="C222" s="1"/>
      <c r="D222" s="1"/>
      <c r="E222" s="1"/>
      <c r="F222" s="191" t="s">
        <v>39</v>
      </c>
      <c r="G222" s="1"/>
      <c r="H222" s="1"/>
      <c r="I222" s="1"/>
      <c r="J222" s="124">
        <f>SUM(J215:J221)</f>
        <v>95450</v>
      </c>
    </row>
    <row r="223" spans="1:10" x14ac:dyDescent="0.3">
      <c r="A223" s="1"/>
      <c r="B223" s="1"/>
      <c r="C223" s="1"/>
      <c r="D223" s="1"/>
      <c r="E223" s="1"/>
      <c r="F223" s="191" t="s">
        <v>187</v>
      </c>
      <c r="G223" s="1"/>
      <c r="H223" s="1"/>
      <c r="I223" s="1"/>
      <c r="J223" s="124">
        <f>J222*0/100</f>
        <v>0</v>
      </c>
    </row>
    <row r="224" spans="1:10" x14ac:dyDescent="0.3">
      <c r="A224" s="1"/>
      <c r="B224" s="1"/>
      <c r="C224" s="1"/>
      <c r="D224" s="1"/>
      <c r="E224" s="1"/>
      <c r="F224" s="191" t="s">
        <v>41</v>
      </c>
      <c r="G224" s="1"/>
      <c r="H224" s="1"/>
      <c r="I224" s="1"/>
      <c r="J224" s="124">
        <f>SUM(J222:J223)</f>
        <v>95450</v>
      </c>
    </row>
    <row r="225" spans="1:14" x14ac:dyDescent="0.3">
      <c r="A225" s="1">
        <v>207</v>
      </c>
      <c r="B225" s="1">
        <v>8100024785</v>
      </c>
      <c r="C225" s="37">
        <v>46361</v>
      </c>
      <c r="D225" s="1" t="s">
        <v>300</v>
      </c>
      <c r="E225" s="1" t="s">
        <v>127</v>
      </c>
      <c r="F225" s="51" t="s">
        <v>2351</v>
      </c>
      <c r="G225" s="1">
        <v>1</v>
      </c>
      <c r="H225" s="1" t="s">
        <v>28</v>
      </c>
      <c r="I225" s="1">
        <v>8000</v>
      </c>
      <c r="J225" s="1">
        <f t="shared" ref="J225:J240" si="11">G225*I225</f>
        <v>8000</v>
      </c>
    </row>
    <row r="226" spans="1:14" x14ac:dyDescent="0.3">
      <c r="A226" s="1"/>
      <c r="B226" s="1"/>
      <c r="C226" s="1"/>
      <c r="D226" s="1"/>
      <c r="E226" s="1" t="s">
        <v>123</v>
      </c>
      <c r="F226" s="26" t="s">
        <v>2352</v>
      </c>
      <c r="G226" s="1">
        <v>1</v>
      </c>
      <c r="H226" s="1" t="s">
        <v>28</v>
      </c>
      <c r="I226" s="1">
        <v>6000</v>
      </c>
      <c r="J226" s="1">
        <f t="shared" si="11"/>
        <v>6000</v>
      </c>
      <c r="K226" s="119">
        <v>1</v>
      </c>
      <c r="L226" s="119" t="s">
        <v>734</v>
      </c>
      <c r="M226" s="119" t="s">
        <v>1570</v>
      </c>
      <c r="N226" s="119" t="s">
        <v>2372</v>
      </c>
    </row>
    <row r="227" spans="1:14" x14ac:dyDescent="0.3">
      <c r="A227" s="1"/>
      <c r="B227" s="1"/>
      <c r="C227" s="1"/>
      <c r="D227" s="1"/>
      <c r="E227" s="1"/>
      <c r="F227" s="191" t="s">
        <v>39</v>
      </c>
      <c r="G227" s="1"/>
      <c r="H227" s="1"/>
      <c r="I227" s="1"/>
      <c r="J227" s="124">
        <f>SUM(J225:J226)</f>
        <v>14000</v>
      </c>
    </row>
    <row r="228" spans="1:14" x14ac:dyDescent="0.3">
      <c r="A228" s="1"/>
      <c r="B228" s="1"/>
      <c r="C228" s="1"/>
      <c r="D228" s="1"/>
      <c r="E228" s="1"/>
      <c r="F228" s="191" t="s">
        <v>187</v>
      </c>
      <c r="G228" s="1"/>
      <c r="H228" s="1"/>
      <c r="I228" s="1"/>
      <c r="J228" s="124">
        <f>J227*18/100</f>
        <v>2520</v>
      </c>
    </row>
    <row r="229" spans="1:14" x14ac:dyDescent="0.3">
      <c r="A229" s="1"/>
      <c r="B229" s="1"/>
      <c r="C229" s="1"/>
      <c r="D229" s="1"/>
      <c r="E229" s="1"/>
      <c r="F229" s="191" t="s">
        <v>41</v>
      </c>
      <c r="G229" s="1"/>
      <c r="H229" s="1"/>
      <c r="I229" s="1"/>
      <c r="J229" s="124">
        <f>SUM(J227:J228)</f>
        <v>16520</v>
      </c>
    </row>
    <row r="230" spans="1:14" x14ac:dyDescent="0.3">
      <c r="A230" s="1"/>
      <c r="B230" s="1"/>
      <c r="C230" s="1"/>
      <c r="D230" s="1"/>
      <c r="E230" s="1"/>
      <c r="F230" s="26"/>
      <c r="G230" s="1"/>
      <c r="H230" s="1"/>
      <c r="I230" s="1"/>
      <c r="J230" s="1"/>
    </row>
    <row r="231" spans="1:14" ht="37.799999999999997" x14ac:dyDescent="0.3">
      <c r="A231" s="1">
        <v>208</v>
      </c>
      <c r="B231" s="1">
        <v>9200165917</v>
      </c>
      <c r="C231" s="37">
        <v>46361</v>
      </c>
      <c r="D231" s="1" t="s">
        <v>300</v>
      </c>
      <c r="E231" s="1" t="s">
        <v>123</v>
      </c>
      <c r="F231" s="51" t="s">
        <v>2353</v>
      </c>
      <c r="G231" s="1">
        <v>1</v>
      </c>
      <c r="H231" s="1" t="s">
        <v>28</v>
      </c>
      <c r="I231" s="1">
        <v>24500</v>
      </c>
      <c r="J231" s="1">
        <f t="shared" si="11"/>
        <v>24500</v>
      </c>
    </row>
    <row r="232" spans="1:14" ht="25.2" x14ac:dyDescent="0.3">
      <c r="A232" s="1"/>
      <c r="B232" s="1"/>
      <c r="C232" s="1"/>
      <c r="D232" s="1"/>
      <c r="E232" s="1"/>
      <c r="F232" s="51" t="s">
        <v>2354</v>
      </c>
      <c r="G232" s="1">
        <v>64</v>
      </c>
      <c r="H232" s="1" t="s">
        <v>111</v>
      </c>
      <c r="I232" s="1">
        <v>330</v>
      </c>
      <c r="J232" s="1">
        <f t="shared" si="11"/>
        <v>21120</v>
      </c>
    </row>
    <row r="233" spans="1:14" x14ac:dyDescent="0.3">
      <c r="A233" s="1"/>
      <c r="B233" s="1"/>
      <c r="C233" s="1"/>
      <c r="D233" s="1"/>
      <c r="E233" s="1"/>
      <c r="F233" s="191" t="s">
        <v>39</v>
      </c>
      <c r="G233" s="1"/>
      <c r="H233" s="1"/>
      <c r="I233" s="1"/>
      <c r="J233" s="124">
        <f>SUM(J231:J232)</f>
        <v>45620</v>
      </c>
    </row>
    <row r="234" spans="1:14" x14ac:dyDescent="0.3">
      <c r="A234" s="1"/>
      <c r="B234" s="1"/>
      <c r="C234" s="1"/>
      <c r="D234" s="1"/>
      <c r="E234" s="1"/>
      <c r="F234" s="191" t="s">
        <v>187</v>
      </c>
      <c r="G234" s="1"/>
      <c r="H234" s="1"/>
      <c r="I234" s="1"/>
      <c r="J234" s="124">
        <f>J233*18/100</f>
        <v>8211.6</v>
      </c>
    </row>
    <row r="235" spans="1:14" x14ac:dyDescent="0.3">
      <c r="A235" s="1"/>
      <c r="B235" s="1"/>
      <c r="C235" s="1"/>
      <c r="D235" s="1"/>
      <c r="E235" s="1"/>
      <c r="F235" s="191" t="s">
        <v>41</v>
      </c>
      <c r="G235" s="1"/>
      <c r="H235" s="1"/>
      <c r="I235" s="1"/>
      <c r="J235" s="124">
        <f>SUM(J233:J234)</f>
        <v>53831.6</v>
      </c>
    </row>
    <row r="236" spans="1:14" x14ac:dyDescent="0.3">
      <c r="A236" s="1"/>
      <c r="B236" s="1"/>
      <c r="C236" s="1"/>
      <c r="D236" s="1"/>
      <c r="E236" s="1"/>
      <c r="F236" s="191"/>
      <c r="G236" s="1"/>
      <c r="H236" s="1"/>
      <c r="I236" s="1"/>
      <c r="J236" s="124"/>
    </row>
    <row r="237" spans="1:14" ht="25.2" x14ac:dyDescent="0.3">
      <c r="A237" s="1">
        <v>209</v>
      </c>
      <c r="B237" s="1">
        <v>9200165973</v>
      </c>
      <c r="C237" s="1" t="s">
        <v>2356</v>
      </c>
      <c r="D237" s="1" t="s">
        <v>373</v>
      </c>
      <c r="E237" s="1" t="s">
        <v>123</v>
      </c>
      <c r="F237" s="51" t="s">
        <v>2357</v>
      </c>
      <c r="G237" s="1">
        <v>2550</v>
      </c>
      <c r="H237" s="1" t="s">
        <v>111</v>
      </c>
      <c r="I237" s="1">
        <v>198</v>
      </c>
      <c r="J237" s="1">
        <f t="shared" si="11"/>
        <v>504900</v>
      </c>
    </row>
    <row r="238" spans="1:14" x14ac:dyDescent="0.3">
      <c r="A238" s="1"/>
      <c r="B238" s="1"/>
      <c r="C238" s="1"/>
      <c r="D238" s="1"/>
      <c r="E238" s="1"/>
      <c r="F238" s="26" t="s">
        <v>2358</v>
      </c>
      <c r="G238" s="1">
        <v>2550</v>
      </c>
      <c r="H238" s="1" t="s">
        <v>111</v>
      </c>
      <c r="I238" s="1">
        <v>10</v>
      </c>
      <c r="J238" s="1">
        <f t="shared" si="11"/>
        <v>25500</v>
      </c>
    </row>
    <row r="239" spans="1:14" x14ac:dyDescent="0.3">
      <c r="A239" s="1"/>
      <c r="B239" s="1"/>
      <c r="C239" s="1"/>
      <c r="D239" s="1"/>
      <c r="E239" s="1"/>
      <c r="F239" s="26" t="s">
        <v>2359</v>
      </c>
      <c r="G239" s="1">
        <v>2550</v>
      </c>
      <c r="H239" s="1" t="s">
        <v>111</v>
      </c>
      <c r="I239" s="1">
        <v>10</v>
      </c>
      <c r="J239" s="1">
        <f t="shared" si="11"/>
        <v>25500</v>
      </c>
    </row>
    <row r="240" spans="1:14" x14ac:dyDescent="0.3">
      <c r="A240" s="1"/>
      <c r="B240" s="1"/>
      <c r="C240" s="1"/>
      <c r="D240" s="1"/>
      <c r="E240" s="1"/>
      <c r="F240" s="26" t="s">
        <v>2360</v>
      </c>
      <c r="G240" s="1">
        <v>2550</v>
      </c>
      <c r="H240" s="1" t="s">
        <v>111</v>
      </c>
      <c r="I240" s="1">
        <v>5.5</v>
      </c>
      <c r="J240" s="1">
        <f t="shared" si="11"/>
        <v>14025</v>
      </c>
    </row>
    <row r="241" spans="1:10" x14ac:dyDescent="0.3">
      <c r="A241" s="1"/>
      <c r="B241" s="1"/>
      <c r="C241" s="1"/>
      <c r="D241" s="1"/>
      <c r="E241" s="1"/>
      <c r="F241" s="191" t="s">
        <v>39</v>
      </c>
      <c r="G241" s="1"/>
      <c r="H241" s="1"/>
      <c r="I241" s="1"/>
      <c r="J241" s="124">
        <f>SUM(J237:J240)</f>
        <v>569925</v>
      </c>
    </row>
    <row r="242" spans="1:10" x14ac:dyDescent="0.3">
      <c r="A242" s="1"/>
      <c r="B242" s="1"/>
      <c r="C242" s="1"/>
      <c r="D242" s="1"/>
      <c r="E242" s="1"/>
      <c r="F242" s="191" t="s">
        <v>599</v>
      </c>
      <c r="G242" s="1"/>
      <c r="H242" s="1"/>
      <c r="I242" s="1"/>
      <c r="J242" s="124">
        <f>J241*0/100</f>
        <v>0</v>
      </c>
    </row>
    <row r="243" spans="1:10" x14ac:dyDescent="0.3">
      <c r="A243" s="1"/>
      <c r="B243" s="1"/>
      <c r="C243" s="1"/>
      <c r="D243" s="1"/>
      <c r="E243" s="1"/>
      <c r="F243" s="191" t="s">
        <v>41</v>
      </c>
      <c r="G243" s="1"/>
      <c r="H243" s="1"/>
      <c r="I243" s="1"/>
      <c r="J243" s="124">
        <f>SUM(J241:J242)</f>
        <v>569925</v>
      </c>
    </row>
    <row r="245" spans="1:10" x14ac:dyDescent="0.3">
      <c r="A245" s="1">
        <v>210</v>
      </c>
      <c r="B245" s="1">
        <v>9200166399</v>
      </c>
      <c r="C245" s="1" t="s">
        <v>2373</v>
      </c>
      <c r="D245" s="1" t="s">
        <v>43</v>
      </c>
      <c r="E245" s="1" t="s">
        <v>123</v>
      </c>
      <c r="F245" s="26" t="s">
        <v>2374</v>
      </c>
      <c r="G245" s="1">
        <v>4</v>
      </c>
      <c r="H245" s="1" t="s">
        <v>28</v>
      </c>
      <c r="I245" s="1">
        <v>3850</v>
      </c>
      <c r="J245" s="1">
        <f t="shared" ref="J245:J259" si="12">G245*I245</f>
        <v>15400</v>
      </c>
    </row>
    <row r="246" spans="1:10" x14ac:dyDescent="0.3">
      <c r="A246" s="1"/>
      <c r="B246" s="1"/>
      <c r="C246" s="1"/>
      <c r="D246" s="1"/>
      <c r="E246" s="1" t="s">
        <v>123</v>
      </c>
      <c r="F246" s="26" t="s">
        <v>2375</v>
      </c>
      <c r="G246" s="1">
        <v>4</v>
      </c>
      <c r="H246" s="1" t="s">
        <v>28</v>
      </c>
      <c r="I246" s="1">
        <v>3780</v>
      </c>
      <c r="J246" s="1">
        <f t="shared" si="12"/>
        <v>15120</v>
      </c>
    </row>
    <row r="247" spans="1:10" x14ac:dyDescent="0.3">
      <c r="A247" s="1"/>
      <c r="B247" s="1"/>
      <c r="C247" s="1"/>
      <c r="D247" s="1"/>
      <c r="E247" s="1" t="s">
        <v>123</v>
      </c>
      <c r="F247" s="26" t="s">
        <v>2376</v>
      </c>
      <c r="G247" s="1">
        <v>5</v>
      </c>
      <c r="H247" s="1" t="s">
        <v>141</v>
      </c>
      <c r="I247" s="1">
        <v>120</v>
      </c>
      <c r="J247" s="1">
        <f t="shared" si="12"/>
        <v>600</v>
      </c>
    </row>
    <row r="248" spans="1:10" x14ac:dyDescent="0.3">
      <c r="A248" s="1"/>
      <c r="B248" s="1"/>
      <c r="C248" s="1"/>
      <c r="D248" s="1"/>
      <c r="E248" s="1" t="s">
        <v>123</v>
      </c>
      <c r="F248" s="26" t="s">
        <v>2377</v>
      </c>
      <c r="G248" s="1">
        <v>40</v>
      </c>
      <c r="H248" s="1" t="s">
        <v>252</v>
      </c>
      <c r="I248" s="1">
        <v>280</v>
      </c>
      <c r="J248" s="1">
        <f t="shared" si="12"/>
        <v>11200</v>
      </c>
    </row>
    <row r="249" spans="1:10" x14ac:dyDescent="0.3">
      <c r="A249" s="1"/>
      <c r="B249" s="1"/>
      <c r="C249" s="1"/>
      <c r="D249" s="1"/>
      <c r="E249" s="1" t="s">
        <v>123</v>
      </c>
      <c r="F249" s="26" t="s">
        <v>2378</v>
      </c>
      <c r="G249" s="1">
        <v>32</v>
      </c>
      <c r="H249" s="1" t="s">
        <v>28</v>
      </c>
      <c r="I249" s="1">
        <v>325</v>
      </c>
      <c r="J249" s="1">
        <f t="shared" si="12"/>
        <v>10400</v>
      </c>
    </row>
    <row r="250" spans="1:10" x14ac:dyDescent="0.3">
      <c r="A250" s="1"/>
      <c r="B250" s="1"/>
      <c r="C250" s="1"/>
      <c r="D250" s="1"/>
      <c r="E250" s="1" t="s">
        <v>123</v>
      </c>
      <c r="F250" s="51" t="s">
        <v>2379</v>
      </c>
      <c r="G250" s="1">
        <v>2</v>
      </c>
      <c r="H250" s="1" t="s">
        <v>28</v>
      </c>
      <c r="I250" s="1">
        <v>6500</v>
      </c>
      <c r="J250" s="1">
        <f t="shared" si="12"/>
        <v>13000</v>
      </c>
    </row>
    <row r="251" spans="1:10" x14ac:dyDescent="0.3">
      <c r="A251" s="1"/>
      <c r="B251" s="1"/>
      <c r="C251" s="1"/>
      <c r="D251" s="1"/>
      <c r="E251" s="1" t="s">
        <v>123</v>
      </c>
      <c r="F251" s="51" t="s">
        <v>2380</v>
      </c>
      <c r="G251" s="1">
        <v>40</v>
      </c>
      <c r="H251" s="1" t="s">
        <v>252</v>
      </c>
      <c r="I251" s="1">
        <v>325</v>
      </c>
      <c r="J251" s="1">
        <f t="shared" si="12"/>
        <v>13000</v>
      </c>
    </row>
    <row r="252" spans="1:10" x14ac:dyDescent="0.3">
      <c r="A252" s="1"/>
      <c r="B252" s="1"/>
      <c r="C252" s="1"/>
      <c r="D252" s="1"/>
      <c r="E252" s="1" t="s">
        <v>123</v>
      </c>
      <c r="F252" s="26" t="s">
        <v>2381</v>
      </c>
      <c r="G252" s="1">
        <v>40</v>
      </c>
      <c r="H252" s="1" t="s">
        <v>252</v>
      </c>
      <c r="I252" s="1">
        <v>265</v>
      </c>
      <c r="J252" s="1">
        <f t="shared" si="12"/>
        <v>10600</v>
      </c>
    </row>
    <row r="253" spans="1:10" x14ac:dyDescent="0.3">
      <c r="A253" s="1"/>
      <c r="B253" s="1"/>
      <c r="C253" s="1"/>
      <c r="D253" s="1"/>
      <c r="E253" s="1" t="s">
        <v>123</v>
      </c>
      <c r="F253" s="26" t="s">
        <v>2382</v>
      </c>
      <c r="G253" s="1">
        <v>2</v>
      </c>
      <c r="H253" s="1" t="s">
        <v>87</v>
      </c>
      <c r="I253" s="1">
        <v>5200</v>
      </c>
      <c r="J253" s="1">
        <f t="shared" si="12"/>
        <v>10400</v>
      </c>
    </row>
    <row r="254" spans="1:10" x14ac:dyDescent="0.3">
      <c r="A254" s="1"/>
      <c r="B254" s="1"/>
      <c r="C254" s="1"/>
      <c r="D254" s="1"/>
      <c r="E254" s="1" t="s">
        <v>123</v>
      </c>
      <c r="F254" s="26" t="s">
        <v>2383</v>
      </c>
      <c r="G254" s="1">
        <v>2</v>
      </c>
      <c r="H254" s="1" t="s">
        <v>87</v>
      </c>
      <c r="I254" s="1">
        <v>301</v>
      </c>
      <c r="J254" s="1">
        <f t="shared" si="12"/>
        <v>602</v>
      </c>
    </row>
    <row r="255" spans="1:10" x14ac:dyDescent="0.3">
      <c r="A255" s="1"/>
      <c r="B255" s="1"/>
      <c r="C255" s="1"/>
      <c r="D255" s="1"/>
      <c r="E255" s="1" t="s">
        <v>123</v>
      </c>
      <c r="F255" s="26" t="s">
        <v>2384</v>
      </c>
      <c r="G255" s="1">
        <v>225</v>
      </c>
      <c r="H255" s="1" t="s">
        <v>252</v>
      </c>
      <c r="I255" s="1">
        <v>100</v>
      </c>
      <c r="J255" s="1">
        <f t="shared" si="12"/>
        <v>22500</v>
      </c>
    </row>
    <row r="256" spans="1:10" x14ac:dyDescent="0.3">
      <c r="A256" s="1"/>
      <c r="B256" s="1"/>
      <c r="C256" s="1"/>
      <c r="D256" s="1"/>
      <c r="E256" s="1" t="s">
        <v>123</v>
      </c>
      <c r="F256" s="26" t="s">
        <v>2385</v>
      </c>
      <c r="G256" s="1">
        <v>225</v>
      </c>
      <c r="H256" s="1" t="s">
        <v>252</v>
      </c>
      <c r="I256" s="1">
        <v>25</v>
      </c>
      <c r="J256" s="1">
        <f t="shared" si="12"/>
        <v>5625</v>
      </c>
    </row>
    <row r="257" spans="1:14" ht="25.2" x14ac:dyDescent="0.3">
      <c r="A257" s="1"/>
      <c r="B257" s="1"/>
      <c r="C257" s="1"/>
      <c r="D257" s="1"/>
      <c r="E257" s="1" t="s">
        <v>123</v>
      </c>
      <c r="F257" s="51" t="s">
        <v>2386</v>
      </c>
      <c r="G257" s="1">
        <v>4</v>
      </c>
      <c r="H257" s="1" t="s">
        <v>28</v>
      </c>
      <c r="I257" s="1">
        <v>58600</v>
      </c>
      <c r="J257" s="1">
        <f t="shared" si="12"/>
        <v>234400</v>
      </c>
    </row>
    <row r="258" spans="1:14" x14ac:dyDescent="0.3">
      <c r="A258" s="1"/>
      <c r="B258" s="1"/>
      <c r="C258" s="1"/>
      <c r="D258" s="1"/>
      <c r="E258" s="1" t="s">
        <v>123</v>
      </c>
      <c r="F258" s="26" t="s">
        <v>2387</v>
      </c>
      <c r="G258" s="1">
        <v>15</v>
      </c>
      <c r="H258" s="1" t="s">
        <v>28</v>
      </c>
      <c r="I258" s="1">
        <v>850</v>
      </c>
      <c r="J258" s="1">
        <f t="shared" si="12"/>
        <v>12750</v>
      </c>
    </row>
    <row r="259" spans="1:14" x14ac:dyDescent="0.3">
      <c r="A259" s="1"/>
      <c r="B259" s="1"/>
      <c r="C259" s="1"/>
      <c r="D259" s="1"/>
      <c r="E259" s="1" t="s">
        <v>123</v>
      </c>
      <c r="F259" s="26" t="s">
        <v>2388</v>
      </c>
      <c r="G259" s="1">
        <v>2</v>
      </c>
      <c r="H259" s="1" t="s">
        <v>28</v>
      </c>
      <c r="I259" s="1">
        <v>17202</v>
      </c>
      <c r="J259" s="1">
        <f t="shared" si="12"/>
        <v>34404</v>
      </c>
    </row>
    <row r="260" spans="1:14" x14ac:dyDescent="0.3">
      <c r="A260" s="1"/>
      <c r="B260" s="1"/>
      <c r="C260" s="1"/>
      <c r="D260" s="1"/>
      <c r="E260" s="1"/>
      <c r="F260" s="191" t="s">
        <v>39</v>
      </c>
      <c r="G260" s="1"/>
      <c r="H260" s="1"/>
      <c r="I260" s="1"/>
      <c r="J260" s="124">
        <f>SUM(J245:J259)</f>
        <v>410001</v>
      </c>
    </row>
    <row r="261" spans="1:14" x14ac:dyDescent="0.3">
      <c r="A261" s="1"/>
      <c r="B261" s="1"/>
      <c r="C261" s="1"/>
      <c r="D261" s="1"/>
      <c r="E261" s="1"/>
      <c r="F261" s="191" t="s">
        <v>599</v>
      </c>
      <c r="G261" s="1"/>
      <c r="H261" s="1"/>
      <c r="I261" s="1"/>
      <c r="J261" s="124">
        <f>J260*0/100</f>
        <v>0</v>
      </c>
    </row>
    <row r="262" spans="1:14" x14ac:dyDescent="0.3">
      <c r="A262" s="1"/>
      <c r="B262" s="1"/>
      <c r="C262" s="1"/>
      <c r="D262" s="1"/>
      <c r="E262" s="1"/>
      <c r="F262" s="191" t="s">
        <v>41</v>
      </c>
      <c r="G262" s="1"/>
      <c r="H262" s="1"/>
      <c r="I262" s="1"/>
      <c r="J262" s="124">
        <f>SUM(J260:J261)</f>
        <v>410001</v>
      </c>
    </row>
    <row r="263" spans="1:14" x14ac:dyDescent="0.3">
      <c r="A263" s="6"/>
      <c r="B263" s="6"/>
      <c r="C263" s="6"/>
      <c r="D263" s="6"/>
      <c r="E263" s="6"/>
      <c r="F263" s="193"/>
      <c r="G263" s="6"/>
      <c r="H263" s="6"/>
      <c r="I263" s="6"/>
      <c r="J263" s="190"/>
    </row>
    <row r="264" spans="1:14" x14ac:dyDescent="0.3">
      <c r="A264" s="6"/>
      <c r="B264" s="6"/>
      <c r="C264" s="6"/>
      <c r="D264" s="6"/>
      <c r="E264" s="6"/>
      <c r="F264" s="193"/>
      <c r="G264" s="6"/>
      <c r="H264" s="6"/>
      <c r="I264" s="6"/>
      <c r="J264" s="190"/>
    </row>
    <row r="265" spans="1:14" x14ac:dyDescent="0.3">
      <c r="A265" s="6"/>
      <c r="B265" s="6"/>
      <c r="C265" s="6"/>
      <c r="D265" s="6"/>
      <c r="E265" s="6"/>
      <c r="F265" s="193"/>
      <c r="G265" s="6"/>
      <c r="H265" s="6"/>
      <c r="I265" s="6"/>
      <c r="J265" s="190"/>
    </row>
    <row r="267" spans="1:14" x14ac:dyDescent="0.3">
      <c r="A267" s="220" t="s">
        <v>2433</v>
      </c>
      <c r="B267" s="220"/>
      <c r="C267" s="220"/>
      <c r="D267" s="220"/>
      <c r="E267" s="220"/>
      <c r="F267" s="220"/>
      <c r="G267" s="220"/>
      <c r="H267" s="220"/>
      <c r="I267" s="220"/>
      <c r="J267" s="220"/>
    </row>
    <row r="268" spans="1:14" x14ac:dyDescent="0.3">
      <c r="A268" s="189"/>
    </row>
    <row r="269" spans="1:14" x14ac:dyDescent="0.3">
      <c r="A269" s="1">
        <v>43</v>
      </c>
      <c r="B269" s="1">
        <v>8100015047</v>
      </c>
      <c r="C269" s="1" t="s">
        <v>472</v>
      </c>
      <c r="D269" s="1" t="s">
        <v>43</v>
      </c>
      <c r="E269" s="1" t="s">
        <v>123</v>
      </c>
      <c r="F269" s="195" t="s">
        <v>475</v>
      </c>
      <c r="G269" s="81">
        <v>95</v>
      </c>
      <c r="H269" s="81" t="s">
        <v>28</v>
      </c>
      <c r="I269" s="1">
        <v>250</v>
      </c>
      <c r="J269" s="1">
        <f t="shared" ref="J269:J271" si="13">G269*I269</f>
        <v>23750</v>
      </c>
      <c r="K269" s="58">
        <v>95</v>
      </c>
      <c r="L269" s="58" t="s">
        <v>28</v>
      </c>
      <c r="M269" s="58" t="s">
        <v>91</v>
      </c>
      <c r="N269" s="58">
        <v>121</v>
      </c>
    </row>
    <row r="270" spans="1:14" x14ac:dyDescent="0.3">
      <c r="E270" s="1" t="s">
        <v>123</v>
      </c>
      <c r="F270" s="26" t="s">
        <v>476</v>
      </c>
      <c r="G270" s="1">
        <v>500</v>
      </c>
      <c r="H270" s="1" t="s">
        <v>28</v>
      </c>
      <c r="I270" s="1">
        <v>45</v>
      </c>
      <c r="J270" s="1">
        <f t="shared" si="13"/>
        <v>22500</v>
      </c>
      <c r="K270" s="1"/>
      <c r="L270" s="1"/>
      <c r="M270" s="1"/>
      <c r="N270" s="1"/>
    </row>
    <row r="271" spans="1:14" x14ac:dyDescent="0.3">
      <c r="E271" s="1" t="s">
        <v>123</v>
      </c>
      <c r="F271" s="26" t="s">
        <v>477</v>
      </c>
      <c r="G271" s="1">
        <v>500</v>
      </c>
      <c r="H271" s="1" t="s">
        <v>28</v>
      </c>
      <c r="I271" s="1">
        <v>75</v>
      </c>
      <c r="J271" s="1">
        <f t="shared" si="13"/>
        <v>37500</v>
      </c>
      <c r="K271" s="58">
        <v>500</v>
      </c>
      <c r="L271" s="58" t="s">
        <v>60</v>
      </c>
      <c r="M271" s="58" t="s">
        <v>91</v>
      </c>
      <c r="N271" s="58" t="s">
        <v>478</v>
      </c>
    </row>
    <row r="273" spans="1:14" x14ac:dyDescent="0.3">
      <c r="A273" s="1">
        <v>129</v>
      </c>
      <c r="B273" s="1">
        <v>9200146935</v>
      </c>
      <c r="C273" s="37">
        <v>45697</v>
      </c>
      <c r="D273" s="1" t="s">
        <v>43</v>
      </c>
      <c r="E273" s="1" t="s">
        <v>123</v>
      </c>
      <c r="F273" s="26" t="s">
        <v>1625</v>
      </c>
      <c r="G273" s="1">
        <v>1600</v>
      </c>
      <c r="H273" s="1" t="s">
        <v>60</v>
      </c>
      <c r="I273" s="1">
        <v>228</v>
      </c>
      <c r="J273" s="124">
        <f>G273*I273</f>
        <v>364800</v>
      </c>
      <c r="K273" s="196">
        <v>1600</v>
      </c>
      <c r="L273" s="196" t="s">
        <v>60</v>
      </c>
      <c r="M273" s="196" t="s">
        <v>1570</v>
      </c>
      <c r="N273" s="196" t="s">
        <v>2454</v>
      </c>
    </row>
    <row r="274" spans="1:14" x14ac:dyDescent="0.3">
      <c r="A274" s="1"/>
      <c r="B274" s="1"/>
      <c r="C274" s="1"/>
      <c r="D274" s="1"/>
      <c r="E274" s="1"/>
      <c r="F274" s="191" t="s">
        <v>39</v>
      </c>
      <c r="G274" s="1"/>
      <c r="H274" s="1"/>
      <c r="I274" s="1"/>
      <c r="J274" s="124">
        <f>SUM(J273)</f>
        <v>364800</v>
      </c>
    </row>
    <row r="275" spans="1:14" x14ac:dyDescent="0.3">
      <c r="A275" s="1"/>
      <c r="B275" s="1"/>
      <c r="C275" s="1"/>
      <c r="D275" s="1"/>
      <c r="E275" s="1"/>
      <c r="F275" s="191" t="s">
        <v>187</v>
      </c>
      <c r="G275" s="1"/>
      <c r="H275" s="1"/>
      <c r="I275" s="1"/>
      <c r="J275" s="124">
        <f>J274*0%</f>
        <v>0</v>
      </c>
    </row>
    <row r="276" spans="1:14" x14ac:dyDescent="0.3">
      <c r="A276" s="1"/>
      <c r="B276" s="1"/>
      <c r="C276" s="1"/>
      <c r="D276" s="1"/>
      <c r="E276" s="1"/>
      <c r="F276" s="191" t="s">
        <v>41</v>
      </c>
      <c r="G276" s="1"/>
      <c r="H276" s="1"/>
      <c r="I276" s="1"/>
      <c r="J276" s="124">
        <f>SUM(J274:J275)</f>
        <v>364800</v>
      </c>
    </row>
    <row r="278" spans="1:14" ht="25.2" x14ac:dyDescent="0.3">
      <c r="A278" s="1">
        <v>175</v>
      </c>
      <c r="B278" s="1">
        <v>8100023062</v>
      </c>
      <c r="C278" s="37">
        <v>46358</v>
      </c>
      <c r="D278" s="1" t="s">
        <v>300</v>
      </c>
      <c r="E278" s="16" t="s">
        <v>127</v>
      </c>
      <c r="F278" s="108" t="s">
        <v>1982</v>
      </c>
      <c r="G278" s="16">
        <v>11</v>
      </c>
      <c r="H278" s="16" t="s">
        <v>28</v>
      </c>
      <c r="I278" s="16">
        <v>8996</v>
      </c>
      <c r="J278" s="16">
        <f t="shared" ref="J278:J290" si="14">G278*I278</f>
        <v>98956</v>
      </c>
    </row>
    <row r="279" spans="1:14" ht="25.2" x14ac:dyDescent="0.3">
      <c r="A279" s="1"/>
      <c r="B279" s="1"/>
      <c r="C279" s="1"/>
      <c r="D279" s="1"/>
      <c r="E279" s="16" t="s">
        <v>127</v>
      </c>
      <c r="F279" s="108" t="s">
        <v>1983</v>
      </c>
      <c r="G279" s="16">
        <v>1</v>
      </c>
      <c r="H279" s="16" t="s">
        <v>28</v>
      </c>
      <c r="I279" s="16">
        <v>35520</v>
      </c>
      <c r="J279" s="16">
        <f t="shared" si="14"/>
        <v>35520</v>
      </c>
    </row>
    <row r="280" spans="1:14" ht="25.2" x14ac:dyDescent="0.3">
      <c r="A280" s="1"/>
      <c r="B280" s="1"/>
      <c r="C280" s="1"/>
      <c r="D280" s="1"/>
      <c r="E280" s="16" t="s">
        <v>127</v>
      </c>
      <c r="F280" s="108" t="s">
        <v>1984</v>
      </c>
      <c r="G280" s="16">
        <v>2</v>
      </c>
      <c r="H280" s="16" t="s">
        <v>28</v>
      </c>
      <c r="I280" s="16">
        <v>3087</v>
      </c>
      <c r="J280" s="16">
        <f t="shared" si="14"/>
        <v>6174</v>
      </c>
    </row>
    <row r="281" spans="1:14" x14ac:dyDescent="0.3">
      <c r="A281" s="1"/>
      <c r="B281" s="1"/>
      <c r="C281" s="1"/>
      <c r="D281" s="1"/>
      <c r="E281" s="16" t="s">
        <v>127</v>
      </c>
      <c r="F281" s="38" t="s">
        <v>1985</v>
      </c>
      <c r="G281" s="16">
        <v>200</v>
      </c>
      <c r="H281" s="16" t="s">
        <v>60</v>
      </c>
      <c r="I281" s="16">
        <v>245</v>
      </c>
      <c r="J281" s="16">
        <f t="shared" si="14"/>
        <v>49000</v>
      </c>
    </row>
    <row r="282" spans="1:14" x14ac:dyDescent="0.3">
      <c r="A282" s="1"/>
      <c r="B282" s="1"/>
      <c r="C282" s="1"/>
      <c r="D282" s="1"/>
      <c r="E282" s="16" t="s">
        <v>127</v>
      </c>
      <c r="F282" s="108" t="s">
        <v>1986</v>
      </c>
      <c r="G282" s="16">
        <v>100</v>
      </c>
      <c r="H282" s="16" t="s">
        <v>60</v>
      </c>
      <c r="I282" s="16">
        <v>118</v>
      </c>
      <c r="J282" s="16">
        <f t="shared" si="14"/>
        <v>11800</v>
      </c>
    </row>
    <row r="283" spans="1:14" x14ac:dyDescent="0.3">
      <c r="A283" s="1"/>
      <c r="B283" s="1"/>
      <c r="C283" s="1"/>
      <c r="D283" s="1"/>
      <c r="E283" s="1" t="s">
        <v>127</v>
      </c>
      <c r="F283" s="26" t="s">
        <v>1987</v>
      </c>
      <c r="G283" s="1">
        <v>24</v>
      </c>
      <c r="H283" s="1" t="s">
        <v>28</v>
      </c>
      <c r="I283" s="1">
        <v>120</v>
      </c>
      <c r="J283" s="1">
        <f t="shared" si="14"/>
        <v>2880</v>
      </c>
    </row>
    <row r="284" spans="1:14" x14ac:dyDescent="0.3">
      <c r="A284" s="1"/>
      <c r="B284" s="1"/>
      <c r="C284" s="1"/>
      <c r="D284" s="1"/>
      <c r="E284" s="1" t="s">
        <v>127</v>
      </c>
      <c r="F284" s="26" t="s">
        <v>1988</v>
      </c>
      <c r="G284" s="1">
        <v>24</v>
      </c>
      <c r="H284" s="1" t="s">
        <v>28</v>
      </c>
      <c r="I284" s="1">
        <v>200</v>
      </c>
      <c r="J284" s="1">
        <f t="shared" si="14"/>
        <v>4800</v>
      </c>
    </row>
    <row r="285" spans="1:14" x14ac:dyDescent="0.3">
      <c r="A285" s="1"/>
      <c r="B285" s="1"/>
      <c r="C285" s="1"/>
      <c r="D285" s="1"/>
      <c r="E285" s="1" t="s">
        <v>123</v>
      </c>
      <c r="F285" s="26" t="s">
        <v>1989</v>
      </c>
      <c r="G285" s="1">
        <v>200</v>
      </c>
      <c r="H285" s="1" t="s">
        <v>60</v>
      </c>
      <c r="I285" s="1">
        <v>84</v>
      </c>
      <c r="J285" s="1">
        <f t="shared" si="14"/>
        <v>16800</v>
      </c>
    </row>
    <row r="286" spans="1:14" x14ac:dyDescent="0.3">
      <c r="A286" s="1"/>
      <c r="B286" s="1"/>
      <c r="C286" s="1"/>
      <c r="D286" s="1"/>
      <c r="E286" s="1" t="s">
        <v>123</v>
      </c>
      <c r="F286" s="26" t="s">
        <v>1990</v>
      </c>
      <c r="G286" s="1">
        <v>100</v>
      </c>
      <c r="H286" s="1" t="s">
        <v>60</v>
      </c>
      <c r="I286" s="1">
        <v>20</v>
      </c>
      <c r="J286" s="1">
        <f t="shared" si="14"/>
        <v>2000</v>
      </c>
    </row>
    <row r="287" spans="1:14" x14ac:dyDescent="0.3">
      <c r="A287" s="1"/>
      <c r="B287" s="1"/>
      <c r="C287" s="1"/>
      <c r="D287" s="1"/>
      <c r="E287" s="1" t="s">
        <v>123</v>
      </c>
      <c r="F287" s="26" t="s">
        <v>1991</v>
      </c>
      <c r="G287" s="1">
        <v>11</v>
      </c>
      <c r="H287" s="1" t="s">
        <v>28</v>
      </c>
      <c r="I287" s="1">
        <v>800</v>
      </c>
      <c r="J287" s="1">
        <f t="shared" si="14"/>
        <v>8800</v>
      </c>
    </row>
    <row r="288" spans="1:14" x14ac:dyDescent="0.3">
      <c r="A288" s="1"/>
      <c r="B288" s="1"/>
      <c r="C288" s="1"/>
      <c r="D288" s="1"/>
      <c r="E288" s="1" t="s">
        <v>123</v>
      </c>
      <c r="F288" s="26" t="s">
        <v>1992</v>
      </c>
      <c r="G288" s="1">
        <v>6</v>
      </c>
      <c r="H288" s="1" t="s">
        <v>87</v>
      </c>
      <c r="I288" s="1">
        <v>600</v>
      </c>
      <c r="J288" s="1">
        <f t="shared" si="14"/>
        <v>3600</v>
      </c>
    </row>
    <row r="289" spans="1:14" x14ac:dyDescent="0.3">
      <c r="A289" s="1"/>
      <c r="B289" s="1"/>
      <c r="C289" s="1"/>
      <c r="D289" s="1"/>
      <c r="E289" s="1" t="s">
        <v>123</v>
      </c>
      <c r="F289" s="51" t="s">
        <v>1993</v>
      </c>
      <c r="G289" s="1">
        <v>11</v>
      </c>
      <c r="H289" s="1" t="s">
        <v>28</v>
      </c>
      <c r="I289" s="1">
        <v>570</v>
      </c>
      <c r="J289" s="1">
        <f t="shared" si="14"/>
        <v>6270</v>
      </c>
    </row>
    <row r="290" spans="1:14" x14ac:dyDescent="0.3">
      <c r="A290" s="1"/>
      <c r="B290" s="1"/>
      <c r="C290" s="1"/>
      <c r="D290" s="1"/>
      <c r="E290" s="1" t="s">
        <v>123</v>
      </c>
      <c r="F290" s="26" t="s">
        <v>1994</v>
      </c>
      <c r="G290" s="1">
        <v>17</v>
      </c>
      <c r="H290" s="1" t="s">
        <v>28</v>
      </c>
      <c r="I290" s="1">
        <v>200</v>
      </c>
      <c r="J290" s="1">
        <f t="shared" si="14"/>
        <v>3400</v>
      </c>
    </row>
    <row r="291" spans="1:14" x14ac:dyDescent="0.3">
      <c r="A291" s="1"/>
      <c r="B291" s="1"/>
      <c r="C291" s="1"/>
      <c r="D291" s="1"/>
      <c r="E291" s="1"/>
      <c r="F291" s="191" t="s">
        <v>39</v>
      </c>
      <c r="G291" s="1"/>
      <c r="H291" s="1"/>
      <c r="I291" s="1"/>
      <c r="J291" s="124">
        <f>SUM(J278:J290)</f>
        <v>250000</v>
      </c>
    </row>
    <row r="292" spans="1:14" x14ac:dyDescent="0.3">
      <c r="A292" s="1"/>
      <c r="B292" s="1"/>
      <c r="C292" s="1"/>
      <c r="D292" s="1"/>
      <c r="E292" s="1"/>
      <c r="F292" s="191" t="s">
        <v>187</v>
      </c>
      <c r="G292" s="1"/>
      <c r="H292" s="1"/>
      <c r="I292" s="1"/>
      <c r="J292" s="124">
        <f>J291*18/100</f>
        <v>45000</v>
      </c>
    </row>
    <row r="293" spans="1:14" x14ac:dyDescent="0.3">
      <c r="A293" s="1"/>
      <c r="B293" s="1"/>
      <c r="C293" s="1"/>
      <c r="D293" s="1"/>
      <c r="E293" s="1"/>
      <c r="F293" s="191" t="s">
        <v>41</v>
      </c>
      <c r="G293" s="1"/>
      <c r="H293" s="1"/>
      <c r="I293" s="1"/>
      <c r="J293" s="124">
        <f>SUM(J291:J292)</f>
        <v>295000</v>
      </c>
    </row>
    <row r="296" spans="1:14" ht="25.2" x14ac:dyDescent="0.3">
      <c r="A296" s="1">
        <v>177</v>
      </c>
      <c r="B296" s="1">
        <v>9200158730</v>
      </c>
      <c r="C296" s="1" t="s">
        <v>2013</v>
      </c>
      <c r="D296" s="1" t="s">
        <v>43</v>
      </c>
      <c r="E296" s="1" t="s">
        <v>123</v>
      </c>
      <c r="F296" s="51" t="s">
        <v>2014</v>
      </c>
      <c r="G296" s="1">
        <v>110</v>
      </c>
      <c r="H296" s="1" t="s">
        <v>60</v>
      </c>
      <c r="I296" s="1">
        <v>100</v>
      </c>
      <c r="J296" s="1">
        <f t="shared" ref="J296:J316" si="15">G296*I296</f>
        <v>11000</v>
      </c>
      <c r="K296" s="1"/>
      <c r="L296" s="1"/>
      <c r="M296" s="1" t="s">
        <v>91</v>
      </c>
      <c r="N296" s="1" t="s">
        <v>2422</v>
      </c>
    </row>
    <row r="297" spans="1:14" ht="25.2" x14ac:dyDescent="0.3">
      <c r="A297" s="1"/>
      <c r="B297" s="1"/>
      <c r="C297" s="1"/>
      <c r="D297" s="1"/>
      <c r="E297" s="1" t="s">
        <v>123</v>
      </c>
      <c r="F297" s="51" t="s">
        <v>2015</v>
      </c>
      <c r="G297" s="1">
        <v>145</v>
      </c>
      <c r="H297" s="1" t="s">
        <v>60</v>
      </c>
      <c r="I297" s="1">
        <v>100</v>
      </c>
      <c r="J297" s="1">
        <f t="shared" si="15"/>
        <v>14500</v>
      </c>
      <c r="K297" s="119">
        <v>4</v>
      </c>
      <c r="L297" s="119" t="s">
        <v>28</v>
      </c>
      <c r="M297" s="119" t="s">
        <v>91</v>
      </c>
      <c r="N297" s="119" t="s">
        <v>2416</v>
      </c>
    </row>
    <row r="298" spans="1:14" ht="25.2" x14ac:dyDescent="0.3">
      <c r="A298" s="1"/>
      <c r="B298" s="1"/>
      <c r="C298" s="1"/>
      <c r="D298" s="1"/>
      <c r="E298" s="1" t="s">
        <v>123</v>
      </c>
      <c r="F298" s="51" t="s">
        <v>2016</v>
      </c>
      <c r="G298" s="1">
        <v>20</v>
      </c>
      <c r="H298" s="1" t="s">
        <v>60</v>
      </c>
      <c r="I298" s="1">
        <v>100</v>
      </c>
      <c r="J298" s="1">
        <f t="shared" si="15"/>
        <v>2000</v>
      </c>
      <c r="K298" s="119">
        <v>2</v>
      </c>
      <c r="L298" s="119" t="s">
        <v>28</v>
      </c>
      <c r="M298" s="119" t="s">
        <v>91</v>
      </c>
      <c r="N298" s="119" t="s">
        <v>2416</v>
      </c>
    </row>
    <row r="299" spans="1:14" ht="25.2" x14ac:dyDescent="0.3">
      <c r="A299" s="1"/>
      <c r="B299" s="1"/>
      <c r="C299" s="1"/>
      <c r="D299" s="1"/>
      <c r="E299" s="1" t="s">
        <v>123</v>
      </c>
      <c r="F299" s="51" t="s">
        <v>2017</v>
      </c>
      <c r="G299" s="1">
        <v>40</v>
      </c>
      <c r="H299" s="1" t="s">
        <v>28</v>
      </c>
      <c r="I299" s="1">
        <v>100</v>
      </c>
      <c r="J299" s="1">
        <f t="shared" si="15"/>
        <v>4000</v>
      </c>
      <c r="K299" s="119">
        <v>5</v>
      </c>
      <c r="L299" s="119" t="s">
        <v>28</v>
      </c>
      <c r="M299" s="119" t="s">
        <v>91</v>
      </c>
      <c r="N299" s="119" t="s">
        <v>2416</v>
      </c>
    </row>
    <row r="300" spans="1:14" x14ac:dyDescent="0.3">
      <c r="A300" s="1"/>
      <c r="B300" s="1"/>
      <c r="C300" s="1"/>
      <c r="D300" s="1"/>
      <c r="E300" s="1" t="s">
        <v>123</v>
      </c>
      <c r="F300" s="26" t="s">
        <v>2018</v>
      </c>
      <c r="G300" s="1">
        <v>2</v>
      </c>
      <c r="H300" s="1" t="s">
        <v>87</v>
      </c>
      <c r="I300" s="1">
        <v>100</v>
      </c>
      <c r="J300" s="1">
        <f t="shared" si="15"/>
        <v>200</v>
      </c>
      <c r="K300" s="1"/>
      <c r="L300" s="1"/>
      <c r="M300" s="1" t="s">
        <v>91</v>
      </c>
      <c r="N300" s="1" t="s">
        <v>2432</v>
      </c>
    </row>
    <row r="301" spans="1:14" x14ac:dyDescent="0.3">
      <c r="A301" s="1"/>
      <c r="B301" s="1"/>
      <c r="C301" s="1"/>
      <c r="D301" s="1"/>
      <c r="E301" s="1" t="s">
        <v>123</v>
      </c>
      <c r="F301" s="26" t="s">
        <v>2019</v>
      </c>
      <c r="G301" s="1">
        <v>2</v>
      </c>
      <c r="H301" s="1" t="s">
        <v>87</v>
      </c>
      <c r="I301" s="1">
        <v>100</v>
      </c>
      <c r="J301" s="1">
        <f t="shared" si="15"/>
        <v>200</v>
      </c>
      <c r="K301" s="1"/>
      <c r="L301" s="1"/>
      <c r="M301" s="1"/>
      <c r="N301" s="1"/>
    </row>
    <row r="302" spans="1:14" x14ac:dyDescent="0.3">
      <c r="A302" s="1"/>
      <c r="B302" s="1"/>
      <c r="C302" s="1"/>
      <c r="D302" s="1"/>
      <c r="E302" s="1" t="s">
        <v>123</v>
      </c>
      <c r="F302" s="26" t="s">
        <v>2020</v>
      </c>
      <c r="G302" s="1">
        <v>15</v>
      </c>
      <c r="H302" s="1" t="s">
        <v>87</v>
      </c>
      <c r="I302" s="1">
        <v>100</v>
      </c>
      <c r="J302" s="1">
        <f t="shared" si="15"/>
        <v>1500</v>
      </c>
      <c r="K302" s="1"/>
      <c r="L302" s="1"/>
      <c r="M302" s="1"/>
      <c r="N302" s="1"/>
    </row>
    <row r="303" spans="1:14" x14ac:dyDescent="0.3">
      <c r="A303" s="1"/>
      <c r="B303" s="1"/>
      <c r="C303" s="1"/>
      <c r="D303" s="1"/>
      <c r="E303" s="1" t="s">
        <v>123</v>
      </c>
      <c r="F303" s="26" t="s">
        <v>2021</v>
      </c>
      <c r="G303" s="1">
        <v>15</v>
      </c>
      <c r="H303" s="1" t="s">
        <v>87</v>
      </c>
      <c r="I303" s="1">
        <v>100</v>
      </c>
      <c r="J303" s="1">
        <f t="shared" si="15"/>
        <v>1500</v>
      </c>
      <c r="K303" s="1"/>
      <c r="L303" s="1"/>
      <c r="M303" s="1"/>
      <c r="N303" s="1"/>
    </row>
    <row r="304" spans="1:14" x14ac:dyDescent="0.3">
      <c r="A304" s="1"/>
      <c r="B304" s="1"/>
      <c r="C304" s="1"/>
      <c r="D304" s="1"/>
      <c r="E304" s="1" t="s">
        <v>123</v>
      </c>
      <c r="F304" s="26" t="s">
        <v>2022</v>
      </c>
      <c r="G304" s="1">
        <v>110</v>
      </c>
      <c r="H304" s="1" t="s">
        <v>87</v>
      </c>
      <c r="I304" s="1">
        <v>100</v>
      </c>
      <c r="J304" s="1">
        <f t="shared" si="15"/>
        <v>11000</v>
      </c>
      <c r="K304" s="1"/>
      <c r="L304" s="1"/>
      <c r="M304" s="1"/>
      <c r="N304" s="1"/>
    </row>
    <row r="305" spans="1:14" ht="25.2" x14ac:dyDescent="0.3">
      <c r="A305" s="1"/>
      <c r="B305" s="1"/>
      <c r="C305" s="1"/>
      <c r="D305" s="1"/>
      <c r="E305" s="1" t="s">
        <v>123</v>
      </c>
      <c r="F305" s="51" t="s">
        <v>2023</v>
      </c>
      <c r="G305" s="1">
        <v>7</v>
      </c>
      <c r="H305" s="1" t="s">
        <v>87</v>
      </c>
      <c r="I305" s="1">
        <v>100</v>
      </c>
      <c r="J305" s="1">
        <f t="shared" si="15"/>
        <v>700</v>
      </c>
      <c r="K305" s="1"/>
      <c r="L305" s="1"/>
      <c r="M305" s="1"/>
      <c r="N305" s="1"/>
    </row>
    <row r="306" spans="1:14" ht="25.2" x14ac:dyDescent="0.3">
      <c r="A306" s="1"/>
      <c r="B306" s="1"/>
      <c r="C306" s="1"/>
      <c r="D306" s="1"/>
      <c r="E306" s="1" t="s">
        <v>123</v>
      </c>
      <c r="F306" s="51" t="s">
        <v>2024</v>
      </c>
      <c r="G306" s="1">
        <v>15</v>
      </c>
      <c r="H306" s="1" t="s">
        <v>87</v>
      </c>
      <c r="I306" s="1">
        <v>100</v>
      </c>
      <c r="J306" s="1">
        <f t="shared" si="15"/>
        <v>1500</v>
      </c>
      <c r="K306" s="1"/>
      <c r="L306" s="1"/>
      <c r="M306" s="1"/>
      <c r="N306" s="1"/>
    </row>
    <row r="307" spans="1:14" ht="25.2" x14ac:dyDescent="0.3">
      <c r="A307" s="1"/>
      <c r="B307" s="1"/>
      <c r="C307" s="1"/>
      <c r="D307" s="1"/>
      <c r="E307" s="1" t="s">
        <v>123</v>
      </c>
      <c r="F307" s="51" t="s">
        <v>2025</v>
      </c>
      <c r="G307" s="1">
        <v>15</v>
      </c>
      <c r="H307" s="1" t="s">
        <v>60</v>
      </c>
      <c r="I307" s="1">
        <v>100</v>
      </c>
      <c r="J307" s="1">
        <f t="shared" si="15"/>
        <v>1500</v>
      </c>
      <c r="K307" s="1"/>
      <c r="L307" s="1"/>
      <c r="M307" s="1"/>
      <c r="N307" s="1"/>
    </row>
    <row r="308" spans="1:14" ht="25.2" x14ac:dyDescent="0.3">
      <c r="A308" s="1"/>
      <c r="B308" s="1"/>
      <c r="C308" s="1"/>
      <c r="D308" s="1"/>
      <c r="E308" s="1" t="s">
        <v>123</v>
      </c>
      <c r="F308" s="51" t="s">
        <v>2026</v>
      </c>
      <c r="G308" s="1">
        <v>255</v>
      </c>
      <c r="H308" s="1" t="s">
        <v>60</v>
      </c>
      <c r="I308" s="1">
        <v>21</v>
      </c>
      <c r="J308" s="1">
        <f t="shared" si="15"/>
        <v>5355</v>
      </c>
      <c r="K308" s="1"/>
      <c r="L308" s="1"/>
      <c r="M308" s="1"/>
      <c r="N308" s="1"/>
    </row>
    <row r="309" spans="1:14" ht="25.2" x14ac:dyDescent="0.3">
      <c r="A309" s="1"/>
      <c r="B309" s="1"/>
      <c r="C309" s="1"/>
      <c r="D309" s="1"/>
      <c r="E309" s="1" t="s">
        <v>123</v>
      </c>
      <c r="F309" s="51" t="s">
        <v>2027</v>
      </c>
      <c r="G309" s="1">
        <v>255</v>
      </c>
      <c r="H309" s="1" t="s">
        <v>60</v>
      </c>
      <c r="I309" s="1">
        <v>18</v>
      </c>
      <c r="J309" s="1">
        <f t="shared" si="15"/>
        <v>4590</v>
      </c>
      <c r="K309" s="1"/>
      <c r="L309" s="1"/>
      <c r="M309" s="1"/>
      <c r="N309" s="1"/>
    </row>
    <row r="310" spans="1:14" ht="25.2" x14ac:dyDescent="0.3">
      <c r="A310" s="1"/>
      <c r="B310" s="1"/>
      <c r="C310" s="1"/>
      <c r="D310" s="1"/>
      <c r="E310" s="1" t="s">
        <v>123</v>
      </c>
      <c r="F310" s="51" t="s">
        <v>2028</v>
      </c>
      <c r="G310" s="1">
        <v>30</v>
      </c>
      <c r="H310" s="1" t="s">
        <v>87</v>
      </c>
      <c r="I310" s="1">
        <v>1000</v>
      </c>
      <c r="J310" s="1">
        <f t="shared" si="15"/>
        <v>30000</v>
      </c>
      <c r="K310" s="119" t="s">
        <v>2418</v>
      </c>
      <c r="L310" s="119" t="s">
        <v>225</v>
      </c>
      <c r="M310" s="119" t="s">
        <v>91</v>
      </c>
      <c r="N310" s="119" t="s">
        <v>2415</v>
      </c>
    </row>
    <row r="311" spans="1:14" ht="25.2" x14ac:dyDescent="0.3">
      <c r="A311" s="1"/>
      <c r="B311" s="1"/>
      <c r="C311" s="1"/>
      <c r="D311" s="1"/>
      <c r="E311" s="1" t="s">
        <v>123</v>
      </c>
      <c r="F311" s="51" t="s">
        <v>2029</v>
      </c>
      <c r="G311" s="1">
        <v>16</v>
      </c>
      <c r="H311" s="1" t="s">
        <v>87</v>
      </c>
      <c r="I311" s="1">
        <v>400</v>
      </c>
      <c r="J311" s="1">
        <f t="shared" si="15"/>
        <v>6400</v>
      </c>
      <c r="K311" s="119" t="s">
        <v>2417</v>
      </c>
      <c r="L311" s="119" t="s">
        <v>225</v>
      </c>
      <c r="M311" s="119" t="s">
        <v>91</v>
      </c>
      <c r="N311" s="119" t="s">
        <v>2415</v>
      </c>
    </row>
    <row r="312" spans="1:14" ht="25.2" x14ac:dyDescent="0.3">
      <c r="A312" s="1"/>
      <c r="B312" s="1"/>
      <c r="C312" s="1"/>
      <c r="D312" s="1"/>
      <c r="E312" s="1" t="s">
        <v>123</v>
      </c>
      <c r="F312" s="51" t="s">
        <v>2030</v>
      </c>
      <c r="G312" s="1">
        <v>16</v>
      </c>
      <c r="H312" s="1" t="s">
        <v>60</v>
      </c>
      <c r="I312" s="1">
        <v>298</v>
      </c>
      <c r="J312" s="1">
        <f t="shared" si="15"/>
        <v>4768</v>
      </c>
      <c r="K312" s="1"/>
      <c r="L312" s="1"/>
      <c r="M312" s="1"/>
      <c r="N312" s="1"/>
    </row>
    <row r="313" spans="1:14" x14ac:dyDescent="0.3">
      <c r="A313" s="1"/>
      <c r="B313" s="1"/>
      <c r="C313" s="1"/>
      <c r="D313" s="1"/>
      <c r="E313" s="1" t="s">
        <v>123</v>
      </c>
      <c r="F313" s="26" t="s">
        <v>2031</v>
      </c>
      <c r="G313" s="1">
        <v>315</v>
      </c>
      <c r="H313" s="1" t="s">
        <v>87</v>
      </c>
      <c r="I313" s="1">
        <v>150</v>
      </c>
      <c r="J313" s="1">
        <f t="shared" si="15"/>
        <v>47250</v>
      </c>
      <c r="K313" s="1"/>
      <c r="L313" s="1"/>
      <c r="M313" s="1"/>
      <c r="N313" s="1"/>
    </row>
    <row r="314" spans="1:14" x14ac:dyDescent="0.3">
      <c r="A314" s="1"/>
      <c r="B314" s="1"/>
      <c r="C314" s="1"/>
      <c r="D314" s="1"/>
      <c r="E314" s="1" t="s">
        <v>123</v>
      </c>
      <c r="F314" s="26" t="s">
        <v>2032</v>
      </c>
      <c r="G314" s="1">
        <v>15</v>
      </c>
      <c r="H314" s="1" t="s">
        <v>87</v>
      </c>
      <c r="I314" s="1">
        <v>145</v>
      </c>
      <c r="J314" s="1">
        <f t="shared" si="15"/>
        <v>2175</v>
      </c>
      <c r="K314" s="1"/>
      <c r="L314" s="1"/>
      <c r="M314" s="1"/>
      <c r="N314" s="1"/>
    </row>
    <row r="315" spans="1:14" x14ac:dyDescent="0.3">
      <c r="A315" s="1"/>
      <c r="B315" s="1"/>
      <c r="C315" s="1"/>
      <c r="D315" s="1"/>
      <c r="E315" s="1" t="s">
        <v>123</v>
      </c>
      <c r="F315" s="26" t="s">
        <v>2033</v>
      </c>
      <c r="G315" s="1">
        <v>2</v>
      </c>
      <c r="H315" s="1" t="s">
        <v>857</v>
      </c>
      <c r="I315" s="1">
        <v>2500</v>
      </c>
      <c r="J315" s="1">
        <f t="shared" si="15"/>
        <v>5000</v>
      </c>
      <c r="K315" s="1"/>
      <c r="L315" s="1"/>
      <c r="M315" s="1"/>
      <c r="N315" s="1"/>
    </row>
    <row r="316" spans="1:14" ht="25.2" x14ac:dyDescent="0.3">
      <c r="A316" s="1"/>
      <c r="B316" s="1"/>
      <c r="C316" s="1"/>
      <c r="D316" s="1"/>
      <c r="E316" s="1" t="s">
        <v>123</v>
      </c>
      <c r="F316" s="51" t="s">
        <v>2034</v>
      </c>
      <c r="G316" s="1">
        <v>4</v>
      </c>
      <c r="H316" s="1" t="s">
        <v>857</v>
      </c>
      <c r="I316" s="1">
        <v>2500</v>
      </c>
      <c r="J316" s="1">
        <f t="shared" si="15"/>
        <v>10000</v>
      </c>
      <c r="K316" s="1"/>
      <c r="L316" s="1"/>
      <c r="M316" s="1"/>
      <c r="N316" s="1"/>
    </row>
    <row r="317" spans="1:14" x14ac:dyDescent="0.3">
      <c r="A317" s="1"/>
      <c r="B317" s="1"/>
      <c r="C317" s="1"/>
      <c r="D317" s="1"/>
      <c r="E317" s="1"/>
      <c r="F317" s="191" t="s">
        <v>39</v>
      </c>
      <c r="G317" s="1"/>
      <c r="H317" s="1"/>
      <c r="I317" s="1"/>
      <c r="J317" s="124">
        <f>SUM(J296:J316)</f>
        <v>165138</v>
      </c>
      <c r="K317" s="1"/>
      <c r="L317" s="1"/>
      <c r="M317" s="1"/>
      <c r="N317" s="1"/>
    </row>
    <row r="318" spans="1:14" x14ac:dyDescent="0.3">
      <c r="A318" s="1"/>
      <c r="B318" s="1"/>
      <c r="C318" s="1"/>
      <c r="D318" s="1"/>
      <c r="E318" s="1"/>
      <c r="F318" s="191" t="s">
        <v>599</v>
      </c>
      <c r="G318" s="1"/>
      <c r="H318" s="1"/>
      <c r="I318" s="1"/>
      <c r="J318" s="124">
        <f>J317*0/100</f>
        <v>0</v>
      </c>
      <c r="K318" s="1"/>
      <c r="L318" s="1"/>
      <c r="M318" s="1"/>
      <c r="N318" s="1"/>
    </row>
    <row r="319" spans="1:14" x14ac:dyDescent="0.3">
      <c r="A319" s="1"/>
      <c r="B319" s="1"/>
      <c r="C319" s="1"/>
      <c r="D319" s="1"/>
      <c r="E319" s="1"/>
      <c r="F319" s="191" t="s">
        <v>41</v>
      </c>
      <c r="G319" s="1"/>
      <c r="H319" s="1"/>
      <c r="I319" s="1"/>
      <c r="J319" s="124">
        <f>SUM(J317:J318)</f>
        <v>165138</v>
      </c>
      <c r="K319" s="1"/>
      <c r="L319" s="1"/>
      <c r="M319" s="1"/>
      <c r="N319" s="1"/>
    </row>
    <row r="321" spans="1:14" ht="25.2" x14ac:dyDescent="0.3">
      <c r="A321" s="1">
        <v>184</v>
      </c>
      <c r="B321" s="1">
        <v>8600064697</v>
      </c>
      <c r="C321" s="37">
        <v>46176</v>
      </c>
      <c r="D321" s="22" t="s">
        <v>2114</v>
      </c>
      <c r="E321" s="1" t="s">
        <v>127</v>
      </c>
      <c r="F321" s="51" t="s">
        <v>2115</v>
      </c>
      <c r="G321" s="1">
        <v>100</v>
      </c>
      <c r="H321" s="1" t="s">
        <v>28</v>
      </c>
      <c r="I321" s="1">
        <v>190</v>
      </c>
      <c r="J321" s="1">
        <f t="shared" ref="J321:J323" si="16">G321*I321</f>
        <v>19000</v>
      </c>
      <c r="K321" s="1"/>
      <c r="L321" s="1"/>
      <c r="M321" s="1"/>
    </row>
    <row r="322" spans="1:14" ht="25.2" x14ac:dyDescent="0.3">
      <c r="A322" s="1"/>
      <c r="B322" s="1"/>
      <c r="C322" s="1"/>
      <c r="D322" s="1"/>
      <c r="E322" s="1" t="s">
        <v>127</v>
      </c>
      <c r="F322" s="51" t="s">
        <v>2116</v>
      </c>
      <c r="G322" s="1">
        <v>4</v>
      </c>
      <c r="H322" s="1" t="s">
        <v>28</v>
      </c>
      <c r="I322" s="1">
        <v>1850</v>
      </c>
      <c r="J322" s="1">
        <f t="shared" si="16"/>
        <v>7400</v>
      </c>
      <c r="K322" s="1"/>
      <c r="L322" s="1"/>
      <c r="M322" s="1"/>
    </row>
    <row r="323" spans="1:14" ht="25.2" x14ac:dyDescent="0.3">
      <c r="A323" s="1"/>
      <c r="B323" s="1"/>
      <c r="C323" s="1"/>
      <c r="D323" s="1"/>
      <c r="E323" s="1" t="s">
        <v>127</v>
      </c>
      <c r="F323" s="51" t="s">
        <v>2117</v>
      </c>
      <c r="G323" s="1">
        <v>8</v>
      </c>
      <c r="H323" s="1" t="s">
        <v>28</v>
      </c>
      <c r="I323" s="1">
        <v>2159</v>
      </c>
      <c r="J323" s="1">
        <f t="shared" si="16"/>
        <v>17272</v>
      </c>
      <c r="K323" s="1">
        <v>8</v>
      </c>
      <c r="L323" s="1" t="s">
        <v>28</v>
      </c>
      <c r="M323" s="1" t="s">
        <v>91</v>
      </c>
    </row>
    <row r="324" spans="1:14" x14ac:dyDescent="0.3">
      <c r="A324" s="1"/>
      <c r="B324" s="1"/>
      <c r="C324" s="1"/>
      <c r="D324" s="1"/>
      <c r="E324" s="1"/>
      <c r="F324" s="191" t="s">
        <v>39</v>
      </c>
      <c r="G324" s="1"/>
      <c r="H324" s="1"/>
      <c r="I324" s="1"/>
      <c r="J324" s="124">
        <f>SUM(J321:J323)</f>
        <v>43672</v>
      </c>
      <c r="K324" s="1"/>
      <c r="L324" s="1"/>
      <c r="M324" s="1"/>
    </row>
    <row r="325" spans="1:14" x14ac:dyDescent="0.3">
      <c r="A325" s="1"/>
      <c r="B325" s="1"/>
      <c r="C325" s="1"/>
      <c r="D325" s="1"/>
      <c r="E325" s="1"/>
      <c r="F325" s="191" t="s">
        <v>187</v>
      </c>
      <c r="G325" s="1"/>
      <c r="H325" s="1"/>
      <c r="I325" s="1"/>
      <c r="J325" s="124">
        <f>J324*18/100</f>
        <v>7860.96</v>
      </c>
      <c r="K325" s="1"/>
      <c r="L325" s="1"/>
      <c r="M325" s="1"/>
    </row>
    <row r="326" spans="1:14" x14ac:dyDescent="0.3">
      <c r="A326" s="1"/>
      <c r="B326" s="1"/>
      <c r="C326" s="1"/>
      <c r="D326" s="1"/>
      <c r="E326" s="1"/>
      <c r="F326" s="191" t="s">
        <v>41</v>
      </c>
      <c r="G326" s="1"/>
      <c r="H326" s="1"/>
      <c r="I326" s="1"/>
      <c r="J326" s="124">
        <f>SUM(J324:J325)</f>
        <v>51532.959999999999</v>
      </c>
      <c r="K326" s="1"/>
      <c r="L326" s="1"/>
      <c r="M326" s="1"/>
    </row>
    <row r="328" spans="1:14" x14ac:dyDescent="0.3">
      <c r="A328" s="1">
        <v>192</v>
      </c>
      <c r="B328" s="1">
        <v>9200162322</v>
      </c>
      <c r="C328" s="37">
        <v>42404</v>
      </c>
      <c r="D328" s="1" t="s">
        <v>43</v>
      </c>
      <c r="E328" s="1" t="s">
        <v>123</v>
      </c>
      <c r="F328" s="26" t="s">
        <v>2208</v>
      </c>
      <c r="G328" s="1">
        <v>1</v>
      </c>
      <c r="H328" s="1" t="s">
        <v>28</v>
      </c>
      <c r="I328" s="1">
        <v>840</v>
      </c>
      <c r="J328" s="1">
        <f t="shared" ref="J328:J348" si="17">G328*I328</f>
        <v>840</v>
      </c>
      <c r="K328" s="119">
        <v>1</v>
      </c>
      <c r="L328" s="119" t="s">
        <v>28</v>
      </c>
      <c r="M328" s="119" t="s">
        <v>1570</v>
      </c>
      <c r="N328" s="119" t="s">
        <v>2265</v>
      </c>
    </row>
    <row r="329" spans="1:14" x14ac:dyDescent="0.3">
      <c r="A329" s="1"/>
      <c r="B329" s="1"/>
      <c r="C329" s="1"/>
      <c r="D329" s="1"/>
      <c r="E329" s="1" t="s">
        <v>123</v>
      </c>
      <c r="F329" s="26" t="s">
        <v>2209</v>
      </c>
      <c r="G329" s="1">
        <v>2</v>
      </c>
      <c r="H329" s="1" t="s">
        <v>28</v>
      </c>
      <c r="I329" s="1">
        <v>840</v>
      </c>
      <c r="J329" s="1">
        <f t="shared" si="17"/>
        <v>1680</v>
      </c>
      <c r="K329" s="119">
        <v>2</v>
      </c>
      <c r="L329" s="119" t="s">
        <v>28</v>
      </c>
      <c r="M329" s="119" t="s">
        <v>1570</v>
      </c>
      <c r="N329" s="119" t="s">
        <v>2265</v>
      </c>
    </row>
    <row r="330" spans="1:14" x14ac:dyDescent="0.3">
      <c r="A330" s="1"/>
      <c r="B330" s="1"/>
      <c r="C330" s="1"/>
      <c r="D330" s="1"/>
      <c r="E330" s="1" t="s">
        <v>123</v>
      </c>
      <c r="F330" s="26" t="s">
        <v>2210</v>
      </c>
      <c r="G330" s="1">
        <v>2</v>
      </c>
      <c r="H330" s="1" t="s">
        <v>28</v>
      </c>
      <c r="I330" s="1">
        <v>5000</v>
      </c>
      <c r="J330" s="1">
        <f t="shared" si="17"/>
        <v>10000</v>
      </c>
      <c r="K330" s="119">
        <v>2</v>
      </c>
      <c r="L330" s="119" t="s">
        <v>28</v>
      </c>
      <c r="M330" s="119" t="s">
        <v>1570</v>
      </c>
      <c r="N330" s="119" t="s">
        <v>2265</v>
      </c>
    </row>
    <row r="331" spans="1:14" x14ac:dyDescent="0.3">
      <c r="A331" s="1"/>
      <c r="B331" s="1"/>
      <c r="C331" s="1"/>
      <c r="D331" s="1"/>
      <c r="E331" s="1" t="s">
        <v>123</v>
      </c>
      <c r="F331" s="26" t="s">
        <v>2211</v>
      </c>
      <c r="G331" s="1">
        <v>2</v>
      </c>
      <c r="H331" s="1" t="s">
        <v>28</v>
      </c>
      <c r="I331" s="1">
        <v>6300</v>
      </c>
      <c r="J331" s="1">
        <f t="shared" si="17"/>
        <v>12600</v>
      </c>
      <c r="K331" s="119">
        <v>2</v>
      </c>
      <c r="L331" s="119" t="s">
        <v>28</v>
      </c>
      <c r="M331" s="119" t="s">
        <v>1570</v>
      </c>
      <c r="N331" s="119" t="s">
        <v>2265</v>
      </c>
    </row>
    <row r="332" spans="1:14" x14ac:dyDescent="0.3">
      <c r="A332" s="1"/>
      <c r="B332" s="1"/>
      <c r="C332" s="1"/>
      <c r="D332" s="1"/>
      <c r="E332" s="1" t="s">
        <v>123</v>
      </c>
      <c r="F332" s="26" t="s">
        <v>2212</v>
      </c>
      <c r="G332" s="1">
        <v>1</v>
      </c>
      <c r="H332" s="1" t="s">
        <v>28</v>
      </c>
      <c r="I332" s="1">
        <v>17850</v>
      </c>
      <c r="J332" s="1">
        <f t="shared" si="17"/>
        <v>17850</v>
      </c>
      <c r="K332" s="119">
        <v>1</v>
      </c>
      <c r="L332" s="119" t="s">
        <v>28</v>
      </c>
      <c r="M332" s="119" t="s">
        <v>1570</v>
      </c>
      <c r="N332" s="119" t="s">
        <v>2265</v>
      </c>
    </row>
    <row r="333" spans="1:14" x14ac:dyDescent="0.3">
      <c r="A333" s="1"/>
      <c r="B333" s="1"/>
      <c r="C333" s="1"/>
      <c r="D333" s="1"/>
      <c r="E333" s="1" t="s">
        <v>123</v>
      </c>
      <c r="F333" s="160" t="s">
        <v>2213</v>
      </c>
      <c r="G333" s="1">
        <v>4</v>
      </c>
      <c r="H333" s="1" t="s">
        <v>28</v>
      </c>
      <c r="I333" s="1">
        <v>2400</v>
      </c>
      <c r="J333" s="1">
        <f t="shared" si="17"/>
        <v>9600</v>
      </c>
      <c r="K333" s="119">
        <v>4</v>
      </c>
      <c r="L333" s="119" t="s">
        <v>28</v>
      </c>
      <c r="M333" s="119" t="s">
        <v>1570</v>
      </c>
      <c r="N333" s="119" t="s">
        <v>2265</v>
      </c>
    </row>
    <row r="334" spans="1:14" x14ac:dyDescent="0.3">
      <c r="A334" s="1"/>
      <c r="B334" s="1"/>
      <c r="C334" s="1"/>
      <c r="D334" s="1"/>
      <c r="E334" s="1" t="s">
        <v>123</v>
      </c>
      <c r="F334" s="76" t="s">
        <v>2214</v>
      </c>
      <c r="G334" s="1">
        <v>1</v>
      </c>
      <c r="H334" s="1" t="s">
        <v>28</v>
      </c>
      <c r="I334" s="1">
        <v>21000</v>
      </c>
      <c r="J334" s="1">
        <f t="shared" si="17"/>
        <v>21000</v>
      </c>
      <c r="K334" s="58">
        <v>1</v>
      </c>
      <c r="L334" s="58" t="s">
        <v>28</v>
      </c>
      <c r="M334" s="58" t="s">
        <v>91</v>
      </c>
      <c r="N334" s="58" t="s">
        <v>2463</v>
      </c>
    </row>
    <row r="335" spans="1:14" ht="25.2" x14ac:dyDescent="0.3">
      <c r="A335" s="1"/>
      <c r="B335" s="1"/>
      <c r="C335" s="1"/>
      <c r="D335" s="1"/>
      <c r="E335" s="1" t="s">
        <v>123</v>
      </c>
      <c r="F335" s="192" t="s">
        <v>2215</v>
      </c>
      <c r="G335" s="1">
        <v>6</v>
      </c>
      <c r="H335" s="1" t="s">
        <v>181</v>
      </c>
      <c r="I335" s="1">
        <v>4950</v>
      </c>
      <c r="J335" s="1">
        <f t="shared" si="17"/>
        <v>29700</v>
      </c>
      <c r="K335" s="1"/>
      <c r="L335" s="1"/>
      <c r="M335" s="1"/>
      <c r="N335" s="1"/>
    </row>
    <row r="336" spans="1:14" x14ac:dyDescent="0.3">
      <c r="A336" s="1"/>
      <c r="B336" s="1"/>
      <c r="C336" s="1"/>
      <c r="D336" s="1"/>
      <c r="E336" s="1" t="s">
        <v>123</v>
      </c>
      <c r="F336" s="26" t="s">
        <v>2216</v>
      </c>
      <c r="G336" s="1">
        <v>200</v>
      </c>
      <c r="H336" s="1" t="s">
        <v>308</v>
      </c>
      <c r="I336" s="1">
        <v>215</v>
      </c>
      <c r="J336" s="1">
        <f t="shared" si="17"/>
        <v>43000</v>
      </c>
      <c r="K336" s="119">
        <v>200</v>
      </c>
      <c r="L336" s="119" t="s">
        <v>308</v>
      </c>
      <c r="M336" s="119" t="s">
        <v>1570</v>
      </c>
      <c r="N336" s="119" t="s">
        <v>2265</v>
      </c>
    </row>
    <row r="337" spans="1:14" x14ac:dyDescent="0.3">
      <c r="A337" s="1"/>
      <c r="B337" s="1"/>
      <c r="C337" s="1"/>
      <c r="D337" s="1"/>
      <c r="E337" s="1" t="s">
        <v>123</v>
      </c>
      <c r="F337" s="26" t="s">
        <v>2217</v>
      </c>
      <c r="G337" s="1">
        <v>15</v>
      </c>
      <c r="H337" s="1" t="s">
        <v>28</v>
      </c>
      <c r="I337" s="1">
        <v>210</v>
      </c>
      <c r="J337" s="1">
        <f t="shared" si="17"/>
        <v>3150</v>
      </c>
      <c r="K337" s="119">
        <v>15</v>
      </c>
      <c r="L337" s="119" t="s">
        <v>28</v>
      </c>
      <c r="M337" s="119" t="s">
        <v>1570</v>
      </c>
      <c r="N337" s="119" t="s">
        <v>2265</v>
      </c>
    </row>
    <row r="338" spans="1:14" x14ac:dyDescent="0.3">
      <c r="A338" s="1"/>
      <c r="B338" s="1"/>
      <c r="C338" s="1"/>
      <c r="D338" s="1"/>
      <c r="E338" s="1" t="s">
        <v>123</v>
      </c>
      <c r="F338" s="26" t="s">
        <v>2218</v>
      </c>
      <c r="G338" s="1">
        <v>12</v>
      </c>
      <c r="H338" s="1" t="s">
        <v>28</v>
      </c>
      <c r="I338" s="1">
        <v>410</v>
      </c>
      <c r="J338" s="1">
        <f t="shared" si="17"/>
        <v>4920</v>
      </c>
      <c r="K338" s="119">
        <v>22</v>
      </c>
      <c r="L338" s="119" t="s">
        <v>28</v>
      </c>
      <c r="M338" s="119" t="s">
        <v>1570</v>
      </c>
      <c r="N338" s="119" t="s">
        <v>2355</v>
      </c>
    </row>
    <row r="339" spans="1:14" x14ac:dyDescent="0.3">
      <c r="A339" s="1"/>
      <c r="B339" s="1"/>
      <c r="C339" s="1"/>
      <c r="D339" s="1"/>
      <c r="E339" s="1" t="s">
        <v>123</v>
      </c>
      <c r="F339" s="26" t="s">
        <v>2219</v>
      </c>
      <c r="G339" s="1">
        <v>2</v>
      </c>
      <c r="H339" s="1" t="s">
        <v>28</v>
      </c>
      <c r="I339" s="1">
        <v>585</v>
      </c>
      <c r="J339" s="1">
        <f t="shared" si="17"/>
        <v>1170</v>
      </c>
      <c r="K339" s="119">
        <v>2</v>
      </c>
      <c r="L339" s="119" t="s">
        <v>28</v>
      </c>
      <c r="M339" s="119" t="s">
        <v>1570</v>
      </c>
      <c r="N339" s="119" t="s">
        <v>2265</v>
      </c>
    </row>
    <row r="340" spans="1:14" x14ac:dyDescent="0.3">
      <c r="A340" s="1"/>
      <c r="B340" s="1"/>
      <c r="C340" s="1"/>
      <c r="D340" s="1"/>
      <c r="E340" s="1" t="s">
        <v>123</v>
      </c>
      <c r="F340" s="26" t="s">
        <v>2220</v>
      </c>
      <c r="G340" s="1">
        <v>8</v>
      </c>
      <c r="H340" s="1" t="s">
        <v>28</v>
      </c>
      <c r="I340" s="1">
        <v>235</v>
      </c>
      <c r="J340" s="1">
        <f t="shared" si="17"/>
        <v>1880</v>
      </c>
      <c r="K340" s="119">
        <v>8</v>
      </c>
      <c r="L340" s="119" t="s">
        <v>28</v>
      </c>
      <c r="M340" s="119" t="s">
        <v>1570</v>
      </c>
      <c r="N340" s="119" t="s">
        <v>2265</v>
      </c>
    </row>
    <row r="341" spans="1:14" x14ac:dyDescent="0.3">
      <c r="A341" s="1"/>
      <c r="B341" s="1"/>
      <c r="C341" s="1"/>
      <c r="D341" s="1"/>
      <c r="E341" s="1" t="s">
        <v>123</v>
      </c>
      <c r="F341" s="26" t="s">
        <v>2221</v>
      </c>
      <c r="G341" s="1">
        <v>7</v>
      </c>
      <c r="H341" s="1" t="s">
        <v>28</v>
      </c>
      <c r="I341" s="1">
        <v>380</v>
      </c>
      <c r="J341" s="1">
        <f t="shared" si="17"/>
        <v>2660</v>
      </c>
      <c r="K341" s="119">
        <v>7</v>
      </c>
      <c r="L341" s="119" t="s">
        <v>28</v>
      </c>
      <c r="M341" s="119" t="s">
        <v>1570</v>
      </c>
      <c r="N341" s="119" t="s">
        <v>2265</v>
      </c>
    </row>
    <row r="342" spans="1:14" x14ac:dyDescent="0.3">
      <c r="A342" s="1"/>
      <c r="B342" s="1"/>
      <c r="C342" s="1"/>
      <c r="D342" s="1"/>
      <c r="E342" s="1" t="s">
        <v>123</v>
      </c>
      <c r="F342" s="26" t="s">
        <v>2222</v>
      </c>
      <c r="G342" s="1">
        <v>4</v>
      </c>
      <c r="H342" s="1" t="s">
        <v>28</v>
      </c>
      <c r="I342" s="1">
        <v>3750</v>
      </c>
      <c r="J342" s="1">
        <f t="shared" si="17"/>
        <v>15000</v>
      </c>
      <c r="K342" s="119">
        <v>4</v>
      </c>
      <c r="L342" s="119" t="s">
        <v>28</v>
      </c>
      <c r="M342" s="119" t="s">
        <v>1570</v>
      </c>
      <c r="N342" s="119" t="s">
        <v>2265</v>
      </c>
    </row>
    <row r="343" spans="1:14" x14ac:dyDescent="0.3">
      <c r="A343" s="1"/>
      <c r="B343" s="1"/>
      <c r="C343" s="1"/>
      <c r="D343" s="1"/>
      <c r="E343" s="1" t="s">
        <v>123</v>
      </c>
      <c r="F343" s="26" t="s">
        <v>2223</v>
      </c>
      <c r="G343" s="1">
        <v>8</v>
      </c>
      <c r="H343" s="1" t="s">
        <v>28</v>
      </c>
      <c r="I343" s="1">
        <v>425</v>
      </c>
      <c r="J343" s="1">
        <f t="shared" si="17"/>
        <v>3400</v>
      </c>
      <c r="K343" s="119">
        <v>8</v>
      </c>
      <c r="L343" s="119" t="s">
        <v>28</v>
      </c>
      <c r="M343" s="119" t="s">
        <v>1570</v>
      </c>
      <c r="N343" s="119" t="s">
        <v>2265</v>
      </c>
    </row>
    <row r="344" spans="1:14" x14ac:dyDescent="0.3">
      <c r="A344" s="1"/>
      <c r="B344" s="1"/>
      <c r="C344" s="1"/>
      <c r="D344" s="1"/>
      <c r="E344" s="1" t="s">
        <v>123</v>
      </c>
      <c r="F344" s="76" t="s">
        <v>2224</v>
      </c>
      <c r="G344" s="1">
        <v>170</v>
      </c>
      <c r="H344" s="1" t="s">
        <v>252</v>
      </c>
      <c r="I344" s="1">
        <v>450</v>
      </c>
      <c r="J344" s="1">
        <f t="shared" si="17"/>
        <v>76500</v>
      </c>
      <c r="K344" s="1"/>
      <c r="L344" s="1"/>
      <c r="M344" s="1"/>
      <c r="N344" s="1"/>
    </row>
    <row r="345" spans="1:14" ht="25.2" x14ac:dyDescent="0.3">
      <c r="A345" s="1"/>
      <c r="B345" s="1"/>
      <c r="C345" s="1"/>
      <c r="D345" s="1"/>
      <c r="E345" s="1" t="s">
        <v>123</v>
      </c>
      <c r="F345" s="192" t="s">
        <v>2225</v>
      </c>
      <c r="G345" s="1">
        <v>170</v>
      </c>
      <c r="H345" s="1" t="s">
        <v>252</v>
      </c>
      <c r="I345" s="1">
        <v>250</v>
      </c>
      <c r="J345" s="1">
        <f t="shared" si="17"/>
        <v>42500</v>
      </c>
      <c r="K345" s="1"/>
      <c r="L345" s="1"/>
      <c r="M345" s="1"/>
      <c r="N345" s="1"/>
    </row>
    <row r="346" spans="1:14" x14ac:dyDescent="0.3">
      <c r="A346" s="1"/>
      <c r="B346" s="1"/>
      <c r="C346" s="1"/>
      <c r="D346" s="1"/>
      <c r="E346" s="1" t="s">
        <v>123</v>
      </c>
      <c r="F346" s="76" t="s">
        <v>2226</v>
      </c>
      <c r="G346" s="1">
        <v>2</v>
      </c>
      <c r="H346" s="1" t="s">
        <v>28</v>
      </c>
      <c r="I346" s="1">
        <v>5000</v>
      </c>
      <c r="J346" s="1">
        <f t="shared" si="17"/>
        <v>10000</v>
      </c>
      <c r="K346" s="1"/>
      <c r="L346" s="1"/>
      <c r="M346" s="1"/>
      <c r="N346" s="1"/>
    </row>
    <row r="347" spans="1:14" x14ac:dyDescent="0.3">
      <c r="A347" s="1"/>
      <c r="B347" s="1"/>
      <c r="C347" s="1"/>
      <c r="D347" s="1"/>
      <c r="E347" s="1" t="s">
        <v>123</v>
      </c>
      <c r="F347" s="76" t="s">
        <v>2214</v>
      </c>
      <c r="G347" s="1">
        <v>2</v>
      </c>
      <c r="H347" s="1" t="s">
        <v>28</v>
      </c>
      <c r="I347" s="1">
        <v>21000</v>
      </c>
      <c r="J347" s="1">
        <f t="shared" si="17"/>
        <v>42000</v>
      </c>
      <c r="K347" s="58">
        <v>2</v>
      </c>
      <c r="L347" s="58" t="s">
        <v>28</v>
      </c>
      <c r="M347" s="58" t="s">
        <v>91</v>
      </c>
      <c r="N347" s="58" t="s">
        <v>2463</v>
      </c>
    </row>
    <row r="348" spans="1:14" x14ac:dyDescent="0.3">
      <c r="A348" s="1"/>
      <c r="B348" s="1"/>
      <c r="C348" s="1"/>
      <c r="D348" s="1"/>
      <c r="E348" s="1" t="s">
        <v>123</v>
      </c>
      <c r="F348" s="26" t="s">
        <v>2227</v>
      </c>
      <c r="G348" s="1">
        <v>5</v>
      </c>
      <c r="H348" s="1" t="s">
        <v>141</v>
      </c>
      <c r="I348" s="1">
        <v>110</v>
      </c>
      <c r="J348" s="1">
        <f t="shared" si="17"/>
        <v>550</v>
      </c>
      <c r="K348" s="119">
        <v>5</v>
      </c>
      <c r="L348" s="119" t="s">
        <v>141</v>
      </c>
      <c r="M348" s="119" t="s">
        <v>1570</v>
      </c>
      <c r="N348" s="119" t="s">
        <v>2265</v>
      </c>
    </row>
    <row r="349" spans="1:14" x14ac:dyDescent="0.3">
      <c r="A349" s="62"/>
      <c r="B349" s="1"/>
      <c r="C349" s="1"/>
      <c r="D349" s="1"/>
      <c r="E349" s="1"/>
      <c r="F349" s="191" t="s">
        <v>39</v>
      </c>
      <c r="G349" s="1"/>
      <c r="H349" s="1"/>
      <c r="I349" s="1"/>
      <c r="J349" s="124">
        <f>SUM(J328:J348)</f>
        <v>350000</v>
      </c>
      <c r="K349" s="1"/>
      <c r="L349" s="1"/>
      <c r="M349" s="1"/>
      <c r="N349" s="1"/>
    </row>
    <row r="350" spans="1:14" x14ac:dyDescent="0.3">
      <c r="A350" s="62"/>
      <c r="B350" s="1"/>
      <c r="C350" s="1"/>
      <c r="D350" s="1"/>
      <c r="E350" s="1"/>
      <c r="F350" s="191" t="s">
        <v>599</v>
      </c>
      <c r="G350" s="1"/>
      <c r="H350" s="1"/>
      <c r="I350" s="1"/>
      <c r="J350" s="124">
        <f>J349*0/100</f>
        <v>0</v>
      </c>
      <c r="K350" s="1"/>
      <c r="L350" s="1"/>
      <c r="M350" s="1"/>
      <c r="N350" s="1"/>
    </row>
    <row r="351" spans="1:14" x14ac:dyDescent="0.3">
      <c r="A351" s="62"/>
      <c r="B351" s="1"/>
      <c r="C351" s="1"/>
      <c r="D351" s="1"/>
      <c r="E351" s="1"/>
      <c r="F351" s="191" t="s">
        <v>41</v>
      </c>
      <c r="G351" s="1"/>
      <c r="H351" s="1"/>
      <c r="I351" s="1"/>
      <c r="J351" s="124">
        <f>SUM(J349:J350)</f>
        <v>350000</v>
      </c>
      <c r="K351" s="1"/>
      <c r="L351" s="1"/>
      <c r="M351" s="1"/>
      <c r="N351" s="1"/>
    </row>
    <row r="353" spans="1:14" ht="25.2" x14ac:dyDescent="0.3">
      <c r="A353" s="1">
        <v>195</v>
      </c>
      <c r="B353" s="1">
        <v>8100024212</v>
      </c>
      <c r="C353" s="37">
        <v>46299</v>
      </c>
      <c r="D353" s="1" t="s">
        <v>43</v>
      </c>
      <c r="E353" s="16" t="s">
        <v>127</v>
      </c>
      <c r="F353" s="108" t="s">
        <v>2249</v>
      </c>
      <c r="G353" s="16">
        <v>10</v>
      </c>
      <c r="H353" s="16" t="s">
        <v>28</v>
      </c>
      <c r="I353" s="16">
        <v>17000</v>
      </c>
      <c r="J353" s="16">
        <f t="shared" ref="J353:J356" si="18">G353*I353</f>
        <v>170000</v>
      </c>
      <c r="K353" s="16"/>
      <c r="L353" s="16"/>
      <c r="M353" s="16"/>
      <c r="N353" s="16"/>
    </row>
    <row r="354" spans="1:14" x14ac:dyDescent="0.3">
      <c r="A354" s="1"/>
      <c r="B354" s="1"/>
      <c r="C354" s="1"/>
      <c r="D354" s="1"/>
      <c r="E354" s="1" t="s">
        <v>123</v>
      </c>
      <c r="F354" s="26" t="s">
        <v>2250</v>
      </c>
      <c r="G354" s="1">
        <v>10</v>
      </c>
      <c r="H354" s="1" t="s">
        <v>28</v>
      </c>
      <c r="I354" s="1">
        <v>1200</v>
      </c>
      <c r="J354" s="1">
        <f t="shared" si="18"/>
        <v>12000</v>
      </c>
      <c r="K354" s="119">
        <v>10</v>
      </c>
      <c r="L354" s="119" t="s">
        <v>28</v>
      </c>
      <c r="M354" s="119" t="s">
        <v>91</v>
      </c>
      <c r="N354" s="119" t="s">
        <v>2280</v>
      </c>
    </row>
    <row r="355" spans="1:14" x14ac:dyDescent="0.3">
      <c r="A355" s="1"/>
      <c r="B355" s="1"/>
      <c r="C355" s="1"/>
      <c r="D355" s="1"/>
      <c r="E355" s="1" t="s">
        <v>123</v>
      </c>
      <c r="F355" s="26" t="s">
        <v>2251</v>
      </c>
      <c r="G355" s="1">
        <v>10</v>
      </c>
      <c r="H355" s="1" t="s">
        <v>87</v>
      </c>
      <c r="I355" s="1">
        <v>2500</v>
      </c>
      <c r="J355" s="1">
        <f t="shared" si="18"/>
        <v>25000</v>
      </c>
      <c r="K355" s="1"/>
      <c r="L355" s="1"/>
      <c r="M355" s="1"/>
      <c r="N355" s="1"/>
    </row>
    <row r="356" spans="1:14" x14ac:dyDescent="0.3">
      <c r="A356" s="1"/>
      <c r="B356" s="1"/>
      <c r="C356" s="1"/>
      <c r="D356" s="1"/>
      <c r="E356" s="1" t="s">
        <v>123</v>
      </c>
      <c r="F356" s="26" t="s">
        <v>2252</v>
      </c>
      <c r="G356" s="1">
        <v>10</v>
      </c>
      <c r="H356" s="1" t="s">
        <v>181</v>
      </c>
      <c r="I356" s="1">
        <v>3000</v>
      </c>
      <c r="J356" s="1">
        <f t="shared" si="18"/>
        <v>30000</v>
      </c>
      <c r="K356" s="119">
        <v>10</v>
      </c>
      <c r="L356" s="119" t="s">
        <v>181</v>
      </c>
      <c r="M356" s="119" t="s">
        <v>91</v>
      </c>
      <c r="N356" s="119" t="s">
        <v>2451</v>
      </c>
    </row>
    <row r="357" spans="1:14" x14ac:dyDescent="0.3">
      <c r="A357" s="62"/>
      <c r="B357" s="1"/>
      <c r="C357" s="1"/>
      <c r="D357" s="1"/>
      <c r="E357" s="1"/>
      <c r="F357" s="191" t="s">
        <v>39</v>
      </c>
      <c r="G357" s="1"/>
      <c r="H357" s="1"/>
      <c r="I357" s="1"/>
      <c r="J357" s="124">
        <f>SUM(J353:J356)</f>
        <v>237000</v>
      </c>
      <c r="K357" s="1"/>
      <c r="L357" s="1"/>
      <c r="M357" s="1"/>
      <c r="N357" s="1"/>
    </row>
    <row r="358" spans="1:14" x14ac:dyDescent="0.3">
      <c r="A358" s="62"/>
      <c r="B358" s="1"/>
      <c r="C358" s="1"/>
      <c r="D358" s="1"/>
      <c r="E358" s="1"/>
      <c r="F358" s="191" t="s">
        <v>599</v>
      </c>
      <c r="G358" s="1"/>
      <c r="H358" s="1"/>
      <c r="I358" s="1"/>
      <c r="J358" s="124">
        <f>J357*0/100</f>
        <v>0</v>
      </c>
      <c r="K358" s="1"/>
      <c r="L358" s="1"/>
      <c r="M358" s="1"/>
      <c r="N358" s="1"/>
    </row>
    <row r="359" spans="1:14" x14ac:dyDescent="0.3">
      <c r="A359" s="62"/>
      <c r="B359" s="1"/>
      <c r="C359" s="1"/>
      <c r="D359" s="1"/>
      <c r="E359" s="1"/>
      <c r="F359" s="191" t="s">
        <v>41</v>
      </c>
      <c r="G359" s="1"/>
      <c r="H359" s="1"/>
      <c r="I359" s="1"/>
      <c r="J359" s="124">
        <f>SUM(J357:J358)</f>
        <v>237000</v>
      </c>
      <c r="K359" s="1"/>
      <c r="L359" s="1"/>
      <c r="M359" s="1"/>
      <c r="N359" s="1"/>
    </row>
    <row r="361" spans="1:14" ht="50.4" x14ac:dyDescent="0.3">
      <c r="A361" s="1">
        <v>197</v>
      </c>
      <c r="B361" s="1">
        <v>9200164054</v>
      </c>
      <c r="C361" s="1" t="s">
        <v>2266</v>
      </c>
      <c r="D361" s="1" t="s">
        <v>43</v>
      </c>
      <c r="E361" s="1" t="s">
        <v>123</v>
      </c>
      <c r="F361" s="51" t="s">
        <v>2267</v>
      </c>
      <c r="G361" s="1">
        <v>5</v>
      </c>
      <c r="H361" s="1" t="s">
        <v>87</v>
      </c>
      <c r="I361" s="1">
        <v>18200</v>
      </c>
      <c r="J361" s="1">
        <f t="shared" ref="J361:J362" si="19">G361*I361</f>
        <v>91000</v>
      </c>
      <c r="K361" s="1"/>
      <c r="L361" s="1"/>
      <c r="M361" s="1"/>
      <c r="N361" s="1"/>
    </row>
    <row r="362" spans="1:14" ht="50.4" x14ac:dyDescent="0.3">
      <c r="A362" s="1"/>
      <c r="B362" s="1"/>
      <c r="C362" s="1"/>
      <c r="D362" s="1"/>
      <c r="E362" s="16" t="s">
        <v>123</v>
      </c>
      <c r="F362" s="108" t="s">
        <v>2268</v>
      </c>
      <c r="G362" s="16">
        <v>380</v>
      </c>
      <c r="H362" s="16" t="s">
        <v>111</v>
      </c>
      <c r="I362" s="16">
        <v>280</v>
      </c>
      <c r="J362" s="16">
        <f t="shared" si="19"/>
        <v>106400</v>
      </c>
      <c r="K362" s="38" t="s">
        <v>2365</v>
      </c>
      <c r="L362" s="16" t="s">
        <v>205</v>
      </c>
      <c r="M362" s="16" t="s">
        <v>91</v>
      </c>
      <c r="N362" s="16" t="s">
        <v>2364</v>
      </c>
    </row>
    <row r="363" spans="1:14" x14ac:dyDescent="0.3">
      <c r="A363" s="1"/>
      <c r="B363" s="1"/>
      <c r="C363" s="1"/>
      <c r="D363" s="1"/>
      <c r="E363" s="1"/>
      <c r="F363" s="191" t="s">
        <v>39</v>
      </c>
      <c r="G363" s="1"/>
      <c r="H363" s="1"/>
      <c r="I363" s="1"/>
      <c r="J363" s="124">
        <f>SUM(J361:J362)</f>
        <v>197400</v>
      </c>
      <c r="K363" s="1"/>
      <c r="L363" s="1"/>
      <c r="M363" s="1"/>
      <c r="N363" s="1"/>
    </row>
    <row r="364" spans="1:14" x14ac:dyDescent="0.3">
      <c r="A364" s="1"/>
      <c r="B364" s="1"/>
      <c r="C364" s="1"/>
      <c r="D364" s="1"/>
      <c r="E364" s="1"/>
      <c r="F364" s="191" t="s">
        <v>599</v>
      </c>
      <c r="G364" s="1"/>
      <c r="H364" s="1"/>
      <c r="I364" s="1"/>
      <c r="J364" s="124">
        <f>J363*0/100</f>
        <v>0</v>
      </c>
      <c r="K364" s="1"/>
      <c r="L364" s="1"/>
      <c r="M364" s="1"/>
      <c r="N364" s="1"/>
    </row>
    <row r="365" spans="1:14" x14ac:dyDescent="0.3">
      <c r="A365" s="1"/>
      <c r="B365" s="1"/>
      <c r="C365" s="1"/>
      <c r="D365" s="1"/>
      <c r="E365" s="1"/>
      <c r="F365" s="191" t="s">
        <v>41</v>
      </c>
      <c r="G365" s="1"/>
      <c r="H365" s="1"/>
      <c r="I365" s="1"/>
      <c r="J365" s="124">
        <f>SUM(J363:J364)</f>
        <v>197400</v>
      </c>
      <c r="K365" s="1"/>
      <c r="L365" s="1"/>
      <c r="M365" s="1"/>
      <c r="N365" s="1"/>
    </row>
    <row r="367" spans="1:14" ht="25.2" x14ac:dyDescent="0.3">
      <c r="A367" s="1">
        <v>198</v>
      </c>
      <c r="B367" s="1">
        <v>9200164606</v>
      </c>
      <c r="C367" s="1" t="s">
        <v>2283</v>
      </c>
      <c r="D367" s="1" t="s">
        <v>43</v>
      </c>
      <c r="E367" s="1" t="s">
        <v>123</v>
      </c>
      <c r="F367" s="51" t="s">
        <v>2282</v>
      </c>
      <c r="G367" s="1">
        <v>2</v>
      </c>
      <c r="H367" s="1" t="s">
        <v>28</v>
      </c>
      <c r="I367" s="1">
        <v>48450</v>
      </c>
      <c r="J367" s="1">
        <f t="shared" ref="J367" si="20">G367*I367</f>
        <v>96900</v>
      </c>
      <c r="K367" s="119" t="s">
        <v>2404</v>
      </c>
      <c r="L367" s="119" t="s">
        <v>2405</v>
      </c>
      <c r="M367" s="119" t="s">
        <v>91</v>
      </c>
      <c r="N367" s="119" t="s">
        <v>2406</v>
      </c>
    </row>
    <row r="368" spans="1:14" x14ac:dyDescent="0.3">
      <c r="A368" s="1"/>
      <c r="B368" s="1"/>
      <c r="C368" s="1"/>
      <c r="D368" s="1"/>
      <c r="E368" s="1"/>
      <c r="F368" s="191" t="s">
        <v>39</v>
      </c>
      <c r="G368" s="1"/>
      <c r="H368" s="1"/>
      <c r="I368" s="1"/>
      <c r="J368" s="124">
        <f>SUM(J367)</f>
        <v>96900</v>
      </c>
      <c r="K368" s="1"/>
      <c r="L368" s="1"/>
      <c r="M368" s="1"/>
      <c r="N368" s="1"/>
    </row>
    <row r="369" spans="1:14" x14ac:dyDescent="0.3">
      <c r="A369" s="1"/>
      <c r="B369" s="1"/>
      <c r="C369" s="1"/>
      <c r="D369" s="1"/>
      <c r="E369" s="1"/>
      <c r="F369" s="191" t="s">
        <v>187</v>
      </c>
      <c r="G369" s="1"/>
      <c r="H369" s="1"/>
      <c r="I369" s="1"/>
      <c r="J369" s="124">
        <f>J368*18/100</f>
        <v>17442</v>
      </c>
      <c r="K369" s="1"/>
      <c r="L369" s="1"/>
      <c r="M369" s="1"/>
      <c r="N369" s="1"/>
    </row>
    <row r="370" spans="1:14" x14ac:dyDescent="0.3">
      <c r="A370" s="1"/>
      <c r="B370" s="1"/>
      <c r="C370" s="1"/>
      <c r="D370" s="1"/>
      <c r="E370" s="1"/>
      <c r="F370" s="191" t="s">
        <v>41</v>
      </c>
      <c r="G370" s="1"/>
      <c r="H370" s="1"/>
      <c r="I370" s="1"/>
      <c r="J370" s="124">
        <f>SUM(J368:J369)</f>
        <v>114342</v>
      </c>
      <c r="K370" s="1"/>
      <c r="L370" s="1"/>
      <c r="M370" s="1"/>
      <c r="N370" s="1"/>
    </row>
    <row r="372" spans="1:14" x14ac:dyDescent="0.3">
      <c r="A372" s="1">
        <v>201</v>
      </c>
      <c r="B372" s="1">
        <v>8100024582</v>
      </c>
      <c r="C372" s="37">
        <v>46027</v>
      </c>
      <c r="D372" s="1" t="s">
        <v>300</v>
      </c>
      <c r="E372" s="1" t="s">
        <v>123</v>
      </c>
      <c r="F372" s="51" t="s">
        <v>2289</v>
      </c>
      <c r="G372" s="1">
        <v>6</v>
      </c>
      <c r="H372" s="1" t="s">
        <v>181</v>
      </c>
      <c r="I372" s="1">
        <v>2200</v>
      </c>
      <c r="J372" s="1">
        <f t="shared" ref="J372:J431" si="21">G372*I372</f>
        <v>13200</v>
      </c>
      <c r="K372" s="1"/>
      <c r="L372" s="1"/>
      <c r="M372" s="1"/>
      <c r="N372" s="1"/>
    </row>
    <row r="373" spans="1:14" x14ac:dyDescent="0.3">
      <c r="A373" s="1"/>
      <c r="B373" s="1"/>
      <c r="C373" s="1"/>
      <c r="D373" s="1"/>
      <c r="E373" s="1" t="s">
        <v>123</v>
      </c>
      <c r="F373" s="26" t="s">
        <v>2290</v>
      </c>
      <c r="G373" s="1">
        <v>7</v>
      </c>
      <c r="H373" s="1" t="s">
        <v>28</v>
      </c>
      <c r="I373" s="1">
        <v>1500</v>
      </c>
      <c r="J373" s="1">
        <f t="shared" si="21"/>
        <v>10500</v>
      </c>
      <c r="K373" s="1"/>
      <c r="L373" s="1"/>
      <c r="M373" s="1"/>
      <c r="N373" s="1"/>
    </row>
    <row r="374" spans="1:14" ht="25.2" x14ac:dyDescent="0.3">
      <c r="A374" s="1"/>
      <c r="B374" s="1"/>
      <c r="C374" s="1"/>
      <c r="D374" s="1"/>
      <c r="E374" s="1" t="s">
        <v>123</v>
      </c>
      <c r="F374" s="51" t="s">
        <v>2291</v>
      </c>
      <c r="G374" s="1">
        <v>7</v>
      </c>
      <c r="H374" s="1" t="s">
        <v>87</v>
      </c>
      <c r="I374" s="1">
        <v>6500</v>
      </c>
      <c r="J374" s="1">
        <f t="shared" si="21"/>
        <v>45500</v>
      </c>
      <c r="K374" s="1"/>
      <c r="L374" s="1"/>
      <c r="M374" s="1"/>
      <c r="N374" s="1"/>
    </row>
    <row r="375" spans="1:14" x14ac:dyDescent="0.3">
      <c r="A375" s="1"/>
      <c r="B375" s="1"/>
      <c r="C375" s="1"/>
      <c r="D375" s="1"/>
      <c r="E375" s="1" t="s">
        <v>123</v>
      </c>
      <c r="F375" s="26" t="s">
        <v>2292</v>
      </c>
      <c r="G375" s="1">
        <v>7</v>
      </c>
      <c r="H375" s="1" t="s">
        <v>87</v>
      </c>
      <c r="I375" s="1">
        <v>6000</v>
      </c>
      <c r="J375" s="1">
        <f t="shared" si="21"/>
        <v>42000</v>
      </c>
      <c r="K375" s="1"/>
      <c r="L375" s="1"/>
      <c r="M375" s="1"/>
      <c r="N375" s="1"/>
    </row>
    <row r="376" spans="1:14" x14ac:dyDescent="0.3">
      <c r="A376" s="1"/>
      <c r="B376" s="1"/>
      <c r="C376" s="1"/>
      <c r="D376" s="1"/>
      <c r="E376" s="1" t="s">
        <v>123</v>
      </c>
      <c r="F376" s="26" t="s">
        <v>2293</v>
      </c>
      <c r="G376" s="1">
        <v>7</v>
      </c>
      <c r="H376" s="1" t="s">
        <v>87</v>
      </c>
      <c r="I376" s="1">
        <v>1800</v>
      </c>
      <c r="J376" s="1">
        <f t="shared" si="21"/>
        <v>12600</v>
      </c>
      <c r="K376" s="1"/>
      <c r="L376" s="1"/>
      <c r="M376" s="1"/>
      <c r="N376" s="1"/>
    </row>
    <row r="377" spans="1:14" x14ac:dyDescent="0.3">
      <c r="A377" s="1"/>
      <c r="B377" s="1"/>
      <c r="C377" s="1"/>
      <c r="D377" s="1"/>
      <c r="E377" s="1" t="s">
        <v>123</v>
      </c>
      <c r="F377" s="26" t="s">
        <v>2294</v>
      </c>
      <c r="G377" s="1">
        <v>2</v>
      </c>
      <c r="H377" s="1" t="s">
        <v>1709</v>
      </c>
      <c r="I377" s="1">
        <v>2500</v>
      </c>
      <c r="J377" s="1">
        <f t="shared" si="21"/>
        <v>5000</v>
      </c>
      <c r="K377" s="1"/>
      <c r="L377" s="1"/>
      <c r="M377" s="1"/>
      <c r="N377" s="1"/>
    </row>
    <row r="378" spans="1:14" x14ac:dyDescent="0.3">
      <c r="A378" s="1"/>
      <c r="B378" s="1"/>
      <c r="C378" s="1"/>
      <c r="D378" s="1"/>
      <c r="E378" s="1" t="s">
        <v>123</v>
      </c>
      <c r="F378" s="26" t="s">
        <v>2295</v>
      </c>
      <c r="G378" s="1">
        <v>40</v>
      </c>
      <c r="H378" s="1" t="s">
        <v>252</v>
      </c>
      <c r="I378" s="1">
        <v>330</v>
      </c>
      <c r="J378" s="1">
        <f t="shared" si="21"/>
        <v>13200</v>
      </c>
      <c r="K378" s="1"/>
      <c r="L378" s="1"/>
      <c r="M378" s="1"/>
      <c r="N378" s="1"/>
    </row>
    <row r="379" spans="1:14" x14ac:dyDescent="0.3">
      <c r="A379" s="1"/>
      <c r="B379" s="1"/>
      <c r="C379" s="1"/>
      <c r="D379" s="1"/>
      <c r="E379" s="1" t="s">
        <v>123</v>
      </c>
      <c r="F379" s="26" t="s">
        <v>2296</v>
      </c>
      <c r="G379" s="1">
        <v>60</v>
      </c>
      <c r="H379" s="1" t="s">
        <v>111</v>
      </c>
      <c r="I379" s="1">
        <v>850</v>
      </c>
      <c r="J379" s="1">
        <f t="shared" si="21"/>
        <v>51000</v>
      </c>
      <c r="K379" s="1"/>
      <c r="L379" s="1"/>
      <c r="M379" s="1"/>
      <c r="N379" s="1"/>
    </row>
    <row r="380" spans="1:14" x14ac:dyDescent="0.3">
      <c r="A380" s="1"/>
      <c r="B380" s="1"/>
      <c r="C380" s="1"/>
      <c r="D380" s="1"/>
      <c r="E380" s="1" t="s">
        <v>127</v>
      </c>
      <c r="F380" s="51" t="s">
        <v>2297</v>
      </c>
      <c r="G380" s="1">
        <v>6</v>
      </c>
      <c r="H380" s="1" t="s">
        <v>181</v>
      </c>
      <c r="I380" s="1">
        <v>14928</v>
      </c>
      <c r="J380" s="1">
        <f t="shared" si="21"/>
        <v>89568</v>
      </c>
      <c r="K380" s="1"/>
      <c r="L380" s="1"/>
      <c r="M380" s="1"/>
      <c r="N380" s="1"/>
    </row>
    <row r="381" spans="1:14" x14ac:dyDescent="0.3">
      <c r="A381" s="1"/>
      <c r="B381" s="1"/>
      <c r="C381" s="1"/>
      <c r="D381" s="1"/>
      <c r="E381" s="1"/>
      <c r="F381" s="191" t="s">
        <v>39</v>
      </c>
      <c r="G381" s="1"/>
      <c r="H381" s="1"/>
      <c r="I381" s="1"/>
      <c r="J381" s="124">
        <f>SUM(J372:J380)</f>
        <v>282568</v>
      </c>
      <c r="K381" s="1"/>
      <c r="L381" s="1"/>
      <c r="M381" s="1"/>
      <c r="N381" s="1"/>
    </row>
    <row r="382" spans="1:14" x14ac:dyDescent="0.3">
      <c r="A382" s="1"/>
      <c r="B382" s="1"/>
      <c r="C382" s="1"/>
      <c r="D382" s="1"/>
      <c r="E382" s="1"/>
      <c r="F382" s="191" t="s">
        <v>187</v>
      </c>
      <c r="G382" s="1"/>
      <c r="H382" s="1"/>
      <c r="I382" s="1"/>
      <c r="J382" s="124">
        <f>J381*18/100</f>
        <v>50862.239999999998</v>
      </c>
      <c r="K382" s="1"/>
      <c r="L382" s="1"/>
      <c r="M382" s="1"/>
      <c r="N382" s="1"/>
    </row>
    <row r="383" spans="1:14" x14ac:dyDescent="0.3">
      <c r="A383" s="1"/>
      <c r="B383" s="1"/>
      <c r="C383" s="1"/>
      <c r="D383" s="1"/>
      <c r="E383" s="1"/>
      <c r="F383" s="191" t="s">
        <v>41</v>
      </c>
      <c r="G383" s="1"/>
      <c r="H383" s="1"/>
      <c r="I383" s="1"/>
      <c r="J383" s="124">
        <f>SUM(J381:J382)</f>
        <v>333430.24</v>
      </c>
      <c r="K383" s="1"/>
      <c r="L383" s="1"/>
      <c r="M383" s="1"/>
      <c r="N383" s="1"/>
    </row>
    <row r="384" spans="1:14" x14ac:dyDescent="0.3">
      <c r="A384" s="1"/>
      <c r="B384" s="1"/>
      <c r="C384" s="1"/>
      <c r="D384" s="1"/>
      <c r="E384" s="1"/>
      <c r="F384" s="191"/>
      <c r="G384" s="1"/>
      <c r="H384" s="1"/>
      <c r="I384" s="1"/>
      <c r="J384" s="124"/>
      <c r="K384" s="1"/>
      <c r="L384" s="1"/>
      <c r="M384" s="1"/>
      <c r="N384" s="1"/>
    </row>
    <row r="385" spans="1:14" x14ac:dyDescent="0.3">
      <c r="A385" s="1">
        <v>202</v>
      </c>
      <c r="B385" s="1">
        <v>9200165132</v>
      </c>
      <c r="C385" s="37">
        <v>46058</v>
      </c>
      <c r="D385" s="1" t="s">
        <v>43</v>
      </c>
      <c r="E385" s="1" t="s">
        <v>123</v>
      </c>
      <c r="F385" s="26" t="s">
        <v>2298</v>
      </c>
      <c r="G385" s="1">
        <v>2</v>
      </c>
      <c r="H385" s="1" t="s">
        <v>28</v>
      </c>
      <c r="I385" s="1">
        <v>3500</v>
      </c>
      <c r="J385" s="1">
        <f t="shared" si="21"/>
        <v>7000</v>
      </c>
      <c r="K385" s="119">
        <v>2</v>
      </c>
      <c r="L385" s="119" t="s">
        <v>28</v>
      </c>
      <c r="M385" s="119" t="s">
        <v>91</v>
      </c>
      <c r="N385" s="119" t="s">
        <v>2450</v>
      </c>
    </row>
    <row r="386" spans="1:14" x14ac:dyDescent="0.3">
      <c r="A386" s="1"/>
      <c r="B386" s="1"/>
      <c r="C386" s="1"/>
      <c r="D386" s="1"/>
      <c r="E386" s="1" t="s">
        <v>123</v>
      </c>
      <c r="F386" s="26" t="s">
        <v>2299</v>
      </c>
      <c r="G386" s="1">
        <v>1</v>
      </c>
      <c r="H386" s="1" t="s">
        <v>28</v>
      </c>
      <c r="I386" s="1">
        <v>9600</v>
      </c>
      <c r="J386" s="1">
        <f t="shared" si="21"/>
        <v>9600</v>
      </c>
      <c r="K386" s="1"/>
      <c r="L386" s="1"/>
      <c r="M386" s="1"/>
      <c r="N386" s="1"/>
    </row>
    <row r="387" spans="1:14" x14ac:dyDescent="0.3">
      <c r="A387" s="1"/>
      <c r="B387" s="1"/>
      <c r="C387" s="1"/>
      <c r="D387" s="1"/>
      <c r="E387" s="1" t="s">
        <v>123</v>
      </c>
      <c r="F387" s="51" t="s">
        <v>2300</v>
      </c>
      <c r="G387" s="1">
        <v>2</v>
      </c>
      <c r="H387" s="1" t="s">
        <v>28</v>
      </c>
      <c r="I387" s="1">
        <v>2500</v>
      </c>
      <c r="J387" s="1">
        <f t="shared" si="21"/>
        <v>5000</v>
      </c>
      <c r="K387" s="1"/>
      <c r="L387" s="1"/>
      <c r="M387" s="1"/>
      <c r="N387" s="1"/>
    </row>
    <row r="388" spans="1:14" x14ac:dyDescent="0.3">
      <c r="A388" s="1"/>
      <c r="B388" s="1"/>
      <c r="C388" s="1"/>
      <c r="D388" s="1"/>
      <c r="E388" s="1" t="s">
        <v>123</v>
      </c>
      <c r="F388" s="26" t="s">
        <v>2301</v>
      </c>
      <c r="G388" s="1">
        <v>1</v>
      </c>
      <c r="H388" s="1" t="s">
        <v>28</v>
      </c>
      <c r="I388" s="1">
        <v>2200</v>
      </c>
      <c r="J388" s="1">
        <f t="shared" si="21"/>
        <v>2200</v>
      </c>
      <c r="K388" s="1"/>
      <c r="L388" s="1"/>
      <c r="M388" s="1"/>
      <c r="N388" s="1"/>
    </row>
    <row r="389" spans="1:14" x14ac:dyDescent="0.3">
      <c r="A389" s="1"/>
      <c r="B389" s="1"/>
      <c r="C389" s="1"/>
      <c r="D389" s="1"/>
      <c r="E389" s="1" t="s">
        <v>123</v>
      </c>
      <c r="F389" s="26" t="s">
        <v>2302</v>
      </c>
      <c r="G389" s="1">
        <v>2</v>
      </c>
      <c r="H389" s="1" t="s">
        <v>28</v>
      </c>
      <c r="I389" s="1">
        <v>3500</v>
      </c>
      <c r="J389" s="1">
        <f t="shared" si="21"/>
        <v>7000</v>
      </c>
      <c r="K389" s="119">
        <v>2</v>
      </c>
      <c r="L389" s="119" t="s">
        <v>28</v>
      </c>
      <c r="M389" s="119" t="s">
        <v>91</v>
      </c>
      <c r="N389" s="119" t="s">
        <v>2450</v>
      </c>
    </row>
    <row r="390" spans="1:14" x14ac:dyDescent="0.3">
      <c r="A390" s="1"/>
      <c r="B390" s="1"/>
      <c r="C390" s="1"/>
      <c r="D390" s="1"/>
      <c r="E390" s="1" t="s">
        <v>123</v>
      </c>
      <c r="F390" s="26" t="s">
        <v>2303</v>
      </c>
      <c r="G390" s="1">
        <v>1</v>
      </c>
      <c r="H390" s="1" t="s">
        <v>28</v>
      </c>
      <c r="I390" s="1">
        <v>3500</v>
      </c>
      <c r="J390" s="1">
        <f t="shared" si="21"/>
        <v>3500</v>
      </c>
      <c r="K390" s="1"/>
      <c r="L390" s="1"/>
      <c r="M390" s="1"/>
      <c r="N390" s="1"/>
    </row>
    <row r="391" spans="1:14" x14ac:dyDescent="0.3">
      <c r="A391" s="1"/>
      <c r="B391" s="1"/>
      <c r="C391" s="1"/>
      <c r="D391" s="1"/>
      <c r="E391" s="1" t="s">
        <v>123</v>
      </c>
      <c r="F391" s="26" t="s">
        <v>2304</v>
      </c>
      <c r="G391" s="1">
        <v>1</v>
      </c>
      <c r="H391" s="1" t="s">
        <v>28</v>
      </c>
      <c r="I391" s="1">
        <v>2200</v>
      </c>
      <c r="J391" s="1">
        <f t="shared" si="21"/>
        <v>2200</v>
      </c>
      <c r="K391" s="1"/>
      <c r="L391" s="1"/>
      <c r="M391" s="1"/>
      <c r="N391" s="1"/>
    </row>
    <row r="392" spans="1:14" x14ac:dyDescent="0.3">
      <c r="A392" s="1"/>
      <c r="B392" s="1"/>
      <c r="C392" s="1"/>
      <c r="D392" s="1"/>
      <c r="E392" s="1" t="s">
        <v>123</v>
      </c>
      <c r="F392" s="26" t="s">
        <v>2305</v>
      </c>
      <c r="G392" s="1">
        <v>1</v>
      </c>
      <c r="H392" s="1" t="s">
        <v>28</v>
      </c>
      <c r="I392" s="1">
        <v>9600</v>
      </c>
      <c r="J392" s="1">
        <f t="shared" si="21"/>
        <v>9600</v>
      </c>
      <c r="K392" s="1"/>
      <c r="L392" s="1"/>
      <c r="M392" s="1"/>
      <c r="N392" s="1"/>
    </row>
    <row r="393" spans="1:14" x14ac:dyDescent="0.3">
      <c r="A393" s="1"/>
      <c r="B393" s="1"/>
      <c r="C393" s="1"/>
      <c r="D393" s="1"/>
      <c r="E393" s="1" t="s">
        <v>123</v>
      </c>
      <c r="F393" s="26" t="s">
        <v>2306</v>
      </c>
      <c r="G393" s="1">
        <v>3</v>
      </c>
      <c r="H393" s="1" t="s">
        <v>28</v>
      </c>
      <c r="I393" s="1">
        <v>3500</v>
      </c>
      <c r="J393" s="1">
        <f t="shared" si="21"/>
        <v>10500</v>
      </c>
      <c r="K393" s="1"/>
      <c r="L393" s="1"/>
      <c r="M393" s="1"/>
      <c r="N393" s="1"/>
    </row>
    <row r="394" spans="1:14" x14ac:dyDescent="0.3">
      <c r="A394" s="1"/>
      <c r="B394" s="1"/>
      <c r="C394" s="1"/>
      <c r="D394" s="1"/>
      <c r="E394" s="1" t="s">
        <v>123</v>
      </c>
      <c r="F394" s="26" t="s">
        <v>2307</v>
      </c>
      <c r="G394" s="1">
        <v>1</v>
      </c>
      <c r="H394" s="1" t="s">
        <v>28</v>
      </c>
      <c r="I394" s="1">
        <v>11500</v>
      </c>
      <c r="J394" s="1">
        <f t="shared" si="21"/>
        <v>11500</v>
      </c>
      <c r="K394" s="1"/>
      <c r="L394" s="1"/>
      <c r="M394" s="1"/>
      <c r="N394" s="1"/>
    </row>
    <row r="395" spans="1:14" x14ac:dyDescent="0.3">
      <c r="A395" s="1"/>
      <c r="B395" s="1"/>
      <c r="C395" s="1"/>
      <c r="D395" s="1"/>
      <c r="E395" s="1" t="s">
        <v>123</v>
      </c>
      <c r="F395" s="26" t="s">
        <v>2308</v>
      </c>
      <c r="G395" s="1">
        <v>1</v>
      </c>
      <c r="H395" s="1" t="s">
        <v>28</v>
      </c>
      <c r="I395" s="1">
        <v>3500</v>
      </c>
      <c r="J395" s="1">
        <f t="shared" si="21"/>
        <v>3500</v>
      </c>
      <c r="K395" s="1"/>
      <c r="L395" s="1"/>
      <c r="M395" s="1"/>
      <c r="N395" s="1"/>
    </row>
    <row r="396" spans="1:14" x14ac:dyDescent="0.3">
      <c r="A396" s="1"/>
      <c r="B396" s="1"/>
      <c r="C396" s="1"/>
      <c r="D396" s="1"/>
      <c r="E396" s="1" t="s">
        <v>123</v>
      </c>
      <c r="F396" s="26" t="s">
        <v>2309</v>
      </c>
      <c r="G396" s="1">
        <v>1</v>
      </c>
      <c r="H396" s="1" t="s">
        <v>28</v>
      </c>
      <c r="I396" s="1">
        <v>3500</v>
      </c>
      <c r="J396" s="1">
        <f t="shared" si="21"/>
        <v>3500</v>
      </c>
      <c r="K396" s="119">
        <v>2</v>
      </c>
      <c r="L396" s="119" t="s">
        <v>28</v>
      </c>
      <c r="M396" s="119" t="s">
        <v>91</v>
      </c>
      <c r="N396" s="119" t="s">
        <v>2450</v>
      </c>
    </row>
    <row r="397" spans="1:14" x14ac:dyDescent="0.3">
      <c r="A397" s="1"/>
      <c r="B397" s="1"/>
      <c r="C397" s="1"/>
      <c r="D397" s="1"/>
      <c r="E397" s="1" t="s">
        <v>123</v>
      </c>
      <c r="F397" s="26" t="s">
        <v>2310</v>
      </c>
      <c r="G397" s="1">
        <v>1</v>
      </c>
      <c r="H397" s="1" t="s">
        <v>28</v>
      </c>
      <c r="I397" s="1">
        <v>13500</v>
      </c>
      <c r="J397" s="1">
        <f t="shared" si="21"/>
        <v>13500</v>
      </c>
      <c r="K397" s="1"/>
      <c r="L397" s="1"/>
      <c r="M397" s="1"/>
      <c r="N397" s="1"/>
    </row>
    <row r="398" spans="1:14" x14ac:dyDescent="0.3">
      <c r="A398" s="1"/>
      <c r="B398" s="1"/>
      <c r="C398" s="1"/>
      <c r="D398" s="1"/>
      <c r="E398" s="1" t="s">
        <v>123</v>
      </c>
      <c r="F398" s="51" t="s">
        <v>2311</v>
      </c>
      <c r="G398" s="1">
        <v>1</v>
      </c>
      <c r="H398" s="1" t="s">
        <v>28</v>
      </c>
      <c r="I398" s="1">
        <v>3500</v>
      </c>
      <c r="J398" s="1">
        <f t="shared" si="21"/>
        <v>3500</v>
      </c>
      <c r="K398" s="1"/>
      <c r="L398" s="1"/>
      <c r="M398" s="1"/>
      <c r="N398" s="1"/>
    </row>
    <row r="399" spans="1:14" x14ac:dyDescent="0.3">
      <c r="A399" s="1"/>
      <c r="B399" s="1"/>
      <c r="C399" s="1"/>
      <c r="D399" s="1"/>
      <c r="E399" s="1" t="s">
        <v>123</v>
      </c>
      <c r="F399" s="26" t="s">
        <v>2312</v>
      </c>
      <c r="G399" s="1">
        <v>1</v>
      </c>
      <c r="H399" s="1" t="s">
        <v>28</v>
      </c>
      <c r="I399" s="1">
        <v>3500</v>
      </c>
      <c r="J399" s="1">
        <f t="shared" si="21"/>
        <v>3500</v>
      </c>
      <c r="K399" s="1"/>
      <c r="L399" s="1"/>
      <c r="M399" s="1"/>
      <c r="N399" s="1"/>
    </row>
    <row r="400" spans="1:14" x14ac:dyDescent="0.3">
      <c r="A400" s="1"/>
      <c r="B400" s="1"/>
      <c r="C400" s="1"/>
      <c r="D400" s="1"/>
      <c r="E400" s="1" t="s">
        <v>123</v>
      </c>
      <c r="F400" s="26" t="s">
        <v>2313</v>
      </c>
      <c r="G400" s="1">
        <v>1</v>
      </c>
      <c r="H400" s="1" t="s">
        <v>28</v>
      </c>
      <c r="I400" s="1">
        <v>3500</v>
      </c>
      <c r="J400" s="1">
        <f t="shared" si="21"/>
        <v>3500</v>
      </c>
      <c r="K400" s="1"/>
      <c r="L400" s="1"/>
      <c r="M400" s="1"/>
      <c r="N400" s="1"/>
    </row>
    <row r="401" spans="1:14" x14ac:dyDescent="0.3">
      <c r="A401" s="1"/>
      <c r="B401" s="1"/>
      <c r="C401" s="1"/>
      <c r="D401" s="1"/>
      <c r="E401" s="1" t="s">
        <v>123</v>
      </c>
      <c r="F401" s="26" t="s">
        <v>2314</v>
      </c>
      <c r="G401" s="1">
        <v>4</v>
      </c>
      <c r="H401" s="1" t="s">
        <v>28</v>
      </c>
      <c r="I401" s="1">
        <v>10500</v>
      </c>
      <c r="J401" s="1">
        <f t="shared" si="21"/>
        <v>42000</v>
      </c>
      <c r="K401" s="1"/>
      <c r="L401" s="1"/>
      <c r="M401" s="1"/>
      <c r="N401" s="1"/>
    </row>
    <row r="402" spans="1:14" x14ac:dyDescent="0.3">
      <c r="A402" s="1"/>
      <c r="B402" s="1"/>
      <c r="C402" s="1"/>
      <c r="D402" s="1"/>
      <c r="E402" s="1" t="s">
        <v>123</v>
      </c>
      <c r="F402" s="26" t="s">
        <v>2315</v>
      </c>
      <c r="G402" s="1">
        <v>2</v>
      </c>
      <c r="H402" s="1" t="s">
        <v>28</v>
      </c>
      <c r="I402" s="1">
        <v>15800</v>
      </c>
      <c r="J402" s="1">
        <f t="shared" si="21"/>
        <v>31600</v>
      </c>
      <c r="K402" s="1"/>
      <c r="L402" s="1"/>
      <c r="M402" s="1"/>
      <c r="N402" s="1"/>
    </row>
    <row r="403" spans="1:14" x14ac:dyDescent="0.3">
      <c r="A403" s="1"/>
      <c r="B403" s="1"/>
      <c r="C403" s="1"/>
      <c r="D403" s="1"/>
      <c r="E403" s="1" t="s">
        <v>123</v>
      </c>
      <c r="F403" s="26" t="s">
        <v>2316</v>
      </c>
      <c r="G403" s="1">
        <v>1</v>
      </c>
      <c r="H403" s="1" t="s">
        <v>28</v>
      </c>
      <c r="I403" s="1">
        <v>9600</v>
      </c>
      <c r="J403" s="1">
        <f t="shared" si="21"/>
        <v>9600</v>
      </c>
      <c r="K403" s="1"/>
      <c r="L403" s="1"/>
      <c r="M403" s="1"/>
      <c r="N403" s="1"/>
    </row>
    <row r="404" spans="1:14" ht="37.799999999999997" x14ac:dyDescent="0.3">
      <c r="A404" s="1"/>
      <c r="B404" s="1"/>
      <c r="C404" s="1"/>
      <c r="D404" s="1"/>
      <c r="E404" s="1" t="s">
        <v>123</v>
      </c>
      <c r="F404" s="51" t="s">
        <v>2317</v>
      </c>
      <c r="G404" s="1">
        <v>5</v>
      </c>
      <c r="H404" s="1" t="s">
        <v>28</v>
      </c>
      <c r="I404" s="1">
        <v>2540</v>
      </c>
      <c r="J404" s="1">
        <f t="shared" si="21"/>
        <v>12700</v>
      </c>
      <c r="K404" s="1"/>
      <c r="L404" s="1"/>
      <c r="M404" s="1"/>
      <c r="N404" s="1"/>
    </row>
    <row r="405" spans="1:14" x14ac:dyDescent="0.3">
      <c r="A405" s="1"/>
      <c r="B405" s="1"/>
      <c r="C405" s="1"/>
      <c r="D405" s="1"/>
      <c r="E405" s="1"/>
      <c r="F405" s="191" t="s">
        <v>39</v>
      </c>
      <c r="G405" s="1"/>
      <c r="H405" s="1"/>
      <c r="I405" s="1"/>
      <c r="J405" s="124">
        <f>SUM(J385:J404)</f>
        <v>195000</v>
      </c>
      <c r="K405" s="1"/>
      <c r="L405" s="1"/>
      <c r="M405" s="1"/>
      <c r="N405" s="1"/>
    </row>
    <row r="406" spans="1:14" x14ac:dyDescent="0.3">
      <c r="A406" s="1"/>
      <c r="B406" s="1"/>
      <c r="C406" s="1"/>
      <c r="D406" s="1"/>
      <c r="E406" s="1"/>
      <c r="F406" s="191" t="s">
        <v>599</v>
      </c>
      <c r="G406" s="1"/>
      <c r="H406" s="1"/>
      <c r="I406" s="1"/>
      <c r="J406" s="124">
        <f>J405*0/100</f>
        <v>0</v>
      </c>
      <c r="K406" s="1"/>
      <c r="L406" s="1"/>
      <c r="M406" s="1"/>
      <c r="N406" s="1"/>
    </row>
    <row r="407" spans="1:14" x14ac:dyDescent="0.3">
      <c r="A407" s="1"/>
      <c r="B407" s="1"/>
      <c r="C407" s="1"/>
      <c r="D407" s="1"/>
      <c r="E407" s="1"/>
      <c r="F407" s="191" t="s">
        <v>41</v>
      </c>
      <c r="G407" s="1"/>
      <c r="H407" s="1"/>
      <c r="I407" s="1"/>
      <c r="J407" s="124">
        <f>SUM(J405:J406)</f>
        <v>195000</v>
      </c>
      <c r="K407" s="1"/>
      <c r="L407" s="1"/>
      <c r="M407" s="1"/>
      <c r="N407" s="1"/>
    </row>
    <row r="408" spans="1:14" x14ac:dyDescent="0.3">
      <c r="A408" s="1"/>
      <c r="B408" s="1"/>
      <c r="C408" s="1"/>
      <c r="D408" s="1"/>
      <c r="E408" s="1"/>
      <c r="F408" s="191"/>
      <c r="G408" s="1"/>
      <c r="H408" s="1"/>
      <c r="I408" s="1"/>
      <c r="J408" s="124"/>
      <c r="K408" s="1"/>
      <c r="L408" s="1"/>
      <c r="M408" s="1"/>
      <c r="N408" s="1"/>
    </row>
    <row r="409" spans="1:14" x14ac:dyDescent="0.3">
      <c r="A409" s="1">
        <v>203</v>
      </c>
      <c r="B409" s="1">
        <v>9200165158</v>
      </c>
      <c r="C409" s="37">
        <v>46117</v>
      </c>
      <c r="D409" s="1" t="s">
        <v>43</v>
      </c>
      <c r="E409" s="1" t="s">
        <v>123</v>
      </c>
      <c r="F409" s="51" t="s">
        <v>2348</v>
      </c>
      <c r="G409" s="1">
        <v>300</v>
      </c>
      <c r="H409" s="1" t="s">
        <v>28</v>
      </c>
      <c r="I409" s="1">
        <v>699</v>
      </c>
      <c r="J409" s="1">
        <f t="shared" si="21"/>
        <v>209700</v>
      </c>
      <c r="K409" s="119">
        <v>66</v>
      </c>
      <c r="L409" s="119" t="s">
        <v>28</v>
      </c>
      <c r="M409" s="119" t="s">
        <v>91</v>
      </c>
      <c r="N409" s="119" t="s">
        <v>2409</v>
      </c>
    </row>
    <row r="410" spans="1:14" x14ac:dyDescent="0.3">
      <c r="A410" s="1"/>
      <c r="B410" s="1"/>
      <c r="C410" s="1"/>
      <c r="D410" s="1"/>
      <c r="E410" s="1" t="s">
        <v>123</v>
      </c>
      <c r="F410" s="51" t="s">
        <v>2349</v>
      </c>
      <c r="G410" s="1">
        <v>300</v>
      </c>
      <c r="H410" s="1" t="s">
        <v>28</v>
      </c>
      <c r="I410" s="1">
        <v>1926</v>
      </c>
      <c r="J410" s="1">
        <f t="shared" si="21"/>
        <v>577800</v>
      </c>
      <c r="K410" s="119">
        <v>300</v>
      </c>
      <c r="L410" s="119" t="s">
        <v>28</v>
      </c>
      <c r="M410" s="119" t="s">
        <v>91</v>
      </c>
      <c r="N410" s="119" t="s">
        <v>2363</v>
      </c>
    </row>
    <row r="411" spans="1:14" ht="37.799999999999997" x14ac:dyDescent="0.3">
      <c r="A411" s="1"/>
      <c r="B411" s="1"/>
      <c r="C411" s="1"/>
      <c r="D411" s="1"/>
      <c r="E411" s="1" t="s">
        <v>123</v>
      </c>
      <c r="F411" s="51" t="s">
        <v>2350</v>
      </c>
      <c r="G411" s="1">
        <v>40</v>
      </c>
      <c r="H411" s="1" t="s">
        <v>510</v>
      </c>
      <c r="I411" s="1">
        <v>1275</v>
      </c>
      <c r="J411" s="1">
        <f t="shared" si="21"/>
        <v>51000</v>
      </c>
      <c r="K411" s="119">
        <v>3</v>
      </c>
      <c r="L411" s="119" t="s">
        <v>510</v>
      </c>
      <c r="M411" s="119" t="s">
        <v>91</v>
      </c>
      <c r="N411" s="119" t="s">
        <v>2363</v>
      </c>
    </row>
    <row r="412" spans="1:14" x14ac:dyDescent="0.3">
      <c r="A412" s="1"/>
      <c r="B412" s="1"/>
      <c r="C412" s="1"/>
      <c r="D412" s="1"/>
      <c r="E412" s="1"/>
      <c r="F412" s="191" t="s">
        <v>39</v>
      </c>
      <c r="G412" s="1"/>
      <c r="H412" s="1"/>
      <c r="I412" s="1"/>
      <c r="J412" s="124">
        <f>SUM(J409:J411)</f>
        <v>838500</v>
      </c>
      <c r="K412" s="1"/>
      <c r="L412" s="1"/>
      <c r="M412" s="1"/>
      <c r="N412" s="1"/>
    </row>
    <row r="413" spans="1:14" x14ac:dyDescent="0.3">
      <c r="A413" s="1"/>
      <c r="B413" s="1"/>
      <c r="C413" s="1"/>
      <c r="D413" s="1"/>
      <c r="E413" s="1"/>
      <c r="F413" s="191" t="s">
        <v>599</v>
      </c>
      <c r="G413" s="1"/>
      <c r="H413" s="1"/>
      <c r="I413" s="1"/>
      <c r="J413" s="124">
        <f>J412*0/100</f>
        <v>0</v>
      </c>
      <c r="K413" s="1"/>
      <c r="L413" s="1"/>
      <c r="M413" s="1"/>
      <c r="N413" s="1"/>
    </row>
    <row r="414" spans="1:14" x14ac:dyDescent="0.3">
      <c r="A414" s="1"/>
      <c r="B414" s="1"/>
      <c r="C414" s="1"/>
      <c r="D414" s="1"/>
      <c r="E414" s="1"/>
      <c r="F414" s="191" t="s">
        <v>41</v>
      </c>
      <c r="G414" s="1"/>
      <c r="H414" s="1"/>
      <c r="I414" s="1"/>
      <c r="J414" s="124">
        <f>SUM(J412:J413)</f>
        <v>838500</v>
      </c>
      <c r="K414" s="1"/>
      <c r="L414" s="1"/>
      <c r="M414" s="1"/>
      <c r="N414" s="1"/>
    </row>
    <row r="415" spans="1:14" x14ac:dyDescent="0.3">
      <c r="A415" s="1"/>
      <c r="B415" s="1"/>
      <c r="C415" s="1"/>
      <c r="D415" s="1"/>
      <c r="E415" s="1"/>
      <c r="F415" s="191"/>
      <c r="G415" s="1"/>
      <c r="H415" s="1"/>
      <c r="I415" s="1"/>
      <c r="J415" s="124"/>
      <c r="K415" s="1"/>
      <c r="L415" s="1"/>
      <c r="M415" s="1"/>
      <c r="N415" s="1"/>
    </row>
    <row r="416" spans="1:14" ht="25.2" x14ac:dyDescent="0.3">
      <c r="A416" s="1">
        <v>204</v>
      </c>
      <c r="B416" s="1">
        <v>9200165185</v>
      </c>
      <c r="C416" s="37">
        <v>46117</v>
      </c>
      <c r="D416" s="1" t="s">
        <v>300</v>
      </c>
      <c r="E416" s="1" t="s">
        <v>123</v>
      </c>
      <c r="F416" s="51" t="s">
        <v>2318</v>
      </c>
      <c r="G416" s="1">
        <v>60</v>
      </c>
      <c r="H416" s="1" t="s">
        <v>111</v>
      </c>
      <c r="I416" s="1">
        <v>266</v>
      </c>
      <c r="J416" s="1">
        <f t="shared" ref="J416:J423" si="22">G416*I416</f>
        <v>15960</v>
      </c>
      <c r="K416" s="1"/>
      <c r="L416" s="1"/>
      <c r="M416" s="1"/>
      <c r="N416" s="1"/>
    </row>
    <row r="417" spans="1:14" ht="37.799999999999997" x14ac:dyDescent="0.3">
      <c r="A417" s="1"/>
      <c r="B417" s="1"/>
      <c r="C417" s="1"/>
      <c r="D417" s="1"/>
      <c r="E417" s="1" t="s">
        <v>123</v>
      </c>
      <c r="F417" s="51" t="s">
        <v>2319</v>
      </c>
      <c r="G417" s="1">
        <v>40</v>
      </c>
      <c r="H417" s="1" t="s">
        <v>111</v>
      </c>
      <c r="I417" s="1">
        <v>342</v>
      </c>
      <c r="J417" s="1">
        <f t="shared" si="22"/>
        <v>13680</v>
      </c>
      <c r="K417" s="1"/>
      <c r="L417" s="1"/>
      <c r="M417" s="1"/>
      <c r="N417" s="1"/>
    </row>
    <row r="418" spans="1:14" ht="25.2" x14ac:dyDescent="0.3">
      <c r="A418" s="1"/>
      <c r="B418" s="1"/>
      <c r="C418" s="1"/>
      <c r="D418" s="1"/>
      <c r="E418" s="1" t="s">
        <v>123</v>
      </c>
      <c r="F418" s="51" t="s">
        <v>2320</v>
      </c>
      <c r="G418" s="1">
        <v>100</v>
      </c>
      <c r="H418" s="1" t="s">
        <v>111</v>
      </c>
      <c r="I418" s="1">
        <v>130</v>
      </c>
      <c r="J418" s="1">
        <f t="shared" si="22"/>
        <v>13000</v>
      </c>
      <c r="K418" s="1"/>
      <c r="L418" s="1"/>
      <c r="M418" s="1"/>
      <c r="N418" s="1"/>
    </row>
    <row r="419" spans="1:14" x14ac:dyDescent="0.3">
      <c r="A419" s="1"/>
      <c r="B419" s="1"/>
      <c r="C419" s="1"/>
      <c r="D419" s="1"/>
      <c r="E419" s="1" t="s">
        <v>123</v>
      </c>
      <c r="F419" s="26" t="s">
        <v>2321</v>
      </c>
      <c r="G419" s="1">
        <v>1</v>
      </c>
      <c r="H419" s="1" t="s">
        <v>28</v>
      </c>
      <c r="I419" s="1">
        <v>1758</v>
      </c>
      <c r="J419" s="1">
        <f t="shared" si="22"/>
        <v>1758</v>
      </c>
      <c r="K419" s="1"/>
      <c r="L419" s="1"/>
      <c r="M419" s="1"/>
      <c r="N419" s="1"/>
    </row>
    <row r="420" spans="1:14" ht="25.2" x14ac:dyDescent="0.3">
      <c r="A420" s="1"/>
      <c r="B420" s="1"/>
      <c r="C420" s="1"/>
      <c r="D420" s="1"/>
      <c r="E420" s="1" t="s">
        <v>123</v>
      </c>
      <c r="F420" s="51" t="s">
        <v>2322</v>
      </c>
      <c r="G420" s="1">
        <v>15</v>
      </c>
      <c r="H420" s="1" t="s">
        <v>252</v>
      </c>
      <c r="I420" s="1">
        <v>1045</v>
      </c>
      <c r="J420" s="1">
        <f t="shared" si="22"/>
        <v>15675</v>
      </c>
      <c r="K420" s="1"/>
      <c r="L420" s="1"/>
      <c r="M420" s="1"/>
      <c r="N420" s="1"/>
    </row>
    <row r="421" spans="1:14" x14ac:dyDescent="0.3">
      <c r="A421" s="1"/>
      <c r="B421" s="1"/>
      <c r="C421" s="1"/>
      <c r="D421" s="1"/>
      <c r="E421" s="1" t="s">
        <v>123</v>
      </c>
      <c r="F421" s="51" t="s">
        <v>2323</v>
      </c>
      <c r="G421" s="1">
        <v>100</v>
      </c>
      <c r="H421" s="1" t="s">
        <v>111</v>
      </c>
      <c r="I421" s="1">
        <v>40</v>
      </c>
      <c r="J421" s="1">
        <f t="shared" si="22"/>
        <v>4000</v>
      </c>
      <c r="K421" s="1"/>
      <c r="L421" s="1"/>
      <c r="M421" s="1"/>
      <c r="N421" s="1"/>
    </row>
    <row r="422" spans="1:14" x14ac:dyDescent="0.3">
      <c r="A422" s="1"/>
      <c r="B422" s="1"/>
      <c r="C422" s="1"/>
      <c r="D422" s="1"/>
      <c r="E422" s="1" t="s">
        <v>123</v>
      </c>
      <c r="F422" s="26" t="s">
        <v>2324</v>
      </c>
      <c r="G422" s="1">
        <v>100</v>
      </c>
      <c r="H422" s="1" t="s">
        <v>111</v>
      </c>
      <c r="I422" s="1">
        <v>80</v>
      </c>
      <c r="J422" s="1">
        <f t="shared" si="22"/>
        <v>8000</v>
      </c>
      <c r="K422" s="1"/>
      <c r="L422" s="1"/>
      <c r="M422" s="1"/>
      <c r="N422" s="1"/>
    </row>
    <row r="423" spans="1:14" x14ac:dyDescent="0.3">
      <c r="A423" s="1"/>
      <c r="B423" s="1"/>
      <c r="C423" s="1"/>
      <c r="D423" s="1"/>
      <c r="E423" s="1" t="s">
        <v>123</v>
      </c>
      <c r="F423" s="26" t="s">
        <v>2325</v>
      </c>
      <c r="G423" s="1">
        <v>1</v>
      </c>
      <c r="H423" s="1" t="s">
        <v>2326</v>
      </c>
      <c r="I423" s="1">
        <v>2500</v>
      </c>
      <c r="J423" s="1">
        <f t="shared" si="22"/>
        <v>2500</v>
      </c>
      <c r="K423" s="1"/>
      <c r="L423" s="1"/>
      <c r="M423" s="1"/>
      <c r="N423" s="1"/>
    </row>
    <row r="424" spans="1:14" x14ac:dyDescent="0.3">
      <c r="A424" s="1"/>
      <c r="B424" s="1"/>
      <c r="C424" s="1"/>
      <c r="D424" s="1"/>
      <c r="E424" s="1"/>
      <c r="F424" s="191" t="s">
        <v>39</v>
      </c>
      <c r="G424" s="1"/>
      <c r="H424" s="1"/>
      <c r="I424" s="1"/>
      <c r="J424" s="124">
        <f>SUM(J416:J423)</f>
        <v>74573</v>
      </c>
      <c r="K424" s="1"/>
      <c r="L424" s="1"/>
      <c r="M424" s="1"/>
      <c r="N424" s="1"/>
    </row>
    <row r="425" spans="1:14" x14ac:dyDescent="0.3">
      <c r="A425" s="1"/>
      <c r="B425" s="1"/>
      <c r="C425" s="1"/>
      <c r="D425" s="1"/>
      <c r="E425" s="1"/>
      <c r="F425" s="191" t="s">
        <v>599</v>
      </c>
      <c r="G425" s="1"/>
      <c r="H425" s="1"/>
      <c r="I425" s="1"/>
      <c r="J425" s="124">
        <f>J424*18/100</f>
        <v>13423.14</v>
      </c>
      <c r="K425" s="1"/>
      <c r="L425" s="1"/>
      <c r="M425" s="1"/>
      <c r="N425" s="1"/>
    </row>
    <row r="426" spans="1:14" x14ac:dyDescent="0.3">
      <c r="A426" s="1"/>
      <c r="B426" s="1"/>
      <c r="C426" s="1"/>
      <c r="D426" s="1"/>
      <c r="E426" s="1"/>
      <c r="F426" s="191" t="s">
        <v>41</v>
      </c>
      <c r="G426" s="1"/>
      <c r="H426" s="1"/>
      <c r="I426" s="1"/>
      <c r="J426" s="124">
        <f>SUM(J424:J425)</f>
        <v>87996.14</v>
      </c>
      <c r="K426" s="1"/>
      <c r="L426" s="1"/>
      <c r="M426" s="1"/>
      <c r="N426" s="1"/>
    </row>
    <row r="427" spans="1:14" x14ac:dyDescent="0.3">
      <c r="A427" s="1"/>
      <c r="B427" s="1"/>
      <c r="C427" s="1"/>
      <c r="D427" s="1"/>
      <c r="E427" s="1"/>
      <c r="F427" s="191"/>
      <c r="G427" s="1"/>
      <c r="H427" s="1"/>
      <c r="I427" s="1"/>
      <c r="J427" s="124"/>
      <c r="K427" s="1"/>
      <c r="L427" s="1"/>
      <c r="M427" s="1"/>
      <c r="N427" s="1"/>
    </row>
    <row r="428" spans="1:14" ht="63" x14ac:dyDescent="0.3">
      <c r="A428" s="1">
        <v>205</v>
      </c>
      <c r="B428" s="1">
        <v>9200165793</v>
      </c>
      <c r="C428" s="37">
        <v>46331</v>
      </c>
      <c r="D428" s="1" t="s">
        <v>300</v>
      </c>
      <c r="E428" s="1" t="s">
        <v>123</v>
      </c>
      <c r="F428" s="51" t="s">
        <v>2334</v>
      </c>
      <c r="G428" s="1">
        <v>20</v>
      </c>
      <c r="H428" s="1" t="s">
        <v>252</v>
      </c>
      <c r="I428" s="1">
        <v>1450</v>
      </c>
      <c r="J428" s="1">
        <f t="shared" si="21"/>
        <v>29000</v>
      </c>
      <c r="K428" s="1"/>
      <c r="L428" s="1"/>
      <c r="M428" s="1"/>
      <c r="N428" s="1"/>
    </row>
    <row r="429" spans="1:14" x14ac:dyDescent="0.3">
      <c r="A429" s="1"/>
      <c r="B429" s="1"/>
      <c r="C429" s="1"/>
      <c r="D429" s="1"/>
      <c r="E429" s="1" t="s">
        <v>123</v>
      </c>
      <c r="F429" s="26" t="s">
        <v>2335</v>
      </c>
      <c r="G429" s="1">
        <v>6</v>
      </c>
      <c r="H429" s="1" t="s">
        <v>308</v>
      </c>
      <c r="I429" s="1">
        <v>400</v>
      </c>
      <c r="J429" s="1">
        <f t="shared" si="21"/>
        <v>2400</v>
      </c>
      <c r="K429" s="1"/>
      <c r="L429" s="1"/>
      <c r="M429" s="1"/>
      <c r="N429" s="1"/>
    </row>
    <row r="430" spans="1:14" x14ac:dyDescent="0.3">
      <c r="A430" s="1"/>
      <c r="B430" s="1"/>
      <c r="C430" s="1"/>
      <c r="D430" s="1"/>
      <c r="E430" s="1" t="s">
        <v>123</v>
      </c>
      <c r="F430" s="26" t="s">
        <v>2336</v>
      </c>
      <c r="G430" s="1">
        <v>2</v>
      </c>
      <c r="H430" s="1" t="s">
        <v>28</v>
      </c>
      <c r="I430" s="1">
        <v>550</v>
      </c>
      <c r="J430" s="1">
        <f t="shared" si="21"/>
        <v>1100</v>
      </c>
      <c r="K430" s="1"/>
      <c r="L430" s="1"/>
      <c r="M430" s="1"/>
      <c r="N430" s="1"/>
    </row>
    <row r="431" spans="1:14" x14ac:dyDescent="0.3">
      <c r="A431" s="1"/>
      <c r="B431" s="1"/>
      <c r="C431" s="1"/>
      <c r="D431" s="1"/>
      <c r="E431" s="1" t="s">
        <v>123</v>
      </c>
      <c r="F431" s="26" t="s">
        <v>2337</v>
      </c>
      <c r="G431" s="1">
        <v>1</v>
      </c>
      <c r="H431" s="1" t="s">
        <v>87</v>
      </c>
      <c r="I431" s="1">
        <v>3800</v>
      </c>
      <c r="J431" s="1">
        <f t="shared" si="21"/>
        <v>3800</v>
      </c>
      <c r="K431" s="1"/>
      <c r="L431" s="1"/>
      <c r="M431" s="1"/>
      <c r="N431" s="1"/>
    </row>
    <row r="432" spans="1:14" x14ac:dyDescent="0.3">
      <c r="A432" s="1"/>
      <c r="B432" s="1"/>
      <c r="C432" s="1"/>
      <c r="D432" s="1"/>
      <c r="E432" s="1"/>
      <c r="F432" s="191" t="s">
        <v>39</v>
      </c>
      <c r="G432" s="1"/>
      <c r="H432" s="1"/>
      <c r="I432" s="1"/>
      <c r="J432" s="124">
        <f>SUM(J428:J431)</f>
        <v>36300</v>
      </c>
      <c r="K432" s="1"/>
      <c r="L432" s="1"/>
      <c r="M432" s="1"/>
      <c r="N432" s="1"/>
    </row>
    <row r="433" spans="1:15" x14ac:dyDescent="0.3">
      <c r="A433" s="1"/>
      <c r="B433" s="1"/>
      <c r="C433" s="1"/>
      <c r="D433" s="1"/>
      <c r="E433" s="1"/>
      <c r="F433" s="191" t="s">
        <v>187</v>
      </c>
      <c r="G433" s="1"/>
      <c r="H433" s="1"/>
      <c r="I433" s="1"/>
      <c r="J433" s="124">
        <f>J432*18/100</f>
        <v>6534</v>
      </c>
      <c r="K433" s="1"/>
      <c r="L433" s="1"/>
      <c r="M433" s="1"/>
      <c r="N433" s="1"/>
    </row>
    <row r="434" spans="1:15" x14ac:dyDescent="0.3">
      <c r="A434" s="1"/>
      <c r="B434" s="1"/>
      <c r="C434" s="1"/>
      <c r="D434" s="1"/>
      <c r="E434" s="1"/>
      <c r="F434" s="191" t="s">
        <v>41</v>
      </c>
      <c r="G434" s="1"/>
      <c r="H434" s="1"/>
      <c r="I434" s="1"/>
      <c r="J434" s="124">
        <f>SUM(J432:J433)</f>
        <v>42834</v>
      </c>
      <c r="K434" s="1"/>
      <c r="L434" s="1"/>
      <c r="M434" s="1"/>
      <c r="N434" s="1"/>
    </row>
    <row r="435" spans="1:15" x14ac:dyDescent="0.3">
      <c r="A435" s="6"/>
      <c r="B435" s="6"/>
      <c r="C435" s="6"/>
      <c r="D435" s="6"/>
      <c r="E435" s="6"/>
      <c r="F435" s="193"/>
      <c r="G435" s="6"/>
      <c r="H435" s="6"/>
      <c r="I435" s="6"/>
      <c r="J435" s="190"/>
      <c r="K435" s="6"/>
      <c r="L435" s="6"/>
      <c r="M435" s="6"/>
      <c r="N435" s="6"/>
    </row>
    <row r="436" spans="1:15" x14ac:dyDescent="0.3">
      <c r="A436" s="6"/>
      <c r="B436" s="6"/>
      <c r="C436" s="6"/>
      <c r="D436" s="6"/>
      <c r="E436" s="6"/>
      <c r="F436" s="193"/>
      <c r="G436" s="6"/>
      <c r="H436" s="6"/>
      <c r="I436" s="6"/>
      <c r="J436" s="190"/>
      <c r="K436" s="6"/>
      <c r="L436" s="6"/>
      <c r="M436" s="6"/>
      <c r="N436" s="6"/>
      <c r="O436" t="s">
        <v>2435</v>
      </c>
    </row>
    <row r="437" spans="1:15" x14ac:dyDescent="0.3">
      <c r="A437" s="85">
        <v>206</v>
      </c>
      <c r="B437" s="85">
        <v>9200165795</v>
      </c>
      <c r="C437" s="94">
        <v>46331</v>
      </c>
      <c r="D437" s="85" t="s">
        <v>43</v>
      </c>
      <c r="E437" s="85" t="s">
        <v>123</v>
      </c>
      <c r="F437" s="160" t="s">
        <v>2339</v>
      </c>
      <c r="G437" s="85">
        <v>2</v>
      </c>
      <c r="H437" s="85" t="s">
        <v>28</v>
      </c>
      <c r="I437" s="85">
        <v>8200</v>
      </c>
      <c r="J437" s="85">
        <f t="shared" ref="J437:J439" si="23">G437*I437</f>
        <v>16400</v>
      </c>
      <c r="K437" s="85">
        <v>2</v>
      </c>
      <c r="L437" s="85" t="s">
        <v>28</v>
      </c>
      <c r="M437" s="85" t="s">
        <v>91</v>
      </c>
      <c r="N437" s="85" t="s">
        <v>2413</v>
      </c>
      <c r="O437" s="119">
        <v>1</v>
      </c>
    </row>
    <row r="438" spans="1:15" x14ac:dyDescent="0.3">
      <c r="A438" s="6"/>
      <c r="B438" s="6"/>
      <c r="C438" s="6"/>
      <c r="D438" s="6"/>
      <c r="E438" s="85" t="s">
        <v>123</v>
      </c>
      <c r="F438" s="160" t="s">
        <v>2340</v>
      </c>
      <c r="G438" s="85">
        <v>2</v>
      </c>
      <c r="H438" s="85" t="s">
        <v>28</v>
      </c>
      <c r="I438" s="85">
        <v>6800</v>
      </c>
      <c r="J438" s="85">
        <f t="shared" si="23"/>
        <v>13600</v>
      </c>
      <c r="K438" s="85">
        <v>2</v>
      </c>
      <c r="L438" s="85" t="s">
        <v>28</v>
      </c>
      <c r="M438" s="85" t="s">
        <v>91</v>
      </c>
      <c r="N438" s="85" t="s">
        <v>2413</v>
      </c>
      <c r="O438" s="119">
        <v>1</v>
      </c>
    </row>
    <row r="439" spans="1:15" x14ac:dyDescent="0.3">
      <c r="A439" s="6"/>
      <c r="B439" s="6"/>
      <c r="C439" s="6"/>
      <c r="D439" s="6"/>
      <c r="E439" s="85" t="s">
        <v>123</v>
      </c>
      <c r="F439" s="160" t="s">
        <v>2344</v>
      </c>
      <c r="G439" s="85">
        <v>7</v>
      </c>
      <c r="H439" s="85" t="s">
        <v>28</v>
      </c>
      <c r="I439" s="85">
        <v>1400</v>
      </c>
      <c r="J439" s="85">
        <f t="shared" si="23"/>
        <v>9800</v>
      </c>
      <c r="K439" s="85"/>
      <c r="L439" s="85"/>
      <c r="M439" s="85"/>
      <c r="N439" s="85"/>
      <c r="O439" s="119">
        <v>5</v>
      </c>
    </row>
    <row r="440" spans="1:15" x14ac:dyDescent="0.3">
      <c r="A440" s="6"/>
      <c r="B440" s="6"/>
      <c r="C440" s="6"/>
      <c r="D440" s="6"/>
      <c r="E440" s="6"/>
      <c r="F440" s="193"/>
      <c r="G440" s="6"/>
      <c r="H440" s="6"/>
      <c r="I440" s="6"/>
      <c r="J440" s="190"/>
      <c r="K440" s="6"/>
      <c r="L440" s="6"/>
      <c r="M440" s="6"/>
      <c r="N440" s="6"/>
    </row>
    <row r="441" spans="1:15" x14ac:dyDescent="0.3">
      <c r="A441" s="6"/>
      <c r="B441" s="6"/>
      <c r="C441" s="6"/>
      <c r="D441" s="6"/>
      <c r="E441" s="6"/>
      <c r="F441" s="193"/>
      <c r="G441" s="6"/>
      <c r="H441" s="6"/>
      <c r="I441" s="6"/>
      <c r="J441" s="190"/>
      <c r="K441" s="6"/>
      <c r="L441" s="6"/>
      <c r="M441" s="6"/>
      <c r="N441" s="6"/>
    </row>
    <row r="442" spans="1:15" ht="25.2" x14ac:dyDescent="0.3">
      <c r="A442" s="1">
        <v>209</v>
      </c>
      <c r="B442" s="1">
        <v>9200165973</v>
      </c>
      <c r="C442" s="1" t="s">
        <v>2356</v>
      </c>
      <c r="D442" s="1" t="s">
        <v>373</v>
      </c>
      <c r="E442" s="1" t="s">
        <v>123</v>
      </c>
      <c r="F442" s="51" t="s">
        <v>2357</v>
      </c>
      <c r="G442" s="1">
        <v>2550</v>
      </c>
      <c r="H442" s="1" t="s">
        <v>111</v>
      </c>
      <c r="I442" s="1">
        <v>198</v>
      </c>
      <c r="J442" s="1">
        <f t="shared" ref="J442:J476" si="24">G442*I442</f>
        <v>504900</v>
      </c>
      <c r="K442" s="58">
        <v>90</v>
      </c>
      <c r="L442" s="58" t="s">
        <v>28</v>
      </c>
      <c r="M442" s="58" t="s">
        <v>91</v>
      </c>
      <c r="N442" s="58" t="s">
        <v>2464</v>
      </c>
    </row>
    <row r="443" spans="1:15" x14ac:dyDescent="0.3">
      <c r="A443" s="1"/>
      <c r="B443" s="1"/>
      <c r="C443" s="1"/>
      <c r="D443" s="1"/>
      <c r="E443" s="1" t="s">
        <v>123</v>
      </c>
      <c r="F443" s="26" t="s">
        <v>2358</v>
      </c>
      <c r="G443" s="1">
        <v>2550</v>
      </c>
      <c r="H443" s="1" t="s">
        <v>111</v>
      </c>
      <c r="I443" s="1">
        <v>10</v>
      </c>
      <c r="J443" s="1">
        <f t="shared" si="24"/>
        <v>25500</v>
      </c>
    </row>
    <row r="444" spans="1:15" x14ac:dyDescent="0.3">
      <c r="A444" s="1"/>
      <c r="B444" s="1"/>
      <c r="C444" s="1"/>
      <c r="D444" s="1"/>
      <c r="E444" s="1" t="s">
        <v>123</v>
      </c>
      <c r="F444" s="26" t="s">
        <v>2359</v>
      </c>
      <c r="G444" s="1">
        <v>2550</v>
      </c>
      <c r="H444" s="1" t="s">
        <v>111</v>
      </c>
      <c r="I444" s="1">
        <v>10</v>
      </c>
      <c r="J444" s="1">
        <f t="shared" si="24"/>
        <v>25500</v>
      </c>
    </row>
    <row r="445" spans="1:15" x14ac:dyDescent="0.3">
      <c r="A445" s="1"/>
      <c r="B445" s="1"/>
      <c r="C445" s="1"/>
      <c r="D445" s="1"/>
      <c r="E445" s="1" t="s">
        <v>123</v>
      </c>
      <c r="F445" s="26" t="s">
        <v>2360</v>
      </c>
      <c r="G445" s="1">
        <v>2550</v>
      </c>
      <c r="H445" s="1" t="s">
        <v>111</v>
      </c>
      <c r="I445" s="1">
        <v>5.5</v>
      </c>
      <c r="J445" s="1">
        <f t="shared" si="24"/>
        <v>14025</v>
      </c>
    </row>
    <row r="446" spans="1:15" x14ac:dyDescent="0.3">
      <c r="A446" s="1"/>
      <c r="B446" s="1"/>
      <c r="C446" s="1"/>
      <c r="D446" s="1"/>
      <c r="E446" s="1"/>
      <c r="F446" s="191" t="s">
        <v>39</v>
      </c>
      <c r="G446" s="1"/>
      <c r="H446" s="1"/>
      <c r="I446" s="1"/>
      <c r="J446" s="124">
        <f>SUM(J442:J445)</f>
        <v>569925</v>
      </c>
    </row>
    <row r="447" spans="1:15" x14ac:dyDescent="0.3">
      <c r="A447" s="1"/>
      <c r="B447" s="1"/>
      <c r="C447" s="1"/>
      <c r="D447" s="1"/>
      <c r="E447" s="1"/>
      <c r="F447" s="191" t="s">
        <v>599</v>
      </c>
      <c r="G447" s="1"/>
      <c r="H447" s="1"/>
      <c r="I447" s="1"/>
      <c r="J447" s="124">
        <f>J446*0/100</f>
        <v>0</v>
      </c>
    </row>
    <row r="448" spans="1:15" x14ac:dyDescent="0.3">
      <c r="A448" s="1"/>
      <c r="B448" s="1"/>
      <c r="C448" s="1"/>
      <c r="D448" s="1"/>
      <c r="E448" s="1"/>
      <c r="F448" s="191" t="s">
        <v>41</v>
      </c>
      <c r="G448" s="1"/>
      <c r="H448" s="1"/>
      <c r="I448" s="1"/>
      <c r="J448" s="124">
        <f>SUM(J446:J447)</f>
        <v>569925</v>
      </c>
    </row>
    <row r="449" spans="1:10" x14ac:dyDescent="0.3">
      <c r="A449" s="1"/>
      <c r="B449" s="1"/>
      <c r="C449" s="1"/>
      <c r="D449" s="1"/>
      <c r="E449" s="1"/>
      <c r="F449" s="191"/>
      <c r="G449" s="1"/>
      <c r="H449" s="1"/>
      <c r="I449" s="1"/>
      <c r="J449" s="124"/>
    </row>
    <row r="450" spans="1:10" x14ac:dyDescent="0.3">
      <c r="A450" s="1">
        <v>210</v>
      </c>
      <c r="B450" s="1">
        <v>9200166399</v>
      </c>
      <c r="C450" s="1" t="s">
        <v>2373</v>
      </c>
      <c r="D450" s="1" t="s">
        <v>43</v>
      </c>
      <c r="E450" s="1" t="s">
        <v>123</v>
      </c>
      <c r="F450" s="26" t="s">
        <v>2374</v>
      </c>
      <c r="G450" s="1">
        <v>4</v>
      </c>
      <c r="H450" s="1" t="s">
        <v>28</v>
      </c>
      <c r="I450" s="1">
        <v>3850</v>
      </c>
      <c r="J450" s="1">
        <f t="shared" si="24"/>
        <v>15400</v>
      </c>
    </row>
    <row r="451" spans="1:10" x14ac:dyDescent="0.3">
      <c r="A451" s="1"/>
      <c r="B451" s="1"/>
      <c r="C451" s="1"/>
      <c r="D451" s="1"/>
      <c r="E451" s="1" t="s">
        <v>123</v>
      </c>
      <c r="F451" s="26" t="s">
        <v>2375</v>
      </c>
      <c r="G451" s="1">
        <v>4</v>
      </c>
      <c r="H451" s="1" t="s">
        <v>28</v>
      </c>
      <c r="I451" s="1">
        <v>3780</v>
      </c>
      <c r="J451" s="1">
        <f t="shared" si="24"/>
        <v>15120</v>
      </c>
    </row>
    <row r="452" spans="1:10" x14ac:dyDescent="0.3">
      <c r="A452" s="1"/>
      <c r="B452" s="1"/>
      <c r="C452" s="1"/>
      <c r="D452" s="1"/>
      <c r="E452" s="1" t="s">
        <v>123</v>
      </c>
      <c r="F452" s="26" t="s">
        <v>2376</v>
      </c>
      <c r="G452" s="1">
        <v>5</v>
      </c>
      <c r="H452" s="1" t="s">
        <v>141</v>
      </c>
      <c r="I452" s="1">
        <v>120</v>
      </c>
      <c r="J452" s="1">
        <f t="shared" si="24"/>
        <v>600</v>
      </c>
    </row>
    <row r="453" spans="1:10" x14ac:dyDescent="0.3">
      <c r="A453" s="1"/>
      <c r="B453" s="1"/>
      <c r="C453" s="1"/>
      <c r="D453" s="1"/>
      <c r="E453" s="1" t="s">
        <v>123</v>
      </c>
      <c r="F453" s="26" t="s">
        <v>2377</v>
      </c>
      <c r="G453" s="1">
        <v>40</v>
      </c>
      <c r="H453" s="1" t="s">
        <v>252</v>
      </c>
      <c r="I453" s="1">
        <v>280</v>
      </c>
      <c r="J453" s="1">
        <f t="shared" si="24"/>
        <v>11200</v>
      </c>
    </row>
    <row r="454" spans="1:10" x14ac:dyDescent="0.3">
      <c r="A454" s="1"/>
      <c r="B454" s="1"/>
      <c r="C454" s="1"/>
      <c r="D454" s="1"/>
      <c r="E454" s="1" t="s">
        <v>123</v>
      </c>
      <c r="F454" s="26" t="s">
        <v>2378</v>
      </c>
      <c r="G454" s="1">
        <v>32</v>
      </c>
      <c r="H454" s="1" t="s">
        <v>28</v>
      </c>
      <c r="I454" s="1">
        <v>325</v>
      </c>
      <c r="J454" s="1">
        <f t="shared" si="24"/>
        <v>10400</v>
      </c>
    </row>
    <row r="455" spans="1:10" x14ac:dyDescent="0.3">
      <c r="A455" s="1"/>
      <c r="B455" s="1"/>
      <c r="C455" s="1"/>
      <c r="D455" s="1"/>
      <c r="E455" s="1" t="s">
        <v>123</v>
      </c>
      <c r="F455" s="51" t="s">
        <v>2379</v>
      </c>
      <c r="G455" s="1">
        <v>2</v>
      </c>
      <c r="H455" s="1" t="s">
        <v>28</v>
      </c>
      <c r="I455" s="1">
        <v>6500</v>
      </c>
      <c r="J455" s="1">
        <f t="shared" si="24"/>
        <v>13000</v>
      </c>
    </row>
    <row r="456" spans="1:10" x14ac:dyDescent="0.3">
      <c r="A456" s="1"/>
      <c r="B456" s="1"/>
      <c r="C456" s="1"/>
      <c r="D456" s="1"/>
      <c r="E456" s="1" t="s">
        <v>123</v>
      </c>
      <c r="F456" s="51" t="s">
        <v>2380</v>
      </c>
      <c r="G456" s="1">
        <v>40</v>
      </c>
      <c r="H456" s="1" t="s">
        <v>252</v>
      </c>
      <c r="I456" s="1">
        <v>325</v>
      </c>
      <c r="J456" s="1">
        <f t="shared" si="24"/>
        <v>13000</v>
      </c>
    </row>
    <row r="457" spans="1:10" x14ac:dyDescent="0.3">
      <c r="A457" s="1"/>
      <c r="B457" s="1"/>
      <c r="C457" s="1"/>
      <c r="D457" s="1"/>
      <c r="E457" s="1" t="s">
        <v>123</v>
      </c>
      <c r="F457" s="26" t="s">
        <v>2381</v>
      </c>
      <c r="G457" s="1">
        <v>40</v>
      </c>
      <c r="H457" s="1" t="s">
        <v>252</v>
      </c>
      <c r="I457" s="1">
        <v>265</v>
      </c>
      <c r="J457" s="1">
        <f t="shared" si="24"/>
        <v>10600</v>
      </c>
    </row>
    <row r="458" spans="1:10" x14ac:dyDescent="0.3">
      <c r="A458" s="1"/>
      <c r="B458" s="1"/>
      <c r="C458" s="1"/>
      <c r="D458" s="1"/>
      <c r="E458" s="1" t="s">
        <v>123</v>
      </c>
      <c r="F458" s="26" t="s">
        <v>2382</v>
      </c>
      <c r="G458" s="1">
        <v>2</v>
      </c>
      <c r="H458" s="1" t="s">
        <v>87</v>
      </c>
      <c r="I458" s="1">
        <v>5200</v>
      </c>
      <c r="J458" s="1">
        <f t="shared" si="24"/>
        <v>10400</v>
      </c>
    </row>
    <row r="459" spans="1:10" x14ac:dyDescent="0.3">
      <c r="A459" s="1"/>
      <c r="B459" s="1"/>
      <c r="C459" s="1"/>
      <c r="D459" s="1"/>
      <c r="E459" s="1" t="s">
        <v>123</v>
      </c>
      <c r="F459" s="26" t="s">
        <v>2383</v>
      </c>
      <c r="G459" s="1">
        <v>2</v>
      </c>
      <c r="H459" s="1" t="s">
        <v>87</v>
      </c>
      <c r="I459" s="1">
        <v>301</v>
      </c>
      <c r="J459" s="1">
        <f t="shared" si="24"/>
        <v>602</v>
      </c>
    </row>
    <row r="460" spans="1:10" x14ac:dyDescent="0.3">
      <c r="A460" s="1"/>
      <c r="B460" s="1"/>
      <c r="C460" s="1"/>
      <c r="D460" s="1"/>
      <c r="E460" s="1" t="s">
        <v>123</v>
      </c>
      <c r="F460" s="26" t="s">
        <v>2384</v>
      </c>
      <c r="G460" s="1">
        <v>225</v>
      </c>
      <c r="H460" s="1" t="s">
        <v>252</v>
      </c>
      <c r="I460" s="1">
        <v>100</v>
      </c>
      <c r="J460" s="1">
        <f t="shared" si="24"/>
        <v>22500</v>
      </c>
    </row>
    <row r="461" spans="1:10" x14ac:dyDescent="0.3">
      <c r="A461" s="1"/>
      <c r="B461" s="1"/>
      <c r="C461" s="1"/>
      <c r="D461" s="1"/>
      <c r="E461" s="1" t="s">
        <v>123</v>
      </c>
      <c r="F461" s="26" t="s">
        <v>2385</v>
      </c>
      <c r="G461" s="1">
        <v>225</v>
      </c>
      <c r="H461" s="1" t="s">
        <v>252</v>
      </c>
      <c r="I461" s="1">
        <v>25</v>
      </c>
      <c r="J461" s="1">
        <f t="shared" si="24"/>
        <v>5625</v>
      </c>
    </row>
    <row r="462" spans="1:10" ht="25.2" x14ac:dyDescent="0.3">
      <c r="A462" s="1"/>
      <c r="B462" s="1"/>
      <c r="C462" s="1"/>
      <c r="D462" s="1"/>
      <c r="E462" s="1" t="s">
        <v>123</v>
      </c>
      <c r="F462" s="51" t="s">
        <v>2386</v>
      </c>
      <c r="G462" s="1">
        <v>4</v>
      </c>
      <c r="H462" s="1" t="s">
        <v>28</v>
      </c>
      <c r="I462" s="1">
        <v>58600</v>
      </c>
      <c r="J462" s="1">
        <f t="shared" si="24"/>
        <v>234400</v>
      </c>
    </row>
    <row r="463" spans="1:10" x14ac:dyDescent="0.3">
      <c r="A463" s="1"/>
      <c r="B463" s="1"/>
      <c r="C463" s="1"/>
      <c r="D463" s="1"/>
      <c r="E463" s="1" t="s">
        <v>123</v>
      </c>
      <c r="F463" s="26" t="s">
        <v>2387</v>
      </c>
      <c r="G463" s="1">
        <v>15</v>
      </c>
      <c r="H463" s="1" t="s">
        <v>28</v>
      </c>
      <c r="I463" s="1">
        <v>850</v>
      </c>
      <c r="J463" s="1">
        <f t="shared" si="24"/>
        <v>12750</v>
      </c>
    </row>
    <row r="464" spans="1:10" x14ac:dyDescent="0.3">
      <c r="A464" s="1"/>
      <c r="B464" s="1"/>
      <c r="C464" s="1"/>
      <c r="D464" s="1"/>
      <c r="E464" s="1" t="s">
        <v>123</v>
      </c>
      <c r="F464" s="26" t="s">
        <v>2388</v>
      </c>
      <c r="G464" s="1">
        <v>2</v>
      </c>
      <c r="H464" s="1" t="s">
        <v>28</v>
      </c>
      <c r="I464" s="1">
        <v>17202</v>
      </c>
      <c r="J464" s="1">
        <f t="shared" si="24"/>
        <v>34404</v>
      </c>
    </row>
    <row r="465" spans="1:10" x14ac:dyDescent="0.3">
      <c r="A465" s="1"/>
      <c r="B465" s="1"/>
      <c r="C465" s="1"/>
      <c r="D465" s="1"/>
      <c r="E465" s="1"/>
      <c r="F465" s="191" t="s">
        <v>39</v>
      </c>
      <c r="G465" s="1"/>
      <c r="H465" s="1"/>
      <c r="I465" s="1"/>
      <c r="J465" s="124">
        <f>SUM(J450:J464)</f>
        <v>410001</v>
      </c>
    </row>
    <row r="466" spans="1:10" x14ac:dyDescent="0.3">
      <c r="A466" s="1"/>
      <c r="B466" s="1"/>
      <c r="C466" s="1"/>
      <c r="D466" s="1"/>
      <c r="E466" s="1"/>
      <c r="F466" s="191" t="s">
        <v>599</v>
      </c>
      <c r="G466" s="1"/>
      <c r="H466" s="1"/>
      <c r="I466" s="1"/>
      <c r="J466" s="124">
        <f>J465*0/100</f>
        <v>0</v>
      </c>
    </row>
    <row r="467" spans="1:10" x14ac:dyDescent="0.3">
      <c r="A467" s="1"/>
      <c r="B467" s="1"/>
      <c r="C467" s="1"/>
      <c r="D467" s="1"/>
      <c r="E467" s="1"/>
      <c r="F467" s="191" t="s">
        <v>41</v>
      </c>
      <c r="G467" s="1"/>
      <c r="H467" s="1"/>
      <c r="I467" s="1"/>
      <c r="J467" s="124">
        <f>SUM(J465:J466)</f>
        <v>410001</v>
      </c>
    </row>
    <row r="468" spans="1:10" x14ac:dyDescent="0.3">
      <c r="A468" s="1"/>
      <c r="B468" s="1"/>
      <c r="C468" s="1"/>
      <c r="D468" s="1"/>
      <c r="E468" s="1"/>
      <c r="F468" s="191"/>
      <c r="G468" s="1"/>
      <c r="H468" s="1"/>
      <c r="I468" s="1"/>
      <c r="J468" s="124"/>
    </row>
    <row r="469" spans="1:10" x14ac:dyDescent="0.3">
      <c r="A469" s="1"/>
      <c r="B469" s="1"/>
      <c r="C469" s="1"/>
      <c r="D469" s="1"/>
      <c r="E469" s="1"/>
      <c r="F469" s="191"/>
      <c r="G469" s="1"/>
      <c r="H469" s="1"/>
      <c r="I469" s="1"/>
      <c r="J469" s="124"/>
    </row>
    <row r="470" spans="1:10" x14ac:dyDescent="0.3">
      <c r="A470" s="1">
        <v>212</v>
      </c>
      <c r="B470" s="1">
        <v>9200166718</v>
      </c>
      <c r="C470" s="1" t="s">
        <v>2410</v>
      </c>
      <c r="D470" s="1" t="s">
        <v>43</v>
      </c>
      <c r="E470" s="1" t="s">
        <v>123</v>
      </c>
      <c r="F470" s="26" t="s">
        <v>2402</v>
      </c>
      <c r="G470" s="1">
        <v>250</v>
      </c>
      <c r="H470" s="1" t="s">
        <v>111</v>
      </c>
      <c r="I470" s="1">
        <v>395</v>
      </c>
      <c r="J470" s="1">
        <f t="shared" si="24"/>
        <v>98750</v>
      </c>
    </row>
    <row r="471" spans="1:10" x14ac:dyDescent="0.3">
      <c r="A471" s="1"/>
      <c r="B471" s="1" t="s">
        <v>2419</v>
      </c>
      <c r="C471" s="1"/>
      <c r="D471" s="1"/>
      <c r="E471" s="1" t="s">
        <v>123</v>
      </c>
      <c r="F471" s="51" t="s">
        <v>2403</v>
      </c>
      <c r="G471" s="1">
        <v>200</v>
      </c>
      <c r="H471" s="1" t="s">
        <v>111</v>
      </c>
      <c r="I471" s="1">
        <v>810</v>
      </c>
      <c r="J471" s="1">
        <f t="shared" si="24"/>
        <v>162000</v>
      </c>
    </row>
    <row r="472" spans="1:10" x14ac:dyDescent="0.3">
      <c r="A472" s="1"/>
      <c r="B472" s="1"/>
      <c r="C472" s="1"/>
      <c r="D472" s="1"/>
      <c r="E472" s="1"/>
      <c r="F472" s="191" t="s">
        <v>39</v>
      </c>
      <c r="G472" s="1"/>
      <c r="H472" s="1"/>
      <c r="I472" s="1"/>
      <c r="J472" s="124">
        <f>SUM(J470:J471)</f>
        <v>260750</v>
      </c>
    </row>
    <row r="473" spans="1:10" x14ac:dyDescent="0.3">
      <c r="A473" s="1"/>
      <c r="B473" s="1"/>
      <c r="C473" s="1"/>
      <c r="D473" s="1"/>
      <c r="E473" s="1"/>
      <c r="F473" s="191" t="s">
        <v>187</v>
      </c>
      <c r="G473" s="1"/>
      <c r="H473" s="1"/>
      <c r="I473" s="1"/>
      <c r="J473" s="124">
        <f>J472*18/100</f>
        <v>46935</v>
      </c>
    </row>
    <row r="474" spans="1:10" x14ac:dyDescent="0.3">
      <c r="A474" s="1"/>
      <c r="B474" s="1"/>
      <c r="C474" s="1"/>
      <c r="D474" s="1"/>
      <c r="E474" s="1"/>
      <c r="F474" s="191" t="s">
        <v>41</v>
      </c>
      <c r="G474" s="1"/>
      <c r="H474" s="1"/>
      <c r="I474" s="1"/>
      <c r="J474" s="124">
        <f>SUM(J472:J473)</f>
        <v>307685</v>
      </c>
    </row>
    <row r="475" spans="1:10" x14ac:dyDescent="0.3">
      <c r="A475" s="1"/>
      <c r="B475" s="1"/>
      <c r="C475" s="1"/>
      <c r="D475" s="1"/>
      <c r="E475" s="1"/>
      <c r="F475" s="26"/>
      <c r="G475" s="1"/>
      <c r="H475" s="1"/>
      <c r="I475" s="1"/>
      <c r="J475" s="1">
        <f t="shared" si="24"/>
        <v>0</v>
      </c>
    </row>
    <row r="476" spans="1:10" ht="50.4" x14ac:dyDescent="0.3">
      <c r="A476" s="1">
        <v>213</v>
      </c>
      <c r="B476" s="1" t="s">
        <v>2425</v>
      </c>
      <c r="C476" s="37">
        <v>46028</v>
      </c>
      <c r="D476" s="26" t="s">
        <v>2426</v>
      </c>
      <c r="E476" s="1" t="s">
        <v>123</v>
      </c>
      <c r="F476" s="51" t="s">
        <v>2427</v>
      </c>
      <c r="G476" s="1">
        <v>176</v>
      </c>
      <c r="H476" s="1" t="s">
        <v>2428</v>
      </c>
      <c r="I476" s="1">
        <v>1689.02</v>
      </c>
      <c r="J476" s="1">
        <f t="shared" si="24"/>
        <v>297267.52</v>
      </c>
    </row>
    <row r="477" spans="1:10" x14ac:dyDescent="0.3">
      <c r="A477" s="1"/>
      <c r="B477" s="1"/>
      <c r="C477" s="1"/>
      <c r="D477" s="1"/>
      <c r="E477" s="1"/>
      <c r="F477" s="191" t="s">
        <v>39</v>
      </c>
      <c r="G477" s="1"/>
      <c r="H477" s="1"/>
      <c r="I477" s="1"/>
      <c r="J477" s="124">
        <f>SUM(J476)</f>
        <v>297267.52</v>
      </c>
    </row>
    <row r="478" spans="1:10" x14ac:dyDescent="0.3">
      <c r="A478" s="1"/>
      <c r="B478" s="1"/>
      <c r="C478" s="1"/>
      <c r="D478" s="1"/>
      <c r="E478" s="1"/>
      <c r="F478" s="191" t="s">
        <v>187</v>
      </c>
      <c r="G478" s="1"/>
      <c r="H478" s="1"/>
      <c r="I478" s="1"/>
      <c r="J478" s="124">
        <f>J477*18/100</f>
        <v>53508.153600000005</v>
      </c>
    </row>
    <row r="479" spans="1:10" x14ac:dyDescent="0.3">
      <c r="A479" s="1"/>
      <c r="B479" s="1"/>
      <c r="C479" s="1"/>
      <c r="D479" s="1"/>
      <c r="E479" s="1"/>
      <c r="F479" s="191" t="s">
        <v>41</v>
      </c>
      <c r="G479" s="1"/>
      <c r="H479" s="1"/>
      <c r="I479" s="1"/>
      <c r="J479" s="124">
        <f>SUM(J477:J478)</f>
        <v>350775.67360000004</v>
      </c>
    </row>
    <row r="481" spans="1:10" ht="37.799999999999997" x14ac:dyDescent="0.3">
      <c r="A481" s="1">
        <v>214</v>
      </c>
      <c r="B481" s="1">
        <v>9200167922</v>
      </c>
      <c r="C481" s="37">
        <v>46240</v>
      </c>
      <c r="D481" s="1" t="s">
        <v>43</v>
      </c>
      <c r="E481" s="1" t="s">
        <v>123</v>
      </c>
      <c r="F481" s="22" t="s">
        <v>2436</v>
      </c>
      <c r="G481" s="1">
        <v>19</v>
      </c>
      <c r="H481" s="1" t="s">
        <v>28</v>
      </c>
      <c r="I481" s="1">
        <v>1200</v>
      </c>
      <c r="J481" s="1">
        <f t="shared" ref="J481" si="25">G481*I481</f>
        <v>22800</v>
      </c>
    </row>
    <row r="482" spans="1:10" x14ac:dyDescent="0.3">
      <c r="A482" s="1"/>
      <c r="B482" s="1"/>
      <c r="C482" s="1"/>
      <c r="D482" s="1"/>
      <c r="E482" s="1"/>
      <c r="F482" s="124" t="s">
        <v>39</v>
      </c>
      <c r="G482" s="1"/>
      <c r="H482" s="1"/>
      <c r="I482" s="1"/>
      <c r="J482" s="124">
        <f>SUM(J481:J481)</f>
        <v>22800</v>
      </c>
    </row>
    <row r="483" spans="1:10" x14ac:dyDescent="0.3">
      <c r="A483" s="1"/>
      <c r="B483" s="1"/>
      <c r="C483" s="1"/>
      <c r="D483" s="1"/>
      <c r="E483" s="1"/>
      <c r="F483" s="124" t="s">
        <v>599</v>
      </c>
      <c r="G483" s="1"/>
      <c r="H483" s="1"/>
      <c r="I483" s="1"/>
      <c r="J483" s="124">
        <f>J482*0/100</f>
        <v>0</v>
      </c>
    </row>
    <row r="484" spans="1:10" x14ac:dyDescent="0.3">
      <c r="A484" s="1"/>
      <c r="B484" s="1"/>
      <c r="C484" s="1"/>
      <c r="D484" s="1"/>
      <c r="E484" s="1"/>
      <c r="F484" s="124" t="s">
        <v>41</v>
      </c>
      <c r="G484" s="1"/>
      <c r="H484" s="1"/>
      <c r="I484" s="1"/>
      <c r="J484" s="124">
        <f>SUM(J482:J483)</f>
        <v>22800</v>
      </c>
    </row>
    <row r="486" spans="1:10" ht="50.4" x14ac:dyDescent="0.3">
      <c r="A486" s="1">
        <v>215</v>
      </c>
      <c r="B486" s="1">
        <v>9200168145</v>
      </c>
      <c r="C486" s="37">
        <v>46301</v>
      </c>
      <c r="D486" s="1" t="s">
        <v>43</v>
      </c>
      <c r="E486" s="1" t="s">
        <v>123</v>
      </c>
      <c r="F486" s="22" t="s">
        <v>2439</v>
      </c>
      <c r="G486" s="1">
        <v>42</v>
      </c>
      <c r="H486" s="1" t="s">
        <v>111</v>
      </c>
      <c r="I486" s="1">
        <v>950</v>
      </c>
      <c r="J486" s="1">
        <f t="shared" ref="J486:J497" si="26">G486*I486</f>
        <v>39900</v>
      </c>
    </row>
    <row r="487" spans="1:10" x14ac:dyDescent="0.3">
      <c r="A487" s="1"/>
      <c r="B487" s="1"/>
      <c r="C487" s="1"/>
      <c r="D487" s="1"/>
      <c r="E487" s="1" t="s">
        <v>123</v>
      </c>
      <c r="F487" s="1" t="s">
        <v>2440</v>
      </c>
      <c r="G487" s="1">
        <v>600</v>
      </c>
      <c r="H487" s="1" t="s">
        <v>111</v>
      </c>
      <c r="I487" s="1">
        <v>30</v>
      </c>
      <c r="J487" s="1">
        <f t="shared" si="26"/>
        <v>18000</v>
      </c>
    </row>
    <row r="488" spans="1:10" x14ac:dyDescent="0.3">
      <c r="A488" s="1"/>
      <c r="B488" s="1"/>
      <c r="C488" s="1"/>
      <c r="D488" s="1"/>
      <c r="E488" s="1"/>
      <c r="F488" s="124" t="s">
        <v>39</v>
      </c>
      <c r="G488" s="1"/>
      <c r="H488" s="1"/>
      <c r="I488" s="1"/>
      <c r="J488" s="124">
        <f>SUM(J486:J487)</f>
        <v>57900</v>
      </c>
    </row>
    <row r="489" spans="1:10" x14ac:dyDescent="0.3">
      <c r="A489" s="1"/>
      <c r="B489" s="1"/>
      <c r="C489" s="1"/>
      <c r="D489" s="1"/>
      <c r="E489" s="1"/>
      <c r="F489" s="124" t="s">
        <v>599</v>
      </c>
      <c r="G489" s="1"/>
      <c r="H489" s="1"/>
      <c r="I489" s="1"/>
      <c r="J489" s="124">
        <f>J488*0/100</f>
        <v>0</v>
      </c>
    </row>
    <row r="490" spans="1:10" x14ac:dyDescent="0.3">
      <c r="A490" s="1"/>
      <c r="B490" s="1"/>
      <c r="C490" s="1"/>
      <c r="D490" s="1"/>
      <c r="E490" s="1"/>
      <c r="F490" s="124" t="s">
        <v>41</v>
      </c>
      <c r="G490" s="1"/>
      <c r="H490" s="1"/>
      <c r="I490" s="1"/>
      <c r="J490" s="124">
        <f>SUM(J488:J489)</f>
        <v>57900</v>
      </c>
    </row>
    <row r="491" spans="1:10" x14ac:dyDescent="0.3">
      <c r="A491" s="1"/>
      <c r="B491" s="1"/>
      <c r="C491" s="1"/>
      <c r="D491" s="1"/>
      <c r="E491" s="1"/>
      <c r="F491" s="1"/>
      <c r="G491" s="1"/>
      <c r="H491" s="1"/>
      <c r="I491" s="1"/>
      <c r="J491" s="1"/>
    </row>
    <row r="492" spans="1:10" ht="37.799999999999997" x14ac:dyDescent="0.3">
      <c r="A492" s="1">
        <v>216</v>
      </c>
      <c r="B492" s="1">
        <v>9200168288</v>
      </c>
      <c r="C492" s="37">
        <v>46362</v>
      </c>
      <c r="D492" s="1" t="s">
        <v>300</v>
      </c>
      <c r="E492" s="1" t="s">
        <v>123</v>
      </c>
      <c r="F492" s="22" t="s">
        <v>2441</v>
      </c>
      <c r="G492" s="1">
        <v>2</v>
      </c>
      <c r="H492" s="1" t="s">
        <v>28</v>
      </c>
      <c r="I492" s="1">
        <v>24500</v>
      </c>
      <c r="J492" s="1">
        <f t="shared" si="26"/>
        <v>49000</v>
      </c>
    </row>
    <row r="493" spans="1:10" ht="25.2" x14ac:dyDescent="0.3">
      <c r="A493" s="1"/>
      <c r="B493" s="1"/>
      <c r="C493" s="1"/>
      <c r="D493" s="1"/>
      <c r="E493" s="1" t="s">
        <v>123</v>
      </c>
      <c r="F493" s="22" t="s">
        <v>2442</v>
      </c>
      <c r="G493" s="1">
        <v>34</v>
      </c>
      <c r="H493" s="1" t="s">
        <v>252</v>
      </c>
      <c r="I493" s="1">
        <v>350</v>
      </c>
      <c r="J493" s="1">
        <f t="shared" si="26"/>
        <v>11900</v>
      </c>
    </row>
    <row r="494" spans="1:10" x14ac:dyDescent="0.3">
      <c r="A494" s="1"/>
      <c r="B494" s="1"/>
      <c r="C494" s="1"/>
      <c r="D494" s="1"/>
      <c r="E494" s="1" t="s">
        <v>123</v>
      </c>
      <c r="F494" s="1" t="s">
        <v>2443</v>
      </c>
      <c r="G494" s="1">
        <v>15</v>
      </c>
      <c r="H494" s="1" t="s">
        <v>28</v>
      </c>
      <c r="I494" s="1">
        <v>1200</v>
      </c>
      <c r="J494" s="1">
        <f t="shared" si="26"/>
        <v>18000</v>
      </c>
    </row>
    <row r="495" spans="1:10" x14ac:dyDescent="0.3">
      <c r="A495" s="1"/>
      <c r="B495" s="1"/>
      <c r="C495" s="1"/>
      <c r="D495" s="1"/>
      <c r="E495" s="1" t="s">
        <v>123</v>
      </c>
      <c r="F495" s="1" t="s">
        <v>2444</v>
      </c>
      <c r="G495" s="1">
        <v>100</v>
      </c>
      <c r="H495" s="1" t="s">
        <v>60</v>
      </c>
      <c r="I495" s="1">
        <v>210</v>
      </c>
      <c r="J495" s="1">
        <f t="shared" si="26"/>
        <v>21000</v>
      </c>
    </row>
    <row r="496" spans="1:10" ht="37.799999999999997" x14ac:dyDescent="0.3">
      <c r="A496" s="1"/>
      <c r="B496" s="1"/>
      <c r="C496" s="1"/>
      <c r="D496" s="1"/>
      <c r="E496" s="1" t="s">
        <v>123</v>
      </c>
      <c r="F496" s="22" t="s">
        <v>2445</v>
      </c>
      <c r="G496" s="1">
        <v>20</v>
      </c>
      <c r="H496" s="1" t="s">
        <v>111</v>
      </c>
      <c r="I496" s="1">
        <v>550</v>
      </c>
      <c r="J496" s="1">
        <f t="shared" si="26"/>
        <v>11000</v>
      </c>
    </row>
    <row r="497" spans="1:10" ht="25.2" x14ac:dyDescent="0.3">
      <c r="A497" s="1"/>
      <c r="B497" s="1"/>
      <c r="C497" s="1"/>
      <c r="D497" s="1"/>
      <c r="E497" s="1"/>
      <c r="F497" s="22" t="s">
        <v>2446</v>
      </c>
      <c r="G497" s="1">
        <v>2000</v>
      </c>
      <c r="H497" s="1" t="s">
        <v>111</v>
      </c>
      <c r="I497" s="1">
        <v>22</v>
      </c>
      <c r="J497" s="1">
        <f t="shared" si="26"/>
        <v>44000</v>
      </c>
    </row>
    <row r="498" spans="1:10" x14ac:dyDescent="0.3">
      <c r="A498" s="1"/>
      <c r="B498" s="1"/>
      <c r="C498" s="1"/>
      <c r="D498" s="1"/>
      <c r="E498" s="1"/>
      <c r="F498" s="124" t="s">
        <v>39</v>
      </c>
      <c r="G498" s="1"/>
      <c r="H498" s="1"/>
      <c r="I498" s="1"/>
      <c r="J498" s="1">
        <f>SUM(J492:J497)</f>
        <v>154900</v>
      </c>
    </row>
    <row r="499" spans="1:10" x14ac:dyDescent="0.3">
      <c r="A499" s="1"/>
      <c r="B499" s="1"/>
      <c r="C499" s="1"/>
      <c r="D499" s="1"/>
      <c r="E499" s="1"/>
      <c r="F499" s="124" t="s">
        <v>187</v>
      </c>
      <c r="G499" s="1"/>
      <c r="H499" s="1"/>
      <c r="I499" s="1"/>
      <c r="J499" s="1">
        <f>J498*18/100</f>
        <v>27882</v>
      </c>
    </row>
    <row r="500" spans="1:10" x14ac:dyDescent="0.3">
      <c r="A500" s="1"/>
      <c r="B500" s="1"/>
      <c r="C500" s="1"/>
      <c r="D500" s="1"/>
      <c r="E500" s="1"/>
      <c r="F500" s="124" t="s">
        <v>41</v>
      </c>
      <c r="G500" s="1"/>
      <c r="H500" s="1"/>
      <c r="I500" s="1"/>
      <c r="J500" s="1">
        <f>SUM(J498:J499)</f>
        <v>182782</v>
      </c>
    </row>
    <row r="501" spans="1:10" x14ac:dyDescent="0.3">
      <c r="A501" s="1"/>
      <c r="B501" s="1"/>
      <c r="C501" s="1"/>
      <c r="D501" s="1"/>
      <c r="E501" s="1"/>
      <c r="F501" s="124"/>
      <c r="G501" s="1"/>
      <c r="H501" s="1"/>
      <c r="I501" s="1"/>
      <c r="J501" s="1"/>
    </row>
    <row r="502" spans="1:10" ht="25.2" x14ac:dyDescent="0.3">
      <c r="A502" s="1">
        <v>217</v>
      </c>
      <c r="B502" s="1">
        <v>8100025346</v>
      </c>
      <c r="C502" s="1" t="s">
        <v>2455</v>
      </c>
      <c r="D502" s="22" t="s">
        <v>1502</v>
      </c>
      <c r="E502" s="1" t="s">
        <v>127</v>
      </c>
      <c r="F502" s="22" t="s">
        <v>2456</v>
      </c>
      <c r="G502" s="1">
        <v>1</v>
      </c>
      <c r="H502" s="1" t="s">
        <v>28</v>
      </c>
      <c r="I502" s="1">
        <v>8300</v>
      </c>
      <c r="J502" s="1">
        <f t="shared" ref="J502:J511" si="27">G502*I502</f>
        <v>8300</v>
      </c>
    </row>
    <row r="503" spans="1:10" ht="25.2" x14ac:dyDescent="0.3">
      <c r="A503" s="1"/>
      <c r="B503" s="1"/>
      <c r="C503" s="1"/>
      <c r="D503" s="1"/>
      <c r="E503" s="1" t="s">
        <v>123</v>
      </c>
      <c r="F503" s="22" t="s">
        <v>2457</v>
      </c>
      <c r="G503" s="1">
        <v>1</v>
      </c>
      <c r="H503" s="1" t="s">
        <v>28</v>
      </c>
      <c r="I503" s="1">
        <v>3800</v>
      </c>
      <c r="J503" s="1">
        <f t="shared" si="27"/>
        <v>3800</v>
      </c>
    </row>
    <row r="504" spans="1:10" x14ac:dyDescent="0.3">
      <c r="A504" s="1"/>
      <c r="B504" s="1"/>
      <c r="C504" s="1"/>
      <c r="D504" s="1"/>
      <c r="E504" s="1" t="s">
        <v>127</v>
      </c>
      <c r="F504" s="1" t="s">
        <v>2458</v>
      </c>
      <c r="G504" s="1">
        <v>1</v>
      </c>
      <c r="H504" s="1" t="s">
        <v>28</v>
      </c>
      <c r="I504" s="1">
        <v>2300</v>
      </c>
      <c r="J504" s="1">
        <f t="shared" si="27"/>
        <v>2300</v>
      </c>
    </row>
    <row r="505" spans="1:10" x14ac:dyDescent="0.3">
      <c r="A505" s="1"/>
      <c r="B505" s="1"/>
      <c r="C505" s="1"/>
      <c r="D505" s="1"/>
      <c r="E505" s="1" t="s">
        <v>123</v>
      </c>
      <c r="F505" s="1" t="s">
        <v>2459</v>
      </c>
      <c r="G505" s="1">
        <v>1</v>
      </c>
      <c r="H505" s="1" t="s">
        <v>28</v>
      </c>
      <c r="I505" s="1">
        <v>3600</v>
      </c>
      <c r="J505" s="1">
        <f t="shared" si="27"/>
        <v>3600</v>
      </c>
    </row>
    <row r="506" spans="1:10" x14ac:dyDescent="0.3">
      <c r="A506" s="1"/>
      <c r="B506" s="1"/>
      <c r="C506" s="1"/>
      <c r="D506" s="1"/>
      <c r="E506" s="1"/>
      <c r="F506" s="124" t="s">
        <v>39</v>
      </c>
      <c r="G506" s="1"/>
      <c r="H506" s="1"/>
      <c r="I506" s="1"/>
      <c r="J506" s="124">
        <f>SUM(J502:J505)</f>
        <v>18000</v>
      </c>
    </row>
    <row r="507" spans="1:10" x14ac:dyDescent="0.3">
      <c r="A507" s="1"/>
      <c r="B507" s="1"/>
      <c r="C507" s="1"/>
      <c r="D507" s="1"/>
      <c r="E507" s="1"/>
      <c r="F507" s="124" t="s">
        <v>187</v>
      </c>
      <c r="G507" s="1"/>
      <c r="H507" s="1"/>
      <c r="I507" s="1"/>
      <c r="J507" s="124">
        <f>J506*18/100</f>
        <v>3240</v>
      </c>
    </row>
    <row r="508" spans="1:10" x14ac:dyDescent="0.3">
      <c r="A508" s="1"/>
      <c r="B508" s="1"/>
      <c r="C508" s="1"/>
      <c r="D508" s="1"/>
      <c r="E508" s="1"/>
      <c r="F508" s="124" t="s">
        <v>41</v>
      </c>
      <c r="G508" s="1"/>
      <c r="H508" s="1"/>
      <c r="I508" s="1"/>
      <c r="J508" s="124">
        <f>SUM(J506:J507)</f>
        <v>21240</v>
      </c>
    </row>
    <row r="509" spans="1:10" x14ac:dyDescent="0.3">
      <c r="A509" s="1"/>
      <c r="B509" s="1"/>
      <c r="C509" s="1"/>
      <c r="D509" s="1"/>
      <c r="E509" s="1"/>
      <c r="F509" s="124"/>
      <c r="G509" s="1"/>
      <c r="H509" s="1"/>
      <c r="I509" s="1"/>
      <c r="J509" s="124"/>
    </row>
    <row r="510" spans="1:10" x14ac:dyDescent="0.3">
      <c r="A510" s="1"/>
      <c r="B510" s="1"/>
      <c r="C510" s="1"/>
      <c r="D510" s="1"/>
      <c r="E510" s="1"/>
      <c r="F510" s="124"/>
      <c r="G510" s="1"/>
      <c r="H510" s="1"/>
      <c r="I510" s="1"/>
      <c r="J510" s="124"/>
    </row>
    <row r="511" spans="1:10" ht="25.2" x14ac:dyDescent="0.3">
      <c r="A511" s="1">
        <v>218</v>
      </c>
      <c r="B511" s="1">
        <v>8600067413</v>
      </c>
      <c r="C511" s="1" t="s">
        <v>2455</v>
      </c>
      <c r="D511" s="1" t="s">
        <v>43</v>
      </c>
      <c r="E511" s="1" t="s">
        <v>127</v>
      </c>
      <c r="F511" s="22" t="s">
        <v>2460</v>
      </c>
      <c r="G511" s="1">
        <v>20</v>
      </c>
      <c r="H511" s="1" t="s">
        <v>28</v>
      </c>
      <c r="I511" s="1">
        <v>915</v>
      </c>
      <c r="J511" s="1">
        <f t="shared" si="27"/>
        <v>18300</v>
      </c>
    </row>
    <row r="512" spans="1:10" x14ac:dyDescent="0.3">
      <c r="A512" s="1"/>
      <c r="B512" s="1"/>
      <c r="C512" s="1"/>
      <c r="D512" s="1"/>
      <c r="E512" s="1"/>
      <c r="F512" s="124" t="s">
        <v>39</v>
      </c>
      <c r="G512" s="1"/>
      <c r="H512" s="1"/>
      <c r="I512" s="1"/>
      <c r="J512" s="124">
        <f>SUM(J511)</f>
        <v>18300</v>
      </c>
    </row>
    <row r="513" spans="1:10" x14ac:dyDescent="0.3">
      <c r="A513" s="1"/>
      <c r="B513" s="1"/>
      <c r="C513" s="1"/>
      <c r="D513" s="1"/>
      <c r="E513" s="1"/>
      <c r="F513" s="124" t="s">
        <v>187</v>
      </c>
      <c r="G513" s="1"/>
      <c r="H513" s="1"/>
      <c r="I513" s="1"/>
      <c r="J513" s="124">
        <f>J512*0/100</f>
        <v>0</v>
      </c>
    </row>
    <row r="514" spans="1:10" x14ac:dyDescent="0.3">
      <c r="A514" s="1"/>
      <c r="B514" s="1"/>
      <c r="C514" s="1"/>
      <c r="D514" s="1"/>
      <c r="E514" s="1"/>
      <c r="F514" s="124" t="s">
        <v>41</v>
      </c>
      <c r="G514" s="1"/>
      <c r="H514" s="1"/>
      <c r="I514" s="1"/>
      <c r="J514" s="124">
        <f>SUM(J512:J513)</f>
        <v>18300</v>
      </c>
    </row>
    <row r="516" spans="1:10" ht="37.799999999999997" x14ac:dyDescent="0.3">
      <c r="A516" s="1">
        <v>219</v>
      </c>
      <c r="B516" s="1">
        <v>8600067521</v>
      </c>
      <c r="C516" s="1" t="s">
        <v>2470</v>
      </c>
      <c r="D516" s="1" t="s">
        <v>43</v>
      </c>
      <c r="E516" s="1" t="s">
        <v>127</v>
      </c>
      <c r="F516" s="22" t="s">
        <v>2471</v>
      </c>
      <c r="G516" s="1">
        <v>2</v>
      </c>
      <c r="H516" s="1" t="s">
        <v>28</v>
      </c>
      <c r="I516" s="1">
        <v>10200</v>
      </c>
      <c r="J516" s="1">
        <f t="shared" ref="J516" si="28">G516*I516</f>
        <v>20400</v>
      </c>
    </row>
    <row r="517" spans="1:10" x14ac:dyDescent="0.3">
      <c r="A517" s="1"/>
      <c r="B517" s="1"/>
      <c r="C517" s="1"/>
      <c r="D517" s="1"/>
      <c r="E517" s="1"/>
      <c r="F517" s="124" t="s">
        <v>39</v>
      </c>
      <c r="G517" s="1"/>
      <c r="H517" s="1"/>
      <c r="I517" s="1"/>
      <c r="J517" s="124">
        <f>SUM(J516)</f>
        <v>20400</v>
      </c>
    </row>
    <row r="518" spans="1:10" x14ac:dyDescent="0.3">
      <c r="A518" s="1"/>
      <c r="B518" s="1"/>
      <c r="C518" s="1"/>
      <c r="D518" s="1"/>
      <c r="E518" s="1"/>
      <c r="F518" s="124" t="s">
        <v>599</v>
      </c>
      <c r="G518" s="1"/>
      <c r="H518" s="1"/>
      <c r="I518" s="1"/>
      <c r="J518" s="124">
        <f>J517*0/100</f>
        <v>0</v>
      </c>
    </row>
    <row r="519" spans="1:10" x14ac:dyDescent="0.3">
      <c r="A519" s="1"/>
      <c r="B519" s="1"/>
      <c r="C519" s="1"/>
      <c r="D519" s="1"/>
      <c r="E519" s="1"/>
      <c r="F519" s="124" t="s">
        <v>41</v>
      </c>
      <c r="G519" s="1"/>
      <c r="H519" s="1"/>
      <c r="I519" s="1"/>
      <c r="J519" s="124">
        <f>SUM(J517:J518)</f>
        <v>20400</v>
      </c>
    </row>
  </sheetData>
  <mergeCells count="1">
    <mergeCell ref="A267:J2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442C0-E180-4291-A05B-D41EC30A0708}">
  <dimension ref="A1:V82"/>
  <sheetViews>
    <sheetView workbookViewId="0">
      <pane ySplit="2" topLeftCell="A24" activePane="bottomLeft" state="frozen"/>
      <selection activeCell="E1" sqref="E1"/>
      <selection pane="bottomLeft" activeCell="G29" sqref="G29"/>
    </sheetView>
  </sheetViews>
  <sheetFormatPr defaultRowHeight="14.4" x14ac:dyDescent="0.3"/>
  <cols>
    <col min="1" max="1" width="5" bestFit="1" customWidth="1"/>
    <col min="2" max="2" width="13.44140625" bestFit="1" customWidth="1"/>
    <col min="3" max="3" width="9.5546875" bestFit="1" customWidth="1"/>
    <col min="4" max="4" width="28.6640625" bestFit="1" customWidth="1"/>
    <col min="5" max="5" width="11.6640625" customWidth="1"/>
    <col min="6" max="6" width="53.33203125" bestFit="1" customWidth="1"/>
    <col min="7" max="7" width="5.33203125" bestFit="1" customWidth="1"/>
    <col min="8" max="8" width="4.33203125" bestFit="1" customWidth="1"/>
    <col min="9" max="9" width="9.6640625" bestFit="1" customWidth="1"/>
    <col min="10" max="10" width="9.5546875" bestFit="1" customWidth="1"/>
    <col min="11" max="13" width="7.5546875" bestFit="1" customWidth="1"/>
    <col min="14" max="14" width="9.33203125" bestFit="1" customWidth="1"/>
    <col min="15" max="15" width="9.109375" bestFit="1" customWidth="1"/>
    <col min="16" max="16" width="9.88671875" bestFit="1" customWidth="1"/>
    <col min="17" max="17" width="12.5546875" bestFit="1" customWidth="1"/>
    <col min="18" max="18" width="4.44140625" bestFit="1" customWidth="1"/>
    <col min="19" max="19" width="10.6640625" bestFit="1" customWidth="1"/>
    <col min="20" max="20" width="10.109375" bestFit="1" customWidth="1"/>
    <col min="21" max="21" width="13.6640625" bestFit="1" customWidth="1"/>
    <col min="22" max="22" width="9.33203125" bestFit="1" customWidth="1"/>
  </cols>
  <sheetData>
    <row r="1" spans="1:22" ht="18" x14ac:dyDescent="0.3">
      <c r="A1" s="212" t="s">
        <v>0</v>
      </c>
      <c r="B1" s="212"/>
      <c r="C1" s="212"/>
      <c r="D1" s="212"/>
      <c r="E1" s="212"/>
      <c r="F1" s="212"/>
      <c r="G1" s="212"/>
      <c r="H1" s="212"/>
      <c r="I1" s="212"/>
      <c r="J1" s="212"/>
      <c r="K1" s="210" t="s">
        <v>1</v>
      </c>
      <c r="L1" s="210"/>
      <c r="M1" s="210"/>
      <c r="N1" s="210"/>
      <c r="O1" s="211" t="s">
        <v>2</v>
      </c>
      <c r="P1" s="211"/>
      <c r="Q1" s="211"/>
      <c r="R1" s="211"/>
      <c r="S1" s="211"/>
      <c r="T1" s="211"/>
      <c r="U1" s="211"/>
      <c r="V1" s="211"/>
    </row>
    <row r="2" spans="1:22" ht="27.6" x14ac:dyDescent="0.3">
      <c r="A2" s="15" t="s">
        <v>3</v>
      </c>
      <c r="B2" s="15" t="s">
        <v>4</v>
      </c>
      <c r="C2" s="15" t="s">
        <v>5</v>
      </c>
      <c r="D2" s="15" t="s">
        <v>6</v>
      </c>
      <c r="E2" s="15" t="s">
        <v>7</v>
      </c>
      <c r="F2" s="15" t="s">
        <v>8</v>
      </c>
      <c r="G2" s="15" t="s">
        <v>9</v>
      </c>
      <c r="H2" s="15" t="s">
        <v>10</v>
      </c>
      <c r="I2" s="15" t="s">
        <v>11</v>
      </c>
      <c r="J2" s="15" t="s">
        <v>12</v>
      </c>
      <c r="K2" s="15" t="s">
        <v>13</v>
      </c>
      <c r="L2" s="15" t="s">
        <v>14</v>
      </c>
      <c r="M2" s="15" t="s">
        <v>15</v>
      </c>
      <c r="N2" s="15" t="s">
        <v>16</v>
      </c>
      <c r="O2" s="15" t="s">
        <v>17</v>
      </c>
      <c r="P2" s="15" t="s">
        <v>18</v>
      </c>
      <c r="Q2" s="15" t="s">
        <v>19</v>
      </c>
      <c r="R2" s="15" t="s">
        <v>20</v>
      </c>
      <c r="S2" s="15" t="s">
        <v>21</v>
      </c>
      <c r="T2" s="15" t="s">
        <v>22</v>
      </c>
      <c r="U2" s="15" t="s">
        <v>23</v>
      </c>
      <c r="V2" s="134" t="s">
        <v>24</v>
      </c>
    </row>
    <row r="3" spans="1:22" ht="25.2" x14ac:dyDescent="0.3">
      <c r="A3" s="221">
        <v>1</v>
      </c>
      <c r="B3" s="221" t="s">
        <v>1081</v>
      </c>
      <c r="C3" s="224">
        <v>45424</v>
      </c>
      <c r="D3" s="221" t="s">
        <v>1077</v>
      </c>
      <c r="E3" s="149"/>
      <c r="F3" s="103" t="s">
        <v>1082</v>
      </c>
      <c r="G3" s="85">
        <v>1</v>
      </c>
      <c r="H3" s="85" t="s">
        <v>28</v>
      </c>
      <c r="I3" s="85">
        <v>68850</v>
      </c>
      <c r="J3" s="85">
        <f>G3*I3</f>
        <v>68850</v>
      </c>
      <c r="K3" s="85">
        <v>1</v>
      </c>
      <c r="L3" s="85" t="s">
        <v>28</v>
      </c>
      <c r="M3" s="85" t="s">
        <v>91</v>
      </c>
      <c r="N3" s="85" t="s">
        <v>1084</v>
      </c>
      <c r="O3" s="85"/>
      <c r="P3" s="85"/>
      <c r="Q3" s="85">
        <f>O3*P3</f>
        <v>0</v>
      </c>
      <c r="R3" s="104">
        <v>0.18</v>
      </c>
      <c r="S3" s="85">
        <f>Q3*R3</f>
        <v>0</v>
      </c>
      <c r="T3" s="85">
        <f>Q3+S3</f>
        <v>0</v>
      </c>
      <c r="U3" s="85"/>
      <c r="V3" s="85"/>
    </row>
    <row r="4" spans="1:22" x14ac:dyDescent="0.3">
      <c r="A4" s="222"/>
      <c r="B4" s="222"/>
      <c r="C4" s="225"/>
      <c r="D4" s="222"/>
      <c r="E4" s="150"/>
      <c r="F4" s="85" t="s">
        <v>1079</v>
      </c>
      <c r="G4" s="85">
        <v>1</v>
      </c>
      <c r="H4" s="85" t="s">
        <v>87</v>
      </c>
      <c r="I4" s="85">
        <v>15000</v>
      </c>
      <c r="J4" s="85">
        <f t="shared" ref="J4:J5" si="0">G4*I4</f>
        <v>15000</v>
      </c>
      <c r="K4" s="85"/>
      <c r="L4" s="85"/>
      <c r="M4" s="85"/>
      <c r="N4" s="85"/>
      <c r="O4" s="85"/>
      <c r="P4" s="85"/>
      <c r="Q4" s="85">
        <f t="shared" ref="Q4:Q7" si="1">O4*P4</f>
        <v>0</v>
      </c>
      <c r="R4" s="104">
        <v>0.18</v>
      </c>
      <c r="S4" s="85">
        <f t="shared" ref="S4:S7" si="2">Q4*R4</f>
        <v>0</v>
      </c>
      <c r="T4" s="85">
        <f t="shared" ref="T4:T7" si="3">Q4+S4</f>
        <v>0</v>
      </c>
      <c r="U4" s="85"/>
      <c r="V4" s="85"/>
    </row>
    <row r="5" spans="1:22" x14ac:dyDescent="0.3">
      <c r="A5" s="222"/>
      <c r="B5" s="222"/>
      <c r="C5" s="225"/>
      <c r="D5" s="222"/>
      <c r="E5" s="150"/>
      <c r="F5" s="85" t="s">
        <v>1083</v>
      </c>
      <c r="G5" s="85">
        <v>1</v>
      </c>
      <c r="H5" s="85" t="s">
        <v>87</v>
      </c>
      <c r="I5" s="85">
        <v>1500</v>
      </c>
      <c r="J5" s="85">
        <f t="shared" si="0"/>
        <v>1500</v>
      </c>
      <c r="K5" s="85"/>
      <c r="L5" s="85"/>
      <c r="M5" s="85"/>
      <c r="N5" s="85"/>
      <c r="O5" s="85"/>
      <c r="P5" s="85"/>
      <c r="Q5" s="85">
        <f t="shared" si="1"/>
        <v>0</v>
      </c>
      <c r="R5" s="104">
        <v>0.18</v>
      </c>
      <c r="S5" s="85">
        <f t="shared" si="2"/>
        <v>0</v>
      </c>
      <c r="T5" s="85">
        <f t="shared" si="3"/>
        <v>0</v>
      </c>
      <c r="U5" s="85"/>
      <c r="V5" s="85"/>
    </row>
    <row r="6" spans="1:22" x14ac:dyDescent="0.3">
      <c r="A6" s="222"/>
      <c r="B6" s="222"/>
      <c r="C6" s="225"/>
      <c r="D6" s="222"/>
      <c r="E6" s="150"/>
      <c r="F6" s="85"/>
      <c r="G6" s="85"/>
      <c r="H6" s="85"/>
      <c r="I6" s="85"/>
      <c r="J6" s="85"/>
      <c r="K6" s="85"/>
      <c r="L6" s="85"/>
      <c r="M6" s="85"/>
      <c r="N6" s="85"/>
      <c r="O6" s="85"/>
      <c r="P6" s="85"/>
      <c r="Q6" s="85">
        <f t="shared" si="1"/>
        <v>0</v>
      </c>
      <c r="R6" s="104">
        <v>0.18</v>
      </c>
      <c r="S6" s="85">
        <f t="shared" si="2"/>
        <v>0</v>
      </c>
      <c r="T6" s="85">
        <f t="shared" si="3"/>
        <v>0</v>
      </c>
      <c r="U6" s="85"/>
      <c r="V6" s="85"/>
    </row>
    <row r="7" spans="1:22" x14ac:dyDescent="0.3">
      <c r="A7" s="223"/>
      <c r="B7" s="223"/>
      <c r="C7" s="226"/>
      <c r="D7" s="223"/>
      <c r="E7" s="151"/>
      <c r="F7" s="85"/>
      <c r="G7" s="85"/>
      <c r="H7" s="85"/>
      <c r="I7" s="85"/>
      <c r="J7" s="85"/>
      <c r="K7" s="85"/>
      <c r="L7" s="85"/>
      <c r="M7" s="85"/>
      <c r="N7" s="85"/>
      <c r="O7" s="85"/>
      <c r="P7" s="85"/>
      <c r="Q7" s="85">
        <f t="shared" si="1"/>
        <v>0</v>
      </c>
      <c r="R7" s="104">
        <v>0.18</v>
      </c>
      <c r="S7" s="85">
        <f t="shared" si="2"/>
        <v>0</v>
      </c>
      <c r="T7" s="85">
        <f t="shared" si="3"/>
        <v>0</v>
      </c>
      <c r="U7" s="85"/>
      <c r="V7" s="85"/>
    </row>
    <row r="8" spans="1:22" x14ac:dyDescent="0.3">
      <c r="A8" s="1"/>
      <c r="B8" s="119" t="s">
        <v>1104</v>
      </c>
      <c r="C8" s="1"/>
      <c r="D8" s="1"/>
      <c r="E8" s="1"/>
      <c r="F8" s="124" t="s">
        <v>39</v>
      </c>
      <c r="G8" s="133"/>
      <c r="H8" s="133"/>
      <c r="I8" s="133"/>
      <c r="J8" s="133">
        <f>SUM(J3:J7)</f>
        <v>85350</v>
      </c>
      <c r="K8" s="133"/>
      <c r="L8" s="133"/>
      <c r="M8" s="133"/>
      <c r="N8" s="133"/>
      <c r="O8" s="133"/>
      <c r="P8" s="133"/>
      <c r="Q8" s="133"/>
      <c r="R8" s="133"/>
      <c r="S8" s="133"/>
      <c r="T8" s="133"/>
      <c r="U8" s="133"/>
      <c r="V8" s="133"/>
    </row>
    <row r="9" spans="1:22" x14ac:dyDescent="0.3">
      <c r="A9" s="1"/>
      <c r="B9" s="1"/>
      <c r="C9" s="1"/>
      <c r="D9" s="1"/>
      <c r="E9" s="1"/>
      <c r="F9" s="124" t="s">
        <v>599</v>
      </c>
      <c r="G9" s="133"/>
      <c r="H9" s="133"/>
      <c r="I9" s="133"/>
      <c r="J9" s="133">
        <f>J8*18/100</f>
        <v>15363</v>
      </c>
      <c r="K9" s="133"/>
      <c r="L9" s="133"/>
      <c r="M9" s="133"/>
      <c r="N9" s="133"/>
      <c r="O9" s="133"/>
      <c r="P9" s="133"/>
      <c r="Q9" s="133"/>
      <c r="R9" s="133"/>
      <c r="S9" s="133"/>
      <c r="T9" s="133"/>
      <c r="U9" s="133"/>
      <c r="V9" s="133"/>
    </row>
    <row r="10" spans="1:22" x14ac:dyDescent="0.3">
      <c r="A10" s="1"/>
      <c r="B10" s="1"/>
      <c r="C10" s="1"/>
      <c r="D10" s="1"/>
      <c r="E10" s="1"/>
      <c r="F10" s="124" t="s">
        <v>41</v>
      </c>
      <c r="G10" s="133"/>
      <c r="H10" s="133"/>
      <c r="I10" s="133"/>
      <c r="J10" s="133">
        <f>J9+J8</f>
        <v>100713</v>
      </c>
      <c r="K10" s="133"/>
      <c r="L10" s="133"/>
      <c r="M10" s="133"/>
      <c r="N10" s="133"/>
      <c r="O10" s="133"/>
      <c r="P10" s="133"/>
      <c r="Q10" s="133"/>
      <c r="R10" s="133"/>
      <c r="S10" s="133"/>
      <c r="T10" s="133">
        <f>SUM(T3:T9)</f>
        <v>0</v>
      </c>
      <c r="U10" s="133"/>
      <c r="V10" s="133"/>
    </row>
    <row r="11" spans="1:22" x14ac:dyDescent="0.3">
      <c r="A11" s="1"/>
      <c r="B11" s="1"/>
      <c r="C11" s="1"/>
      <c r="D11" s="1"/>
      <c r="E11" s="1"/>
      <c r="F11" s="1"/>
      <c r="G11" s="1"/>
      <c r="H11" s="1"/>
      <c r="I11" s="133"/>
      <c r="J11" s="133"/>
      <c r="K11" s="133"/>
      <c r="L11" s="133"/>
      <c r="M11" s="133"/>
      <c r="N11" s="133"/>
      <c r="O11" s="133"/>
      <c r="P11" s="133"/>
      <c r="Q11" s="133"/>
      <c r="R11" s="133"/>
      <c r="S11" s="133"/>
      <c r="T11" s="133"/>
      <c r="U11" s="133"/>
      <c r="V11" s="133"/>
    </row>
    <row r="12" spans="1:22" ht="25.2" x14ac:dyDescent="0.3">
      <c r="A12" s="213">
        <v>2</v>
      </c>
      <c r="B12" s="213" t="s">
        <v>1076</v>
      </c>
      <c r="C12" s="216">
        <v>45660</v>
      </c>
      <c r="D12" s="213" t="s">
        <v>1077</v>
      </c>
      <c r="E12" s="130"/>
      <c r="F12" s="39" t="s">
        <v>1078</v>
      </c>
      <c r="G12" s="16">
        <v>1</v>
      </c>
      <c r="H12" s="16" t="s">
        <v>28</v>
      </c>
      <c r="I12" s="16">
        <v>98900</v>
      </c>
      <c r="J12" s="16">
        <f>G12*I12</f>
        <v>98900</v>
      </c>
      <c r="K12" s="85">
        <v>1</v>
      </c>
      <c r="L12" s="85" t="s">
        <v>28</v>
      </c>
      <c r="M12" s="85" t="s">
        <v>91</v>
      </c>
      <c r="N12" s="85" t="s">
        <v>1105</v>
      </c>
      <c r="O12" s="85"/>
      <c r="P12" s="85"/>
      <c r="Q12" s="85">
        <f>O12*P12</f>
        <v>0</v>
      </c>
      <c r="R12" s="104">
        <v>0.18</v>
      </c>
      <c r="S12" s="85">
        <f>Q12*R12</f>
        <v>0</v>
      </c>
      <c r="T12" s="85">
        <f>Q12+S12</f>
        <v>0</v>
      </c>
      <c r="U12" s="85" t="s">
        <v>1582</v>
      </c>
      <c r="V12" s="85" t="s">
        <v>1583</v>
      </c>
    </row>
    <row r="13" spans="1:22" x14ac:dyDescent="0.3">
      <c r="A13" s="214"/>
      <c r="B13" s="214"/>
      <c r="C13" s="217"/>
      <c r="D13" s="214"/>
      <c r="E13" s="131"/>
      <c r="F13" s="16" t="s">
        <v>1079</v>
      </c>
      <c r="G13" s="16">
        <v>1</v>
      </c>
      <c r="H13" s="16" t="s">
        <v>87</v>
      </c>
      <c r="I13" s="16">
        <v>15000</v>
      </c>
      <c r="J13" s="16">
        <f t="shared" ref="J13:J14" si="4">G13*I13</f>
        <v>15000</v>
      </c>
      <c r="K13" s="85"/>
      <c r="L13" s="85"/>
      <c r="M13" s="85"/>
      <c r="N13" s="85"/>
      <c r="O13" s="85"/>
      <c r="P13" s="85"/>
      <c r="Q13" s="85">
        <f t="shared" ref="Q13:Q16" si="5">O13*P13</f>
        <v>0</v>
      </c>
      <c r="R13" s="104">
        <v>0.18</v>
      </c>
      <c r="S13" s="85">
        <f t="shared" ref="S13:S16" si="6">Q13*R13</f>
        <v>0</v>
      </c>
      <c r="T13" s="85">
        <f t="shared" ref="T13:T16" si="7">Q13+S13</f>
        <v>0</v>
      </c>
      <c r="U13" s="85"/>
      <c r="V13" s="85"/>
    </row>
    <row r="14" spans="1:22" x14ac:dyDescent="0.3">
      <c r="A14" s="214"/>
      <c r="B14" s="214"/>
      <c r="C14" s="217"/>
      <c r="D14" s="214"/>
      <c r="E14" s="131"/>
      <c r="F14" s="16" t="s">
        <v>1080</v>
      </c>
      <c r="G14" s="16">
        <v>1</v>
      </c>
      <c r="H14" s="16" t="s">
        <v>87</v>
      </c>
      <c r="I14" s="16">
        <v>1500</v>
      </c>
      <c r="J14" s="16">
        <f t="shared" si="4"/>
        <v>1500</v>
      </c>
      <c r="K14" s="85"/>
      <c r="L14" s="85"/>
      <c r="M14" s="85"/>
      <c r="N14" s="85"/>
      <c r="O14" s="85"/>
      <c r="P14" s="85"/>
      <c r="Q14" s="85">
        <f t="shared" si="5"/>
        <v>0</v>
      </c>
      <c r="R14" s="104">
        <v>0.18</v>
      </c>
      <c r="S14" s="85">
        <f t="shared" si="6"/>
        <v>0</v>
      </c>
      <c r="T14" s="85">
        <f t="shared" si="7"/>
        <v>0</v>
      </c>
      <c r="U14" s="85"/>
      <c r="V14" s="85"/>
    </row>
    <row r="15" spans="1:22" x14ac:dyDescent="0.3">
      <c r="A15" s="214"/>
      <c r="B15" s="214"/>
      <c r="C15" s="217"/>
      <c r="D15" s="214"/>
      <c r="E15" s="131"/>
      <c r="F15" s="16"/>
      <c r="G15" s="16"/>
      <c r="H15" s="16"/>
      <c r="I15" s="16"/>
      <c r="J15" s="16"/>
      <c r="K15" s="85"/>
      <c r="L15" s="85"/>
      <c r="M15" s="85"/>
      <c r="N15" s="85"/>
      <c r="O15" s="85"/>
      <c r="P15" s="85"/>
      <c r="Q15" s="85">
        <f t="shared" si="5"/>
        <v>0</v>
      </c>
      <c r="R15" s="104">
        <v>0.18</v>
      </c>
      <c r="S15" s="85">
        <f t="shared" si="6"/>
        <v>0</v>
      </c>
      <c r="T15" s="85">
        <f t="shared" si="7"/>
        <v>0</v>
      </c>
      <c r="U15" s="85"/>
      <c r="V15" s="85"/>
    </row>
    <row r="16" spans="1:22" x14ac:dyDescent="0.3">
      <c r="A16" s="215"/>
      <c r="B16" s="215"/>
      <c r="C16" s="218"/>
      <c r="D16" s="215"/>
      <c r="E16" s="132"/>
      <c r="F16" s="16"/>
      <c r="G16" s="16"/>
      <c r="H16" s="16"/>
      <c r="I16" s="16"/>
      <c r="J16" s="16"/>
      <c r="K16" s="85"/>
      <c r="L16" s="85"/>
      <c r="M16" s="85"/>
      <c r="N16" s="85"/>
      <c r="O16" s="85"/>
      <c r="P16" s="85"/>
      <c r="Q16" s="85">
        <f t="shared" si="5"/>
        <v>0</v>
      </c>
      <c r="R16" s="104">
        <v>0.18</v>
      </c>
      <c r="S16" s="85">
        <f t="shared" si="6"/>
        <v>0</v>
      </c>
      <c r="T16" s="85">
        <f t="shared" si="7"/>
        <v>0</v>
      </c>
      <c r="U16" s="85"/>
      <c r="V16" s="85"/>
    </row>
    <row r="17" spans="1:22" x14ac:dyDescent="0.3">
      <c r="A17" s="1"/>
      <c r="B17" s="1"/>
      <c r="C17" s="1"/>
      <c r="D17" s="1"/>
      <c r="E17" s="1"/>
      <c r="F17" s="124" t="s">
        <v>39</v>
      </c>
      <c r="G17" s="133"/>
      <c r="H17" s="133"/>
      <c r="I17" s="133"/>
      <c r="J17" s="133">
        <f>SUM(J12:J16)</f>
        <v>115400</v>
      </c>
      <c r="K17" s="133"/>
      <c r="L17" s="133"/>
      <c r="M17" s="133"/>
      <c r="N17" s="133"/>
      <c r="O17" s="133"/>
      <c r="P17" s="133"/>
      <c r="Q17" s="133"/>
      <c r="R17" s="133"/>
      <c r="S17" s="133"/>
      <c r="T17" s="133"/>
      <c r="U17" s="133"/>
      <c r="V17" s="133"/>
    </row>
    <row r="18" spans="1:22" x14ac:dyDescent="0.3">
      <c r="A18" s="1"/>
      <c r="B18" s="1"/>
      <c r="C18" s="1"/>
      <c r="D18" s="1"/>
      <c r="E18" s="1"/>
      <c r="F18" s="124" t="s">
        <v>599</v>
      </c>
      <c r="G18" s="133"/>
      <c r="H18" s="133"/>
      <c r="I18" s="133"/>
      <c r="J18" s="133">
        <f>J17*18/100</f>
        <v>20772</v>
      </c>
      <c r="K18" s="133"/>
      <c r="L18" s="133"/>
      <c r="M18" s="133"/>
      <c r="N18" s="133"/>
      <c r="O18" s="133"/>
      <c r="P18" s="133"/>
      <c r="Q18" s="133"/>
      <c r="R18" s="133"/>
      <c r="S18" s="133"/>
      <c r="T18" s="133"/>
      <c r="U18" s="133"/>
      <c r="V18" s="133"/>
    </row>
    <row r="19" spans="1:22" x14ac:dyDescent="0.3">
      <c r="A19" s="1"/>
      <c r="B19" s="1"/>
      <c r="C19" s="1"/>
      <c r="D19" s="1"/>
      <c r="E19" s="1"/>
      <c r="F19" s="124" t="s">
        <v>41</v>
      </c>
      <c r="G19" s="133"/>
      <c r="H19" s="133"/>
      <c r="I19" s="133"/>
      <c r="J19" s="133">
        <f>J18+J17</f>
        <v>136172</v>
      </c>
      <c r="K19" s="133"/>
      <c r="L19" s="133"/>
      <c r="M19" s="133"/>
      <c r="N19" s="133"/>
      <c r="O19" s="133"/>
      <c r="P19" s="133"/>
      <c r="Q19" s="133"/>
      <c r="R19" s="133"/>
      <c r="S19" s="133"/>
      <c r="T19" s="133">
        <f>SUM(T12:T18)</f>
        <v>0</v>
      </c>
      <c r="U19" s="133"/>
      <c r="V19" s="133"/>
    </row>
    <row r="20" spans="1:22" x14ac:dyDescent="0.3">
      <c r="A20" s="1"/>
      <c r="B20" s="1"/>
      <c r="C20" s="1"/>
      <c r="D20" s="1"/>
      <c r="E20" s="1"/>
      <c r="F20" s="124"/>
      <c r="G20" s="133"/>
      <c r="H20" s="133"/>
      <c r="I20" s="133"/>
      <c r="J20" s="133"/>
      <c r="K20" s="133"/>
      <c r="L20" s="133"/>
      <c r="M20" s="133"/>
      <c r="N20" s="133"/>
      <c r="O20" s="133"/>
      <c r="P20" s="133"/>
      <c r="Q20" s="133"/>
      <c r="R20" s="133"/>
      <c r="S20" s="133"/>
      <c r="T20" s="133"/>
      <c r="U20" s="133"/>
      <c r="V20" s="133"/>
    </row>
    <row r="21" spans="1:22" ht="25.2" x14ac:dyDescent="0.3">
      <c r="A21" s="16">
        <v>3</v>
      </c>
      <c r="B21" s="16" t="s">
        <v>1278</v>
      </c>
      <c r="C21" s="19">
        <v>45996</v>
      </c>
      <c r="D21" s="39" t="s">
        <v>1247</v>
      </c>
      <c r="E21" s="16"/>
      <c r="F21" s="39" t="s">
        <v>1280</v>
      </c>
      <c r="G21" s="170">
        <v>1</v>
      </c>
      <c r="H21" s="170" t="s">
        <v>225</v>
      </c>
      <c r="I21" s="170">
        <v>19000</v>
      </c>
      <c r="J21" s="170">
        <f>G21*I21</f>
        <v>19000</v>
      </c>
      <c r="K21" s="170">
        <v>10</v>
      </c>
      <c r="L21" s="170" t="s">
        <v>28</v>
      </c>
      <c r="M21" s="170" t="s">
        <v>91</v>
      </c>
      <c r="N21" s="171" t="s">
        <v>1279</v>
      </c>
      <c r="O21" s="170"/>
      <c r="P21" s="170"/>
      <c r="Q21" s="170"/>
      <c r="R21" s="170"/>
      <c r="S21" s="170"/>
      <c r="T21" s="170"/>
      <c r="U21" s="16" t="s">
        <v>1771</v>
      </c>
      <c r="V21" s="16" t="s">
        <v>1770</v>
      </c>
    </row>
    <row r="22" spans="1:22" x14ac:dyDescent="0.3">
      <c r="A22" s="1"/>
      <c r="B22" s="1"/>
      <c r="C22" s="37"/>
      <c r="D22" s="22"/>
      <c r="E22" s="1"/>
      <c r="F22" s="1"/>
      <c r="G22" s="62"/>
      <c r="H22" s="62"/>
      <c r="I22" s="62"/>
      <c r="J22" s="62"/>
      <c r="K22" s="62"/>
      <c r="L22" s="62"/>
      <c r="M22" s="62"/>
      <c r="N22" s="62"/>
      <c r="O22" s="62"/>
      <c r="P22" s="62"/>
      <c r="Q22" s="62"/>
      <c r="R22" s="62"/>
      <c r="S22" s="62"/>
      <c r="T22" s="62"/>
      <c r="U22" s="62"/>
      <c r="V22" s="62"/>
    </row>
    <row r="23" spans="1:22" x14ac:dyDescent="0.3">
      <c r="A23" s="1"/>
      <c r="B23" s="1"/>
      <c r="C23" s="1"/>
      <c r="D23" s="1"/>
      <c r="E23" s="1"/>
      <c r="F23" s="124" t="s">
        <v>39</v>
      </c>
      <c r="G23" s="133"/>
      <c r="H23" s="133"/>
      <c r="I23" s="74"/>
      <c r="J23" s="133">
        <f>SUM(I21)</f>
        <v>19000</v>
      </c>
      <c r="K23" s="62"/>
      <c r="L23" s="62"/>
      <c r="M23" s="62"/>
      <c r="N23" s="62"/>
      <c r="O23" s="62"/>
      <c r="P23" s="62"/>
      <c r="Q23" s="62"/>
      <c r="R23" s="62"/>
      <c r="S23" s="62"/>
      <c r="T23" s="62"/>
      <c r="U23" s="62"/>
      <c r="V23" s="62"/>
    </row>
    <row r="24" spans="1:22" x14ac:dyDescent="0.3">
      <c r="A24" s="1"/>
      <c r="B24" s="1"/>
      <c r="C24" s="1"/>
      <c r="D24" s="1"/>
      <c r="E24" s="1"/>
      <c r="F24" s="124" t="s">
        <v>187</v>
      </c>
      <c r="G24" s="133"/>
      <c r="H24" s="133"/>
      <c r="I24" s="74"/>
      <c r="J24" s="133">
        <f>J23*18/100</f>
        <v>3420</v>
      </c>
      <c r="K24" s="62"/>
      <c r="L24" s="62"/>
      <c r="M24" s="62"/>
      <c r="N24" s="62"/>
      <c r="O24" s="62"/>
      <c r="P24" s="62"/>
      <c r="Q24" s="62"/>
      <c r="R24" s="62"/>
      <c r="S24" s="62"/>
      <c r="T24" s="62"/>
      <c r="U24" s="62"/>
      <c r="V24" s="62"/>
    </row>
    <row r="25" spans="1:22" x14ac:dyDescent="0.3">
      <c r="A25" s="1"/>
      <c r="B25" s="1"/>
      <c r="C25" s="1"/>
      <c r="D25" s="1"/>
      <c r="E25" s="1"/>
      <c r="F25" s="124" t="s">
        <v>41</v>
      </c>
      <c r="G25" s="133"/>
      <c r="H25" s="133"/>
      <c r="I25" s="74"/>
      <c r="J25" s="133">
        <f>SUM(J23:J24)</f>
        <v>22420</v>
      </c>
      <c r="K25" s="62"/>
      <c r="L25" s="62"/>
      <c r="M25" s="62"/>
      <c r="N25" s="62"/>
      <c r="O25" s="62"/>
      <c r="P25" s="62"/>
      <c r="Q25" s="62"/>
      <c r="R25" s="62"/>
      <c r="S25" s="62"/>
      <c r="T25" s="62"/>
      <c r="U25" s="62"/>
      <c r="V25" s="62"/>
    </row>
    <row r="26" spans="1:22" x14ac:dyDescent="0.3">
      <c r="A26" s="1"/>
      <c r="B26" s="1"/>
      <c r="C26" s="1"/>
      <c r="D26" s="1"/>
      <c r="E26" s="1"/>
      <c r="F26" s="124"/>
      <c r="G26" s="133"/>
      <c r="H26" s="133"/>
      <c r="I26" s="133"/>
      <c r="J26" s="133"/>
      <c r="K26" s="133"/>
      <c r="L26" s="133"/>
      <c r="M26" s="133"/>
      <c r="N26" s="133"/>
      <c r="O26" s="133"/>
      <c r="P26" s="133"/>
      <c r="Q26" s="133"/>
      <c r="R26" s="133"/>
      <c r="S26" s="133"/>
      <c r="T26" s="133"/>
      <c r="U26" s="133"/>
      <c r="V26" s="133"/>
    </row>
    <row r="27" spans="1:22" x14ac:dyDescent="0.3">
      <c r="A27" s="1"/>
      <c r="B27" s="1"/>
      <c r="C27" s="1"/>
      <c r="D27" s="1"/>
      <c r="E27" s="1"/>
      <c r="F27" s="124"/>
      <c r="G27" s="133"/>
      <c r="H27" s="133"/>
      <c r="I27" s="133"/>
      <c r="J27" s="133"/>
      <c r="K27" s="133"/>
      <c r="L27" s="133"/>
      <c r="M27" s="133"/>
      <c r="N27" s="133"/>
      <c r="O27" s="133"/>
      <c r="P27" s="133"/>
      <c r="Q27" s="133"/>
      <c r="R27" s="133"/>
      <c r="S27" s="133"/>
      <c r="T27" s="133"/>
      <c r="U27" s="133"/>
      <c r="V27" s="133"/>
    </row>
    <row r="28" spans="1:22" ht="25.2" x14ac:dyDescent="0.3">
      <c r="A28" s="16">
        <v>4</v>
      </c>
      <c r="B28" s="16" t="s">
        <v>1245</v>
      </c>
      <c r="C28" s="16" t="s">
        <v>1246</v>
      </c>
      <c r="D28" s="39" t="s">
        <v>1247</v>
      </c>
      <c r="E28" s="16"/>
      <c r="F28" s="39" t="s">
        <v>1248</v>
      </c>
      <c r="G28" s="16">
        <v>6</v>
      </c>
      <c r="H28" s="16" t="s">
        <v>28</v>
      </c>
      <c r="I28" s="16">
        <v>9500</v>
      </c>
      <c r="J28" s="16">
        <f>G28*I28</f>
        <v>57000</v>
      </c>
      <c r="K28" s="16">
        <v>6</v>
      </c>
      <c r="L28" s="16" t="s">
        <v>28</v>
      </c>
      <c r="M28" s="16" t="s">
        <v>91</v>
      </c>
      <c r="N28" s="16" t="s">
        <v>1456</v>
      </c>
      <c r="O28" s="16">
        <v>6</v>
      </c>
      <c r="P28" s="16">
        <v>9500</v>
      </c>
      <c r="Q28" s="16">
        <f>O28*P28</f>
        <v>57000</v>
      </c>
      <c r="R28" s="18">
        <v>0.18</v>
      </c>
      <c r="S28" s="16">
        <f>Q28*R28</f>
        <v>10260</v>
      </c>
      <c r="T28" s="16">
        <f>Q28+S28</f>
        <v>67260</v>
      </c>
      <c r="U28" s="16" t="s">
        <v>1772</v>
      </c>
      <c r="V28" s="16" t="s">
        <v>1770</v>
      </c>
    </row>
    <row r="29" spans="1:22" ht="25.2" x14ac:dyDescent="0.3">
      <c r="A29" s="153"/>
      <c r="B29" s="153"/>
      <c r="C29" s="153"/>
      <c r="D29" s="153"/>
      <c r="E29" s="172"/>
      <c r="F29" s="39" t="s">
        <v>1249</v>
      </c>
      <c r="G29" s="16">
        <v>6</v>
      </c>
      <c r="H29" s="16" t="s">
        <v>28</v>
      </c>
      <c r="I29" s="16">
        <v>8500</v>
      </c>
      <c r="J29" s="16">
        <f t="shared" ref="J29:J75" si="8">G29*I29</f>
        <v>51000</v>
      </c>
      <c r="K29" s="16">
        <v>6</v>
      </c>
      <c r="L29" s="16" t="s">
        <v>28</v>
      </c>
      <c r="M29" s="16" t="s">
        <v>91</v>
      </c>
      <c r="N29" s="16" t="s">
        <v>1456</v>
      </c>
      <c r="O29" s="16">
        <v>6</v>
      </c>
      <c r="P29" s="16">
        <v>8500</v>
      </c>
      <c r="Q29" s="16">
        <f t="shared" ref="Q29:Q34" si="9">O29*P29</f>
        <v>51000</v>
      </c>
      <c r="R29" s="18">
        <v>0.18</v>
      </c>
      <c r="S29" s="16">
        <f t="shared" ref="S29:S34" si="10">Q29*R29</f>
        <v>9180</v>
      </c>
      <c r="T29" s="16">
        <f t="shared" ref="T29:T34" si="11">Q29+S29</f>
        <v>60180</v>
      </c>
      <c r="U29" s="16" t="s">
        <v>1772</v>
      </c>
      <c r="V29" s="16" t="s">
        <v>1770</v>
      </c>
    </row>
    <row r="30" spans="1:22" ht="25.2" x14ac:dyDescent="0.3">
      <c r="A30" s="153"/>
      <c r="B30" s="153"/>
      <c r="C30" s="153"/>
      <c r="D30" s="153"/>
      <c r="E30" s="172"/>
      <c r="F30" s="39" t="s">
        <v>1250</v>
      </c>
      <c r="G30" s="16">
        <v>18</v>
      </c>
      <c r="H30" s="16" t="s">
        <v>28</v>
      </c>
      <c r="I30" s="16">
        <v>5500</v>
      </c>
      <c r="J30" s="16">
        <f t="shared" si="8"/>
        <v>99000</v>
      </c>
      <c r="K30" s="16">
        <v>18</v>
      </c>
      <c r="L30" s="16" t="s">
        <v>28</v>
      </c>
      <c r="M30" s="16" t="s">
        <v>91</v>
      </c>
      <c r="N30" s="16" t="s">
        <v>1456</v>
      </c>
      <c r="O30" s="16">
        <v>18</v>
      </c>
      <c r="P30" s="16">
        <v>5500</v>
      </c>
      <c r="Q30" s="16">
        <f t="shared" si="9"/>
        <v>99000</v>
      </c>
      <c r="R30" s="18">
        <v>0.18</v>
      </c>
      <c r="S30" s="16">
        <f t="shared" si="10"/>
        <v>17820</v>
      </c>
      <c r="T30" s="16">
        <f t="shared" si="11"/>
        <v>116820</v>
      </c>
      <c r="U30" s="16" t="s">
        <v>1772</v>
      </c>
      <c r="V30" s="16" t="s">
        <v>1770</v>
      </c>
    </row>
    <row r="31" spans="1:22" ht="37.799999999999997" x14ac:dyDescent="0.3">
      <c r="A31" s="153"/>
      <c r="B31" s="153"/>
      <c r="C31" s="153"/>
      <c r="D31" s="153"/>
      <c r="E31" s="172"/>
      <c r="F31" s="39" t="s">
        <v>1251</v>
      </c>
      <c r="G31" s="16">
        <v>15</v>
      </c>
      <c r="H31" s="16" t="s">
        <v>28</v>
      </c>
      <c r="I31" s="16">
        <v>3500</v>
      </c>
      <c r="J31" s="16">
        <f t="shared" si="8"/>
        <v>52500</v>
      </c>
      <c r="K31" s="16">
        <v>15</v>
      </c>
      <c r="L31" s="16" t="s">
        <v>60</v>
      </c>
      <c r="M31" s="16" t="s">
        <v>91</v>
      </c>
      <c r="N31" s="16" t="s">
        <v>1669</v>
      </c>
      <c r="O31" s="16">
        <v>15</v>
      </c>
      <c r="P31" s="16">
        <v>3500</v>
      </c>
      <c r="Q31" s="16">
        <f t="shared" si="9"/>
        <v>52500</v>
      </c>
      <c r="R31" s="18">
        <v>0.18</v>
      </c>
      <c r="S31" s="16">
        <f t="shared" si="10"/>
        <v>9450</v>
      </c>
      <c r="T31" s="16">
        <f t="shared" si="11"/>
        <v>61950</v>
      </c>
      <c r="U31" s="16" t="s">
        <v>1772</v>
      </c>
      <c r="V31" s="16" t="s">
        <v>1770</v>
      </c>
    </row>
    <row r="32" spans="1:22" ht="37.799999999999997" x14ac:dyDescent="0.3">
      <c r="A32" s="153"/>
      <c r="B32" s="153"/>
      <c r="C32" s="153"/>
      <c r="D32" s="153"/>
      <c r="E32" s="172"/>
      <c r="F32" s="39" t="s">
        <v>1252</v>
      </c>
      <c r="G32" s="16">
        <v>15</v>
      </c>
      <c r="H32" s="16" t="s">
        <v>28</v>
      </c>
      <c r="I32" s="16">
        <v>1900</v>
      </c>
      <c r="J32" s="16">
        <f t="shared" si="8"/>
        <v>28500</v>
      </c>
      <c r="K32" s="16">
        <v>15</v>
      </c>
      <c r="L32" s="16" t="s">
        <v>60</v>
      </c>
      <c r="M32" s="16" t="s">
        <v>91</v>
      </c>
      <c r="N32" s="16" t="s">
        <v>1668</v>
      </c>
      <c r="O32" s="16">
        <v>15</v>
      </c>
      <c r="P32" s="16">
        <v>1900</v>
      </c>
      <c r="Q32" s="16">
        <f t="shared" si="9"/>
        <v>28500</v>
      </c>
      <c r="R32" s="18">
        <v>0.18</v>
      </c>
      <c r="S32" s="16">
        <f t="shared" si="10"/>
        <v>5130</v>
      </c>
      <c r="T32" s="16">
        <f t="shared" si="11"/>
        <v>33630</v>
      </c>
      <c r="U32" s="16" t="s">
        <v>1772</v>
      </c>
      <c r="V32" s="16" t="s">
        <v>1770</v>
      </c>
    </row>
    <row r="33" spans="1:22" ht="37.799999999999997" x14ac:dyDescent="0.3">
      <c r="A33" s="153"/>
      <c r="B33" s="153"/>
      <c r="C33" s="153"/>
      <c r="D33" s="153"/>
      <c r="E33" s="172"/>
      <c r="F33" s="39" t="s">
        <v>1523</v>
      </c>
      <c r="G33" s="16">
        <v>15</v>
      </c>
      <c r="H33" s="16" t="s">
        <v>28</v>
      </c>
      <c r="I33" s="16">
        <v>1050</v>
      </c>
      <c r="J33" s="16">
        <f t="shared" si="8"/>
        <v>15750</v>
      </c>
      <c r="K33" s="16">
        <v>15</v>
      </c>
      <c r="L33" s="16" t="s">
        <v>60</v>
      </c>
      <c r="M33" s="16" t="s">
        <v>91</v>
      </c>
      <c r="N33" s="16" t="s">
        <v>1668</v>
      </c>
      <c r="O33" s="16">
        <v>15</v>
      </c>
      <c r="P33" s="16">
        <v>1050</v>
      </c>
      <c r="Q33" s="16">
        <f t="shared" si="9"/>
        <v>15750</v>
      </c>
      <c r="R33" s="18">
        <v>0.18</v>
      </c>
      <c r="S33" s="16">
        <f t="shared" si="10"/>
        <v>2835</v>
      </c>
      <c r="T33" s="16">
        <f t="shared" si="11"/>
        <v>18585</v>
      </c>
      <c r="U33" s="16" t="s">
        <v>1772</v>
      </c>
      <c r="V33" s="16" t="s">
        <v>1770</v>
      </c>
    </row>
    <row r="34" spans="1:22" ht="37.799999999999997" x14ac:dyDescent="0.3">
      <c r="A34" s="153"/>
      <c r="B34" s="153"/>
      <c r="C34" s="153"/>
      <c r="D34" s="153"/>
      <c r="E34" s="172"/>
      <c r="F34" s="39" t="s">
        <v>1524</v>
      </c>
      <c r="G34" s="16">
        <v>10</v>
      </c>
      <c r="H34" s="16" t="s">
        <v>28</v>
      </c>
      <c r="I34" s="16">
        <v>450</v>
      </c>
      <c r="J34" s="16">
        <f t="shared" si="8"/>
        <v>4500</v>
      </c>
      <c r="K34" s="16">
        <v>10</v>
      </c>
      <c r="L34" s="16" t="s">
        <v>60</v>
      </c>
      <c r="M34" s="16" t="s">
        <v>91</v>
      </c>
      <c r="N34" s="16" t="s">
        <v>1668</v>
      </c>
      <c r="O34" s="16">
        <v>10</v>
      </c>
      <c r="P34" s="16">
        <v>450</v>
      </c>
      <c r="Q34" s="16">
        <f t="shared" si="9"/>
        <v>4500</v>
      </c>
      <c r="R34" s="18">
        <v>0.18</v>
      </c>
      <c r="S34" s="16">
        <f t="shared" si="10"/>
        <v>810</v>
      </c>
      <c r="T34" s="16">
        <f t="shared" si="11"/>
        <v>5310</v>
      </c>
      <c r="U34" s="16" t="s">
        <v>1772</v>
      </c>
      <c r="V34" s="16" t="s">
        <v>1770</v>
      </c>
    </row>
    <row r="35" spans="1:22" x14ac:dyDescent="0.3">
      <c r="A35" s="1"/>
      <c r="B35" s="1"/>
      <c r="C35" s="1"/>
      <c r="D35" s="1"/>
      <c r="E35" s="1"/>
      <c r="F35" s="124" t="s">
        <v>39</v>
      </c>
      <c r="G35" s="48"/>
      <c r="H35" s="48"/>
      <c r="I35" s="48"/>
      <c r="J35" s="124">
        <f>SUM(J28:J34)</f>
        <v>308250</v>
      </c>
      <c r="K35" s="153"/>
      <c r="L35" s="48"/>
      <c r="M35" s="48"/>
      <c r="N35" s="48"/>
      <c r="O35" s="48"/>
      <c r="P35" s="48"/>
      <c r="Q35" s="48"/>
      <c r="R35" s="48"/>
      <c r="S35" s="48"/>
      <c r="T35" s="48"/>
      <c r="U35" s="48"/>
      <c r="V35" s="48"/>
    </row>
    <row r="36" spans="1:22" x14ac:dyDescent="0.3">
      <c r="A36" s="1"/>
      <c r="B36" s="1"/>
      <c r="C36" s="1"/>
      <c r="D36" s="1"/>
      <c r="E36" s="1"/>
      <c r="F36" s="124" t="s">
        <v>187</v>
      </c>
      <c r="G36" s="48"/>
      <c r="H36" s="48"/>
      <c r="I36" s="48"/>
      <c r="J36" s="124">
        <f>J35*18/100</f>
        <v>55485</v>
      </c>
      <c r="K36" s="153"/>
      <c r="L36" s="48"/>
      <c r="M36" s="48"/>
      <c r="N36" s="48"/>
      <c r="O36" s="48"/>
      <c r="P36" s="48"/>
      <c r="Q36" s="48"/>
      <c r="R36" s="48"/>
      <c r="S36" s="48"/>
      <c r="T36" s="48"/>
      <c r="U36" s="48"/>
      <c r="V36" s="48"/>
    </row>
    <row r="37" spans="1:22" x14ac:dyDescent="0.3">
      <c r="A37" s="1"/>
      <c r="B37" s="1"/>
      <c r="C37" s="1"/>
      <c r="D37" s="1"/>
      <c r="E37" s="1"/>
      <c r="F37" s="124" t="s">
        <v>41</v>
      </c>
      <c r="G37" s="48"/>
      <c r="H37" s="48"/>
      <c r="I37" s="48"/>
      <c r="J37" s="124">
        <f>SUM(J35:J36)</f>
        <v>363735</v>
      </c>
      <c r="K37" s="153"/>
      <c r="L37" s="153"/>
      <c r="M37" s="153"/>
      <c r="N37" s="153"/>
      <c r="O37" s="153"/>
      <c r="P37" s="153"/>
      <c r="Q37" s="153"/>
      <c r="R37" s="153"/>
      <c r="S37" s="153"/>
      <c r="T37" s="48">
        <f>SUM(T28:T36)</f>
        <v>363735</v>
      </c>
      <c r="U37" s="153"/>
      <c r="V37" s="153"/>
    </row>
    <row r="38" spans="1:22" x14ac:dyDescent="0.3">
      <c r="A38" s="153"/>
      <c r="B38" s="153"/>
      <c r="C38" s="153"/>
      <c r="D38" s="153"/>
      <c r="E38" s="153"/>
      <c r="F38" s="48"/>
      <c r="G38" s="48"/>
      <c r="H38" s="48"/>
      <c r="I38" s="48"/>
      <c r="J38" s="1">
        <f t="shared" si="8"/>
        <v>0</v>
      </c>
      <c r="K38" s="153"/>
      <c r="L38" s="153"/>
      <c r="M38" s="153"/>
      <c r="N38" s="153"/>
      <c r="O38" s="153"/>
      <c r="P38" s="153"/>
      <c r="Q38" s="153"/>
      <c r="R38" s="153"/>
      <c r="S38" s="153"/>
      <c r="T38" s="153"/>
      <c r="U38" s="153"/>
      <c r="V38" s="153"/>
    </row>
    <row r="39" spans="1:22" x14ac:dyDescent="0.3">
      <c r="A39" s="153"/>
      <c r="B39" s="153"/>
      <c r="C39" s="153"/>
      <c r="D39" s="153"/>
      <c r="E39" s="153"/>
      <c r="F39" s="48"/>
      <c r="G39" s="48"/>
      <c r="H39" s="48"/>
      <c r="I39" s="48"/>
      <c r="J39" s="1">
        <f t="shared" si="8"/>
        <v>0</v>
      </c>
      <c r="K39" s="153"/>
      <c r="L39" s="153"/>
      <c r="M39" s="153"/>
      <c r="N39" s="153"/>
      <c r="O39" s="153"/>
      <c r="P39" s="153"/>
      <c r="Q39" s="153"/>
      <c r="R39" s="153"/>
      <c r="S39" s="153"/>
      <c r="T39" s="153"/>
      <c r="U39" s="153"/>
      <c r="V39" s="153"/>
    </row>
    <row r="40" spans="1:22" x14ac:dyDescent="0.3">
      <c r="A40" s="153"/>
      <c r="B40" s="153"/>
      <c r="C40" s="153"/>
      <c r="D40" s="153"/>
      <c r="E40" s="153"/>
      <c r="F40" s="48"/>
      <c r="G40" s="48"/>
      <c r="H40" s="48"/>
      <c r="I40" s="48"/>
      <c r="J40" s="1">
        <f t="shared" si="8"/>
        <v>0</v>
      </c>
      <c r="K40" s="153"/>
      <c r="L40" s="153"/>
      <c r="M40" s="153"/>
      <c r="N40" s="153"/>
      <c r="O40" s="153"/>
      <c r="P40" s="153"/>
      <c r="Q40" s="153"/>
      <c r="R40" s="153"/>
      <c r="S40" s="153"/>
      <c r="T40" s="153"/>
      <c r="U40" s="153"/>
      <c r="V40" s="153"/>
    </row>
    <row r="41" spans="1:22" x14ac:dyDescent="0.3">
      <c r="A41" s="153"/>
      <c r="B41" s="153"/>
      <c r="C41" s="153"/>
      <c r="D41" s="153"/>
      <c r="E41" s="153"/>
      <c r="F41" s="48"/>
      <c r="G41" s="48"/>
      <c r="H41" s="48"/>
      <c r="I41" s="48"/>
      <c r="J41" s="1">
        <f t="shared" si="8"/>
        <v>0</v>
      </c>
      <c r="K41" s="153"/>
      <c r="L41" s="153"/>
      <c r="M41" s="153"/>
      <c r="N41" s="153"/>
      <c r="O41" s="153"/>
      <c r="P41" s="153"/>
      <c r="Q41" s="153"/>
      <c r="R41" s="153"/>
      <c r="S41" s="153"/>
      <c r="T41" s="153"/>
      <c r="U41" s="153"/>
      <c r="V41" s="153"/>
    </row>
    <row r="42" spans="1:22" x14ac:dyDescent="0.3">
      <c r="A42" s="153"/>
      <c r="B42" s="153"/>
      <c r="C42" s="153"/>
      <c r="D42" s="153"/>
      <c r="E42" s="153"/>
      <c r="F42" s="48"/>
      <c r="G42" s="48"/>
      <c r="H42" s="48"/>
      <c r="I42" s="48"/>
      <c r="J42" s="1">
        <f t="shared" si="8"/>
        <v>0</v>
      </c>
      <c r="K42" s="153"/>
      <c r="L42" s="153"/>
      <c r="M42" s="153"/>
      <c r="N42" s="153"/>
      <c r="O42" s="153"/>
      <c r="P42" s="153"/>
      <c r="Q42" s="153"/>
      <c r="R42" s="153"/>
      <c r="S42" s="153"/>
      <c r="T42" s="153"/>
      <c r="U42" s="153"/>
      <c r="V42" s="153"/>
    </row>
    <row r="43" spans="1:22" x14ac:dyDescent="0.3">
      <c r="A43" s="153"/>
      <c r="B43" s="153"/>
      <c r="C43" s="153"/>
      <c r="D43" s="153"/>
      <c r="E43" s="153"/>
      <c r="F43" s="48"/>
      <c r="G43" s="48"/>
      <c r="H43" s="48"/>
      <c r="I43" s="48"/>
      <c r="J43" s="1">
        <f t="shared" si="8"/>
        <v>0</v>
      </c>
      <c r="K43" s="153"/>
      <c r="L43" s="153"/>
      <c r="M43" s="153"/>
      <c r="N43" s="153"/>
      <c r="O43" s="153"/>
      <c r="P43" s="153"/>
      <c r="Q43" s="153"/>
      <c r="R43" s="153"/>
      <c r="S43" s="153"/>
      <c r="T43" s="153"/>
      <c r="U43" s="153"/>
      <c r="V43" s="153"/>
    </row>
    <row r="44" spans="1:22" x14ac:dyDescent="0.3">
      <c r="A44" s="153"/>
      <c r="B44" s="153"/>
      <c r="C44" s="153"/>
      <c r="D44" s="153"/>
      <c r="E44" s="153"/>
      <c r="F44" s="48"/>
      <c r="G44" s="48"/>
      <c r="H44" s="48"/>
      <c r="I44" s="48"/>
      <c r="J44" s="1">
        <f t="shared" si="8"/>
        <v>0</v>
      </c>
      <c r="K44" s="153"/>
      <c r="L44" s="153"/>
      <c r="M44" s="153"/>
      <c r="N44" s="153"/>
      <c r="O44" s="153"/>
      <c r="P44" s="153"/>
      <c r="Q44" s="153"/>
      <c r="R44" s="153"/>
      <c r="S44" s="153"/>
      <c r="T44" s="153"/>
      <c r="U44" s="153"/>
      <c r="V44" s="153"/>
    </row>
    <row r="45" spans="1:22" x14ac:dyDescent="0.3">
      <c r="A45" s="153"/>
      <c r="B45" s="153"/>
      <c r="C45" s="153"/>
      <c r="D45" s="153"/>
      <c r="E45" s="153"/>
      <c r="F45" s="48"/>
      <c r="G45" s="48"/>
      <c r="H45" s="48"/>
      <c r="I45" s="48"/>
      <c r="J45" s="1">
        <f t="shared" si="8"/>
        <v>0</v>
      </c>
      <c r="K45" s="153"/>
      <c r="L45" s="153"/>
      <c r="M45" s="153"/>
      <c r="N45" s="153"/>
      <c r="O45" s="153"/>
      <c r="P45" s="153"/>
      <c r="Q45" s="153"/>
      <c r="R45" s="153"/>
      <c r="S45" s="153"/>
      <c r="T45" s="153"/>
      <c r="U45" s="153"/>
      <c r="V45" s="153"/>
    </row>
    <row r="46" spans="1:22" x14ac:dyDescent="0.3">
      <c r="A46" s="153"/>
      <c r="B46" s="153"/>
      <c r="C46" s="153"/>
      <c r="D46" s="153"/>
      <c r="E46" s="153"/>
      <c r="F46" s="48"/>
      <c r="G46" s="48"/>
      <c r="H46" s="48"/>
      <c r="I46" s="48"/>
      <c r="J46" s="1">
        <f t="shared" si="8"/>
        <v>0</v>
      </c>
      <c r="K46" s="153"/>
      <c r="L46" s="153"/>
      <c r="M46" s="153"/>
      <c r="N46" s="153"/>
      <c r="O46" s="153"/>
      <c r="P46" s="153"/>
      <c r="Q46" s="153"/>
      <c r="R46" s="153"/>
      <c r="S46" s="153"/>
      <c r="T46" s="153"/>
      <c r="U46" s="153"/>
      <c r="V46" s="153"/>
    </row>
    <row r="47" spans="1:22" x14ac:dyDescent="0.3">
      <c r="A47" s="153"/>
      <c r="B47" s="153"/>
      <c r="C47" s="153"/>
      <c r="D47" s="153"/>
      <c r="E47" s="153"/>
      <c r="F47" s="48"/>
      <c r="G47" s="48"/>
      <c r="H47" s="48"/>
      <c r="I47" s="48"/>
      <c r="J47" s="1">
        <f t="shared" si="8"/>
        <v>0</v>
      </c>
      <c r="K47" s="153"/>
      <c r="L47" s="153"/>
      <c r="M47" s="153"/>
      <c r="N47" s="153"/>
      <c r="O47" s="153"/>
      <c r="P47" s="153"/>
      <c r="Q47" s="153"/>
      <c r="R47" s="153"/>
      <c r="S47" s="153"/>
      <c r="T47" s="153"/>
      <c r="U47" s="153"/>
      <c r="V47" s="153"/>
    </row>
    <row r="48" spans="1:22" x14ac:dyDescent="0.3">
      <c r="A48" s="153"/>
      <c r="B48" s="153"/>
      <c r="C48" s="153"/>
      <c r="D48" s="153"/>
      <c r="E48" s="153"/>
      <c r="F48" s="48"/>
      <c r="G48" s="48"/>
      <c r="H48" s="48"/>
      <c r="I48" s="48"/>
      <c r="J48" s="1">
        <f t="shared" si="8"/>
        <v>0</v>
      </c>
      <c r="K48" s="153"/>
      <c r="L48" s="153"/>
      <c r="M48" s="153"/>
      <c r="N48" s="153"/>
      <c r="O48" s="153"/>
      <c r="P48" s="153"/>
      <c r="Q48" s="153"/>
      <c r="R48" s="153"/>
      <c r="S48" s="153"/>
      <c r="T48" s="153"/>
      <c r="U48" s="153"/>
      <c r="V48" s="153"/>
    </row>
    <row r="49" spans="1:22" x14ac:dyDescent="0.3">
      <c r="A49" s="153"/>
      <c r="B49" s="153"/>
      <c r="C49" s="153"/>
      <c r="D49" s="153"/>
      <c r="E49" s="153"/>
      <c r="F49" s="48"/>
      <c r="G49" s="48"/>
      <c r="H49" s="48"/>
      <c r="I49" s="48"/>
      <c r="J49" s="1">
        <f t="shared" si="8"/>
        <v>0</v>
      </c>
      <c r="K49" s="153"/>
      <c r="L49" s="153"/>
      <c r="M49" s="153"/>
      <c r="N49" s="153"/>
      <c r="O49" s="153"/>
      <c r="P49" s="153"/>
      <c r="Q49" s="153"/>
      <c r="R49" s="153"/>
      <c r="S49" s="153"/>
      <c r="T49" s="153"/>
      <c r="U49" s="153"/>
      <c r="V49" s="153"/>
    </row>
    <row r="50" spans="1:22" x14ac:dyDescent="0.3">
      <c r="A50" s="153"/>
      <c r="B50" s="153"/>
      <c r="C50" s="153"/>
      <c r="D50" s="153"/>
      <c r="E50" s="153"/>
      <c r="F50" s="48"/>
      <c r="G50" s="48"/>
      <c r="H50" s="48"/>
      <c r="I50" s="48"/>
      <c r="J50" s="1">
        <f t="shared" si="8"/>
        <v>0</v>
      </c>
      <c r="K50" s="153"/>
      <c r="L50" s="153"/>
      <c r="M50" s="153"/>
      <c r="N50" s="153"/>
      <c r="O50" s="153"/>
      <c r="P50" s="153"/>
      <c r="Q50" s="153"/>
      <c r="R50" s="153"/>
      <c r="S50" s="153"/>
      <c r="T50" s="153"/>
      <c r="U50" s="153"/>
      <c r="V50" s="153"/>
    </row>
    <row r="51" spans="1:22" x14ac:dyDescent="0.3">
      <c r="A51" s="153"/>
      <c r="B51" s="153"/>
      <c r="C51" s="153"/>
      <c r="D51" s="153"/>
      <c r="E51" s="153"/>
      <c r="F51" s="48"/>
      <c r="G51" s="48"/>
      <c r="H51" s="48"/>
      <c r="I51" s="48"/>
      <c r="J51" s="1">
        <f t="shared" si="8"/>
        <v>0</v>
      </c>
      <c r="K51" s="153"/>
      <c r="L51" s="153"/>
      <c r="M51" s="153"/>
      <c r="N51" s="153"/>
      <c r="O51" s="153"/>
      <c r="P51" s="153"/>
      <c r="Q51" s="153"/>
      <c r="R51" s="153"/>
      <c r="S51" s="153"/>
      <c r="T51" s="153"/>
      <c r="U51" s="153"/>
      <c r="V51" s="153"/>
    </row>
    <row r="52" spans="1:22" x14ac:dyDescent="0.3">
      <c r="A52" s="153"/>
      <c r="B52" s="153"/>
      <c r="C52" s="153"/>
      <c r="D52" s="153"/>
      <c r="E52" s="153"/>
      <c r="F52" s="48"/>
      <c r="G52" s="48"/>
      <c r="H52" s="48"/>
      <c r="I52" s="48"/>
      <c r="J52" s="1">
        <f t="shared" si="8"/>
        <v>0</v>
      </c>
      <c r="K52" s="153"/>
      <c r="L52" s="153"/>
      <c r="M52" s="153"/>
      <c r="N52" s="153"/>
      <c r="O52" s="153"/>
      <c r="P52" s="153"/>
      <c r="Q52" s="153"/>
      <c r="R52" s="153"/>
      <c r="S52" s="153"/>
      <c r="T52" s="153"/>
      <c r="U52" s="153"/>
      <c r="V52" s="153"/>
    </row>
    <row r="53" spans="1:22" x14ac:dyDescent="0.3">
      <c r="A53" s="153"/>
      <c r="B53" s="153"/>
      <c r="C53" s="153"/>
      <c r="D53" s="153"/>
      <c r="E53" s="153"/>
      <c r="F53" s="48"/>
      <c r="G53" s="48"/>
      <c r="H53" s="48"/>
      <c r="I53" s="48"/>
      <c r="J53" s="1">
        <f t="shared" si="8"/>
        <v>0</v>
      </c>
      <c r="K53" s="153"/>
      <c r="L53" s="153"/>
      <c r="M53" s="153"/>
      <c r="N53" s="153"/>
      <c r="O53" s="153"/>
      <c r="P53" s="153"/>
      <c r="Q53" s="153"/>
      <c r="R53" s="153"/>
      <c r="S53" s="153"/>
      <c r="T53" s="153"/>
      <c r="U53" s="153"/>
      <c r="V53" s="153"/>
    </row>
    <row r="54" spans="1:22" x14ac:dyDescent="0.3">
      <c r="A54" s="153"/>
      <c r="B54" s="153"/>
      <c r="C54" s="153"/>
      <c r="D54" s="153"/>
      <c r="E54" s="153"/>
      <c r="F54" s="48"/>
      <c r="G54" s="48"/>
      <c r="H54" s="48"/>
      <c r="I54" s="48"/>
      <c r="J54" s="1">
        <f t="shared" si="8"/>
        <v>0</v>
      </c>
      <c r="K54" s="153"/>
      <c r="L54" s="153"/>
      <c r="M54" s="153"/>
      <c r="N54" s="153"/>
      <c r="O54" s="153"/>
      <c r="P54" s="153"/>
      <c r="Q54" s="153"/>
      <c r="R54" s="153"/>
      <c r="S54" s="153"/>
      <c r="T54" s="153"/>
      <c r="U54" s="153"/>
      <c r="V54" s="153"/>
    </row>
    <row r="55" spans="1:22" x14ac:dyDescent="0.3">
      <c r="A55" s="153"/>
      <c r="B55" s="153"/>
      <c r="C55" s="153"/>
      <c r="D55" s="153"/>
      <c r="E55" s="153"/>
      <c r="F55" s="48"/>
      <c r="G55" s="48"/>
      <c r="H55" s="48"/>
      <c r="I55" s="48"/>
      <c r="J55" s="1">
        <f t="shared" si="8"/>
        <v>0</v>
      </c>
      <c r="K55" s="153"/>
      <c r="L55" s="153"/>
      <c r="M55" s="153"/>
      <c r="N55" s="153"/>
      <c r="O55" s="153"/>
      <c r="P55" s="153"/>
      <c r="Q55" s="153"/>
      <c r="R55" s="153"/>
      <c r="S55" s="153"/>
      <c r="T55" s="153"/>
      <c r="U55" s="153"/>
      <c r="V55" s="153"/>
    </row>
    <row r="56" spans="1:22" x14ac:dyDescent="0.3">
      <c r="A56" s="153"/>
      <c r="B56" s="153"/>
      <c r="C56" s="153"/>
      <c r="D56" s="153"/>
      <c r="E56" s="153"/>
      <c r="F56" s="48"/>
      <c r="G56" s="48"/>
      <c r="H56" s="48"/>
      <c r="I56" s="48"/>
      <c r="J56" s="1">
        <f t="shared" si="8"/>
        <v>0</v>
      </c>
      <c r="K56" s="153"/>
      <c r="L56" s="153"/>
      <c r="M56" s="153"/>
      <c r="N56" s="153"/>
      <c r="O56" s="153"/>
      <c r="P56" s="153"/>
      <c r="Q56" s="153"/>
      <c r="R56" s="153"/>
      <c r="S56" s="153"/>
      <c r="T56" s="153"/>
      <c r="U56" s="153"/>
      <c r="V56" s="153"/>
    </row>
    <row r="57" spans="1:22" x14ac:dyDescent="0.3">
      <c r="A57" s="153"/>
      <c r="B57" s="153"/>
      <c r="C57" s="153"/>
      <c r="D57" s="153"/>
      <c r="E57" s="153"/>
      <c r="F57" s="48"/>
      <c r="G57" s="48"/>
      <c r="H57" s="48"/>
      <c r="I57" s="48"/>
      <c r="J57" s="1">
        <f t="shared" si="8"/>
        <v>0</v>
      </c>
      <c r="K57" s="153"/>
      <c r="L57" s="153"/>
      <c r="M57" s="153"/>
      <c r="N57" s="153"/>
      <c r="O57" s="153"/>
      <c r="P57" s="153"/>
      <c r="Q57" s="153"/>
      <c r="R57" s="153"/>
      <c r="S57" s="153"/>
      <c r="T57" s="153"/>
      <c r="U57" s="153"/>
      <c r="V57" s="153"/>
    </row>
    <row r="58" spans="1:22" x14ac:dyDescent="0.3">
      <c r="A58" s="153"/>
      <c r="B58" s="153"/>
      <c r="C58" s="153"/>
      <c r="D58" s="153"/>
      <c r="E58" s="153"/>
      <c r="F58" s="48"/>
      <c r="G58" s="48"/>
      <c r="H58" s="48"/>
      <c r="I58" s="48"/>
      <c r="J58" s="1">
        <f t="shared" si="8"/>
        <v>0</v>
      </c>
      <c r="K58" s="153"/>
      <c r="L58" s="153"/>
      <c r="M58" s="153"/>
      <c r="N58" s="153"/>
      <c r="O58" s="153"/>
      <c r="P58" s="153"/>
      <c r="Q58" s="153"/>
      <c r="R58" s="153"/>
      <c r="S58" s="153"/>
      <c r="T58" s="153"/>
      <c r="U58" s="153"/>
      <c r="V58" s="153"/>
    </row>
    <row r="59" spans="1:22" x14ac:dyDescent="0.3">
      <c r="A59" s="153"/>
      <c r="B59" s="153"/>
      <c r="C59" s="153"/>
      <c r="D59" s="153"/>
      <c r="E59" s="153"/>
      <c r="F59" s="48"/>
      <c r="G59" s="48"/>
      <c r="H59" s="48"/>
      <c r="I59" s="48"/>
      <c r="J59" s="1">
        <f t="shared" si="8"/>
        <v>0</v>
      </c>
      <c r="K59" s="153"/>
      <c r="L59" s="153"/>
      <c r="M59" s="153"/>
      <c r="N59" s="153"/>
      <c r="O59" s="153"/>
      <c r="P59" s="153"/>
      <c r="Q59" s="153"/>
      <c r="R59" s="153"/>
      <c r="S59" s="153"/>
      <c r="T59" s="153"/>
      <c r="U59" s="153"/>
      <c r="V59" s="153"/>
    </row>
    <row r="60" spans="1:22" x14ac:dyDescent="0.3">
      <c r="A60" s="153"/>
      <c r="B60" s="153"/>
      <c r="C60" s="153"/>
      <c r="D60" s="153"/>
      <c r="E60" s="153"/>
      <c r="F60" s="48"/>
      <c r="G60" s="48"/>
      <c r="H60" s="48"/>
      <c r="I60" s="48"/>
      <c r="J60" s="1">
        <f t="shared" si="8"/>
        <v>0</v>
      </c>
      <c r="K60" s="153"/>
      <c r="L60" s="153"/>
      <c r="M60" s="153"/>
      <c r="N60" s="153"/>
      <c r="O60" s="153"/>
      <c r="P60" s="153"/>
      <c r="Q60" s="153"/>
      <c r="R60" s="153"/>
      <c r="S60" s="153"/>
      <c r="T60" s="153"/>
      <c r="U60" s="153"/>
      <c r="V60" s="153"/>
    </row>
    <row r="61" spans="1:22" x14ac:dyDescent="0.3">
      <c r="A61" s="153"/>
      <c r="B61" s="153"/>
      <c r="C61" s="153"/>
      <c r="D61" s="153"/>
      <c r="E61" s="153"/>
      <c r="F61" s="48"/>
      <c r="G61" s="48"/>
      <c r="H61" s="48"/>
      <c r="I61" s="48"/>
      <c r="J61" s="1">
        <f t="shared" si="8"/>
        <v>0</v>
      </c>
      <c r="K61" s="153"/>
      <c r="L61" s="153"/>
      <c r="M61" s="153"/>
      <c r="N61" s="153"/>
      <c r="O61" s="153"/>
      <c r="P61" s="153"/>
      <c r="Q61" s="153"/>
      <c r="R61" s="153"/>
      <c r="S61" s="153"/>
      <c r="T61" s="153"/>
      <c r="U61" s="153"/>
      <c r="V61" s="153"/>
    </row>
    <row r="62" spans="1:22" x14ac:dyDescent="0.3">
      <c r="A62" s="153"/>
      <c r="B62" s="153"/>
      <c r="C62" s="153"/>
      <c r="D62" s="153"/>
      <c r="E62" s="153"/>
      <c r="F62" s="48"/>
      <c r="G62" s="48"/>
      <c r="H62" s="48"/>
      <c r="I62" s="48"/>
      <c r="J62" s="1">
        <f t="shared" si="8"/>
        <v>0</v>
      </c>
      <c r="K62" s="153"/>
      <c r="L62" s="153"/>
      <c r="M62" s="153"/>
      <c r="N62" s="153"/>
      <c r="O62" s="153"/>
      <c r="P62" s="153"/>
      <c r="Q62" s="153"/>
      <c r="R62" s="153"/>
      <c r="S62" s="153"/>
      <c r="T62" s="153"/>
      <c r="U62" s="153"/>
      <c r="V62" s="153"/>
    </row>
    <row r="63" spans="1:22" x14ac:dyDescent="0.3">
      <c r="A63" s="153"/>
      <c r="B63" s="153"/>
      <c r="C63" s="153"/>
      <c r="D63" s="153"/>
      <c r="E63" s="153"/>
      <c r="F63" s="48"/>
      <c r="G63" s="48"/>
      <c r="H63" s="48"/>
      <c r="I63" s="48"/>
      <c r="J63" s="1">
        <f t="shared" si="8"/>
        <v>0</v>
      </c>
      <c r="K63" s="153"/>
      <c r="L63" s="153"/>
      <c r="M63" s="153"/>
      <c r="N63" s="153"/>
      <c r="O63" s="153"/>
      <c r="P63" s="153"/>
      <c r="Q63" s="153"/>
      <c r="R63" s="153"/>
      <c r="S63" s="153"/>
      <c r="T63" s="153"/>
      <c r="U63" s="153"/>
      <c r="V63" s="153"/>
    </row>
    <row r="64" spans="1:22" x14ac:dyDescent="0.3">
      <c r="A64" s="153"/>
      <c r="B64" s="153"/>
      <c r="C64" s="153"/>
      <c r="D64" s="153"/>
      <c r="E64" s="153"/>
      <c r="F64" s="48"/>
      <c r="G64" s="48"/>
      <c r="H64" s="48"/>
      <c r="I64" s="48"/>
      <c r="J64" s="1">
        <f t="shared" si="8"/>
        <v>0</v>
      </c>
      <c r="K64" s="153"/>
      <c r="L64" s="153"/>
      <c r="M64" s="153"/>
      <c r="N64" s="153"/>
      <c r="O64" s="153"/>
      <c r="P64" s="153"/>
      <c r="Q64" s="153"/>
      <c r="R64" s="153"/>
      <c r="S64" s="153"/>
      <c r="T64" s="153"/>
      <c r="U64" s="153"/>
      <c r="V64" s="153"/>
    </row>
    <row r="65" spans="1:22" x14ac:dyDescent="0.3">
      <c r="A65" s="153"/>
      <c r="B65" s="153"/>
      <c r="C65" s="153"/>
      <c r="D65" s="153"/>
      <c r="E65" s="153"/>
      <c r="F65" s="48"/>
      <c r="G65" s="48"/>
      <c r="H65" s="48"/>
      <c r="I65" s="48"/>
      <c r="J65" s="1">
        <f t="shared" si="8"/>
        <v>0</v>
      </c>
      <c r="K65" s="153"/>
      <c r="L65" s="153"/>
      <c r="M65" s="153"/>
      <c r="N65" s="153"/>
      <c r="O65" s="153"/>
      <c r="P65" s="153"/>
      <c r="Q65" s="153"/>
      <c r="R65" s="153"/>
      <c r="S65" s="153"/>
      <c r="T65" s="153"/>
      <c r="U65" s="153"/>
      <c r="V65" s="153"/>
    </row>
    <row r="66" spans="1:22" x14ac:dyDescent="0.3">
      <c r="A66" s="153"/>
      <c r="B66" s="153"/>
      <c r="C66" s="153"/>
      <c r="D66" s="153"/>
      <c r="E66" s="153"/>
      <c r="F66" s="48"/>
      <c r="G66" s="48"/>
      <c r="H66" s="48"/>
      <c r="I66" s="48"/>
      <c r="J66" s="1">
        <f t="shared" si="8"/>
        <v>0</v>
      </c>
      <c r="K66" s="153"/>
      <c r="L66" s="153"/>
      <c r="M66" s="153"/>
      <c r="N66" s="153"/>
      <c r="O66" s="153"/>
      <c r="P66" s="153"/>
      <c r="Q66" s="153"/>
      <c r="R66" s="153"/>
      <c r="S66" s="153"/>
      <c r="T66" s="153"/>
      <c r="U66" s="153"/>
      <c r="V66" s="153"/>
    </row>
    <row r="67" spans="1:22" x14ac:dyDescent="0.3">
      <c r="A67" s="153"/>
      <c r="B67" s="153"/>
      <c r="C67" s="153"/>
      <c r="D67" s="153"/>
      <c r="E67" s="153"/>
      <c r="F67" s="48"/>
      <c r="G67" s="48"/>
      <c r="H67" s="48"/>
      <c r="I67" s="48"/>
      <c r="J67" s="1">
        <f t="shared" si="8"/>
        <v>0</v>
      </c>
      <c r="K67" s="153"/>
      <c r="L67" s="153"/>
      <c r="M67" s="153"/>
      <c r="N67" s="153"/>
      <c r="O67" s="153"/>
      <c r="P67" s="153"/>
      <c r="Q67" s="153"/>
      <c r="R67" s="153"/>
      <c r="S67" s="153"/>
      <c r="T67" s="153"/>
      <c r="U67" s="153"/>
      <c r="V67" s="153"/>
    </row>
    <row r="68" spans="1:22" x14ac:dyDescent="0.3">
      <c r="A68" s="153"/>
      <c r="B68" s="153"/>
      <c r="C68" s="153"/>
      <c r="D68" s="153"/>
      <c r="E68" s="153"/>
      <c r="F68" s="48"/>
      <c r="G68" s="48"/>
      <c r="H68" s="48"/>
      <c r="I68" s="48"/>
      <c r="J68" s="1">
        <f t="shared" si="8"/>
        <v>0</v>
      </c>
      <c r="K68" s="153"/>
      <c r="L68" s="153"/>
      <c r="M68" s="153"/>
      <c r="N68" s="153"/>
      <c r="O68" s="153"/>
      <c r="P68" s="153"/>
      <c r="Q68" s="153"/>
      <c r="R68" s="153"/>
      <c r="S68" s="153"/>
      <c r="T68" s="153"/>
      <c r="U68" s="153"/>
      <c r="V68" s="153"/>
    </row>
    <row r="69" spans="1:22" x14ac:dyDescent="0.3">
      <c r="A69" s="153"/>
      <c r="B69" s="153"/>
      <c r="C69" s="153"/>
      <c r="D69" s="153"/>
      <c r="E69" s="153"/>
      <c r="F69" s="48"/>
      <c r="G69" s="48"/>
      <c r="H69" s="48"/>
      <c r="I69" s="48"/>
      <c r="J69" s="1">
        <f t="shared" si="8"/>
        <v>0</v>
      </c>
      <c r="K69" s="153"/>
      <c r="L69" s="153"/>
      <c r="M69" s="153"/>
      <c r="N69" s="153"/>
      <c r="O69" s="153"/>
      <c r="P69" s="153"/>
      <c r="Q69" s="153"/>
      <c r="R69" s="153"/>
      <c r="S69" s="153"/>
      <c r="T69" s="153"/>
      <c r="U69" s="153"/>
      <c r="V69" s="153"/>
    </row>
    <row r="70" spans="1:22" x14ac:dyDescent="0.3">
      <c r="A70" s="153"/>
      <c r="B70" s="153"/>
      <c r="C70" s="153"/>
      <c r="D70" s="153"/>
      <c r="E70" s="153"/>
      <c r="F70" s="48"/>
      <c r="G70" s="48"/>
      <c r="H70" s="48"/>
      <c r="I70" s="48"/>
      <c r="J70" s="1">
        <f t="shared" si="8"/>
        <v>0</v>
      </c>
      <c r="K70" s="153"/>
      <c r="L70" s="153"/>
      <c r="M70" s="153"/>
      <c r="N70" s="153"/>
      <c r="O70" s="153"/>
      <c r="P70" s="153"/>
      <c r="Q70" s="153"/>
      <c r="R70" s="153"/>
      <c r="S70" s="153"/>
      <c r="T70" s="153"/>
      <c r="U70" s="153"/>
      <c r="V70" s="153"/>
    </row>
    <row r="71" spans="1:22" x14ac:dyDescent="0.3">
      <c r="A71" s="153"/>
      <c r="B71" s="153"/>
      <c r="C71" s="153"/>
      <c r="D71" s="153"/>
      <c r="E71" s="153"/>
      <c r="F71" s="48"/>
      <c r="G71" s="48"/>
      <c r="H71" s="48"/>
      <c r="I71" s="48"/>
      <c r="J71" s="1">
        <f t="shared" si="8"/>
        <v>0</v>
      </c>
      <c r="K71" s="153"/>
      <c r="L71" s="153"/>
      <c r="M71" s="153"/>
      <c r="N71" s="153"/>
      <c r="O71" s="153"/>
      <c r="P71" s="153"/>
      <c r="Q71" s="153"/>
      <c r="R71" s="153"/>
      <c r="S71" s="153"/>
      <c r="T71" s="153"/>
      <c r="U71" s="153"/>
      <c r="V71" s="153"/>
    </row>
    <row r="72" spans="1:22" x14ac:dyDescent="0.3">
      <c r="A72" s="153"/>
      <c r="B72" s="153"/>
      <c r="C72" s="153"/>
      <c r="D72" s="153"/>
      <c r="E72" s="153"/>
      <c r="F72" s="48"/>
      <c r="G72" s="48"/>
      <c r="H72" s="48"/>
      <c r="I72" s="48"/>
      <c r="J72" s="1">
        <f t="shared" si="8"/>
        <v>0</v>
      </c>
      <c r="K72" s="153"/>
      <c r="L72" s="153"/>
      <c r="M72" s="153"/>
      <c r="N72" s="153"/>
      <c r="O72" s="153"/>
      <c r="P72" s="153"/>
      <c r="Q72" s="153"/>
      <c r="R72" s="153"/>
      <c r="S72" s="153"/>
      <c r="T72" s="153"/>
      <c r="U72" s="153"/>
      <c r="V72" s="153"/>
    </row>
    <row r="73" spans="1:22" x14ac:dyDescent="0.3">
      <c r="A73" s="153"/>
      <c r="B73" s="153"/>
      <c r="C73" s="153"/>
      <c r="D73" s="153"/>
      <c r="E73" s="153"/>
      <c r="F73" s="48"/>
      <c r="G73" s="48"/>
      <c r="H73" s="48"/>
      <c r="I73" s="48"/>
      <c r="J73" s="1">
        <f t="shared" si="8"/>
        <v>0</v>
      </c>
      <c r="K73" s="153"/>
      <c r="L73" s="153"/>
      <c r="M73" s="153"/>
      <c r="N73" s="153"/>
      <c r="O73" s="153"/>
      <c r="P73" s="153"/>
      <c r="Q73" s="153"/>
      <c r="R73" s="153"/>
      <c r="S73" s="153"/>
      <c r="T73" s="153"/>
      <c r="U73" s="153"/>
      <c r="V73" s="153"/>
    </row>
    <row r="74" spans="1:22" x14ac:dyDescent="0.3">
      <c r="A74" s="153"/>
      <c r="B74" s="153"/>
      <c r="C74" s="153"/>
      <c r="D74" s="153"/>
      <c r="E74" s="153"/>
      <c r="F74" s="48"/>
      <c r="G74" s="48"/>
      <c r="H74" s="48"/>
      <c r="I74" s="48"/>
      <c r="J74" s="1">
        <f t="shared" si="8"/>
        <v>0</v>
      </c>
      <c r="K74" s="153"/>
      <c r="L74" s="153"/>
      <c r="M74" s="153"/>
      <c r="N74" s="153"/>
      <c r="O74" s="153"/>
      <c r="P74" s="153"/>
      <c r="Q74" s="153"/>
      <c r="R74" s="153"/>
      <c r="S74" s="153"/>
      <c r="T74" s="153"/>
      <c r="U74" s="153"/>
      <c r="V74" s="153"/>
    </row>
    <row r="75" spans="1:22" x14ac:dyDescent="0.3">
      <c r="F75" s="71"/>
      <c r="G75" s="71"/>
      <c r="H75" s="71"/>
      <c r="I75" s="71"/>
      <c r="J75" s="1">
        <f t="shared" si="8"/>
        <v>0</v>
      </c>
    </row>
    <row r="76" spans="1:22" x14ac:dyDescent="0.3">
      <c r="F76" s="71"/>
      <c r="G76" s="71"/>
      <c r="H76" s="71"/>
      <c r="I76" s="71"/>
      <c r="J76" s="71"/>
    </row>
    <row r="77" spans="1:22" x14ac:dyDescent="0.3">
      <c r="F77" s="71"/>
      <c r="G77" s="71"/>
      <c r="H77" s="71"/>
      <c r="I77" s="71"/>
      <c r="J77" s="71"/>
    </row>
    <row r="78" spans="1:22" x14ac:dyDescent="0.3">
      <c r="F78" s="71"/>
      <c r="G78" s="71"/>
      <c r="H78" s="71"/>
      <c r="I78" s="71"/>
      <c r="J78" s="71"/>
    </row>
    <row r="79" spans="1:22" x14ac:dyDescent="0.3">
      <c r="F79" s="71"/>
      <c r="G79" s="71"/>
      <c r="H79" s="71"/>
      <c r="I79" s="71"/>
      <c r="J79" s="71"/>
    </row>
    <row r="80" spans="1:22" x14ac:dyDescent="0.3">
      <c r="F80" s="71"/>
      <c r="G80" s="71"/>
      <c r="H80" s="71"/>
      <c r="I80" s="71"/>
      <c r="J80" s="71"/>
    </row>
    <row r="81" spans="6:10" x14ac:dyDescent="0.3">
      <c r="F81" s="71"/>
      <c r="G81" s="71"/>
      <c r="H81" s="71"/>
      <c r="I81" s="71"/>
      <c r="J81" s="71"/>
    </row>
    <row r="82" spans="6:10" x14ac:dyDescent="0.3">
      <c r="F82" s="71"/>
      <c r="G82" s="71"/>
      <c r="H82" s="71"/>
      <c r="I82" s="71"/>
      <c r="J82" s="71"/>
    </row>
  </sheetData>
  <mergeCells count="11">
    <mergeCell ref="A12:A16"/>
    <mergeCell ref="B12:B16"/>
    <mergeCell ref="C12:C16"/>
    <mergeCell ref="D12:D16"/>
    <mergeCell ref="A1:J1"/>
    <mergeCell ref="K1:N1"/>
    <mergeCell ref="O1:V1"/>
    <mergeCell ref="A3:A7"/>
    <mergeCell ref="B3:B7"/>
    <mergeCell ref="C3:C7"/>
    <mergeCell ref="D3: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3AB30-DAD0-40C1-A96F-EE889895EFDB}">
  <dimension ref="A1:J189"/>
  <sheetViews>
    <sheetView topLeftCell="A73" workbookViewId="0">
      <selection activeCell="P196" sqref="P196"/>
    </sheetView>
  </sheetViews>
  <sheetFormatPr defaultRowHeight="14.4" x14ac:dyDescent="0.3"/>
  <cols>
    <col min="1" max="1" width="5" bestFit="1" customWidth="1"/>
    <col min="2" max="2" width="13.44140625" bestFit="1" customWidth="1"/>
    <col min="3" max="3" width="9.5546875" bestFit="1" customWidth="1"/>
    <col min="4" max="4" width="28.6640625" bestFit="1" customWidth="1"/>
    <col min="5" max="5" width="11.6640625" customWidth="1"/>
    <col min="6" max="6" width="53.33203125" bestFit="1" customWidth="1"/>
    <col min="7" max="7" width="5.33203125" bestFit="1" customWidth="1"/>
    <col min="8" max="8" width="4.33203125" bestFit="1" customWidth="1"/>
    <col min="9" max="9" width="9.6640625" bestFit="1" customWidth="1"/>
    <col min="10" max="10" width="9.5546875" bestFit="1" customWidth="1"/>
  </cols>
  <sheetData>
    <row r="1" spans="1:10" x14ac:dyDescent="0.3">
      <c r="A1" s="1">
        <v>1</v>
      </c>
      <c r="B1" s="1">
        <v>9200146935</v>
      </c>
      <c r="C1" s="37">
        <v>45697</v>
      </c>
      <c r="D1" s="1" t="s">
        <v>43</v>
      </c>
      <c r="E1" s="1" t="s">
        <v>123</v>
      </c>
      <c r="F1" s="1" t="s">
        <v>1625</v>
      </c>
      <c r="G1" s="1">
        <v>1600</v>
      </c>
      <c r="H1" s="1" t="s">
        <v>60</v>
      </c>
      <c r="I1" s="1">
        <v>228</v>
      </c>
      <c r="J1" s="124">
        <f>G1*I1</f>
        <v>364800</v>
      </c>
    </row>
    <row r="2" spans="1:10" x14ac:dyDescent="0.3">
      <c r="A2" s="1"/>
      <c r="B2" s="1"/>
      <c r="C2" s="1"/>
      <c r="D2" s="1"/>
      <c r="E2" s="1"/>
      <c r="F2" s="124" t="s">
        <v>39</v>
      </c>
      <c r="G2" s="1"/>
      <c r="H2" s="1"/>
      <c r="I2" s="1"/>
      <c r="J2" s="124">
        <f>SUM(J1)</f>
        <v>364800</v>
      </c>
    </row>
    <row r="3" spans="1:10" x14ac:dyDescent="0.3">
      <c r="A3" s="1"/>
      <c r="B3" s="1"/>
      <c r="C3" s="1"/>
      <c r="D3" s="1"/>
      <c r="E3" s="1"/>
      <c r="F3" s="124" t="s">
        <v>187</v>
      </c>
      <c r="G3" s="1"/>
      <c r="H3" s="1"/>
      <c r="I3" s="1"/>
      <c r="J3" s="124">
        <f>J2*0%</f>
        <v>0</v>
      </c>
    </row>
    <row r="4" spans="1:10" x14ac:dyDescent="0.3">
      <c r="A4" s="1"/>
      <c r="B4" s="1"/>
      <c r="C4" s="1"/>
      <c r="D4" s="1"/>
      <c r="E4" s="1"/>
      <c r="F4" s="124" t="s">
        <v>41</v>
      </c>
      <c r="G4" s="1"/>
      <c r="H4" s="1"/>
      <c r="I4" s="1"/>
      <c r="J4" s="124">
        <f>SUM(J2:J3)</f>
        <v>364800</v>
      </c>
    </row>
    <row r="7" spans="1:10" x14ac:dyDescent="0.3">
      <c r="A7" s="1">
        <v>2</v>
      </c>
      <c r="B7" s="1">
        <v>9200157160</v>
      </c>
      <c r="C7" s="37">
        <v>46055</v>
      </c>
      <c r="D7" s="1" t="s">
        <v>43</v>
      </c>
      <c r="E7" s="1" t="s">
        <v>123</v>
      </c>
      <c r="F7" s="1" t="s">
        <v>1947</v>
      </c>
      <c r="G7" s="1">
        <v>250</v>
      </c>
      <c r="H7" s="1" t="s">
        <v>111</v>
      </c>
      <c r="I7" s="1">
        <v>45</v>
      </c>
      <c r="J7" s="1">
        <f t="shared" ref="J7:J15" si="0">G7*I7</f>
        <v>11250</v>
      </c>
    </row>
    <row r="8" spans="1:10" x14ac:dyDescent="0.3">
      <c r="A8" s="1"/>
      <c r="B8" s="1"/>
      <c r="C8" s="1"/>
      <c r="D8" s="1"/>
      <c r="E8" s="1"/>
      <c r="F8" s="22" t="s">
        <v>1948</v>
      </c>
      <c r="G8" s="1">
        <v>20</v>
      </c>
      <c r="H8" s="1" t="s">
        <v>252</v>
      </c>
      <c r="I8" s="1">
        <v>1450</v>
      </c>
      <c r="J8" s="1">
        <f t="shared" si="0"/>
        <v>29000</v>
      </c>
    </row>
    <row r="9" spans="1:10" x14ac:dyDescent="0.3">
      <c r="A9" s="1"/>
      <c r="B9" s="1"/>
      <c r="C9" s="1"/>
      <c r="D9" s="1"/>
      <c r="E9" s="1"/>
      <c r="F9" s="1" t="s">
        <v>1949</v>
      </c>
      <c r="G9" s="1">
        <v>20</v>
      </c>
      <c r="H9" s="1" t="s">
        <v>252</v>
      </c>
      <c r="I9" s="1">
        <v>140</v>
      </c>
      <c r="J9" s="1">
        <f t="shared" si="0"/>
        <v>2800</v>
      </c>
    </row>
    <row r="10" spans="1:10" x14ac:dyDescent="0.3">
      <c r="A10" s="1"/>
      <c r="B10" s="1"/>
      <c r="C10" s="1"/>
      <c r="D10" s="1"/>
      <c r="E10" s="1"/>
      <c r="F10" s="1" t="s">
        <v>1950</v>
      </c>
      <c r="G10" s="1">
        <v>5</v>
      </c>
      <c r="H10" s="1" t="s">
        <v>28</v>
      </c>
      <c r="I10" s="1">
        <v>1450</v>
      </c>
      <c r="J10" s="1">
        <f t="shared" si="0"/>
        <v>7250</v>
      </c>
    </row>
    <row r="11" spans="1:10" x14ac:dyDescent="0.3">
      <c r="A11" s="1"/>
      <c r="B11" s="1"/>
      <c r="C11" s="1"/>
      <c r="D11" s="1"/>
      <c r="E11" s="1"/>
      <c r="F11" s="1" t="s">
        <v>1951</v>
      </c>
      <c r="G11" s="1">
        <v>50</v>
      </c>
      <c r="H11" s="1" t="s">
        <v>252</v>
      </c>
      <c r="I11" s="1">
        <v>175</v>
      </c>
      <c r="J11" s="1">
        <f t="shared" si="0"/>
        <v>8750</v>
      </c>
    </row>
    <row r="12" spans="1:10" x14ac:dyDescent="0.3">
      <c r="A12" s="1"/>
      <c r="B12" s="1"/>
      <c r="C12" s="1"/>
      <c r="D12" s="1"/>
      <c r="E12" s="1"/>
      <c r="F12" s="1" t="s">
        <v>1952</v>
      </c>
      <c r="G12" s="1">
        <v>200</v>
      </c>
      <c r="H12" s="1" t="s">
        <v>111</v>
      </c>
      <c r="I12" s="1">
        <v>175</v>
      </c>
      <c r="J12" s="1">
        <f t="shared" si="0"/>
        <v>35000</v>
      </c>
    </row>
    <row r="13" spans="1:10" ht="37.799999999999997" x14ac:dyDescent="0.3">
      <c r="A13" s="1"/>
      <c r="B13" s="1"/>
      <c r="C13" s="1"/>
      <c r="D13" s="1"/>
      <c r="E13" s="1"/>
      <c r="F13" s="22" t="s">
        <v>1953</v>
      </c>
      <c r="G13" s="1">
        <v>10</v>
      </c>
      <c r="H13" s="1" t="s">
        <v>28</v>
      </c>
      <c r="I13" s="1">
        <v>35500</v>
      </c>
      <c r="J13" s="1">
        <f t="shared" si="0"/>
        <v>355000</v>
      </c>
    </row>
    <row r="14" spans="1:10" x14ac:dyDescent="0.3">
      <c r="A14" s="1"/>
      <c r="B14" s="1"/>
      <c r="C14" s="1"/>
      <c r="D14" s="1"/>
      <c r="E14" s="1"/>
      <c r="F14" s="1" t="s">
        <v>1954</v>
      </c>
      <c r="G14" s="1">
        <v>3</v>
      </c>
      <c r="H14" s="1" t="s">
        <v>28</v>
      </c>
      <c r="I14" s="1">
        <v>3500</v>
      </c>
      <c r="J14" s="1">
        <f t="shared" si="0"/>
        <v>10500</v>
      </c>
    </row>
    <row r="15" spans="1:10" x14ac:dyDescent="0.3">
      <c r="A15" s="1"/>
      <c r="B15" s="1"/>
      <c r="C15" s="1"/>
      <c r="D15" s="1"/>
      <c r="E15" s="1"/>
      <c r="F15" s="1" t="s">
        <v>1955</v>
      </c>
      <c r="G15" s="1">
        <v>2</v>
      </c>
      <c r="H15" s="1" t="s">
        <v>815</v>
      </c>
      <c r="I15" s="1">
        <v>3800</v>
      </c>
      <c r="J15" s="1">
        <f t="shared" si="0"/>
        <v>7600</v>
      </c>
    </row>
    <row r="16" spans="1:10" x14ac:dyDescent="0.3">
      <c r="A16" s="1"/>
      <c r="B16" s="1"/>
      <c r="C16" s="1"/>
      <c r="D16" s="1"/>
      <c r="E16" s="1"/>
      <c r="F16" s="124" t="s">
        <v>39</v>
      </c>
      <c r="G16" s="1"/>
      <c r="H16" s="1"/>
      <c r="I16" s="1"/>
      <c r="J16" s="124">
        <f>SUM(J7:J15)</f>
        <v>467150</v>
      </c>
    </row>
    <row r="17" spans="1:10" x14ac:dyDescent="0.3">
      <c r="A17" s="1"/>
      <c r="B17" s="1"/>
      <c r="C17" s="1"/>
      <c r="D17" s="1"/>
      <c r="E17" s="1"/>
      <c r="F17" s="124" t="s">
        <v>599</v>
      </c>
      <c r="G17" s="1"/>
      <c r="H17" s="1"/>
      <c r="I17" s="1"/>
      <c r="J17" s="124">
        <f>J16*0/100</f>
        <v>0</v>
      </c>
    </row>
    <row r="18" spans="1:10" x14ac:dyDescent="0.3">
      <c r="A18" s="1"/>
      <c r="B18" s="1"/>
      <c r="C18" s="1"/>
      <c r="D18" s="1"/>
      <c r="E18" s="1"/>
      <c r="F18" s="124" t="s">
        <v>41</v>
      </c>
      <c r="G18" s="1"/>
      <c r="H18" s="1"/>
      <c r="I18" s="1"/>
      <c r="J18" s="124">
        <f>SUM(J16:J17)</f>
        <v>467150</v>
      </c>
    </row>
    <row r="20" spans="1:10" ht="25.2" x14ac:dyDescent="0.3">
      <c r="A20" s="1">
        <v>3</v>
      </c>
      <c r="B20" s="1">
        <v>8100023062</v>
      </c>
      <c r="C20" s="37">
        <v>46358</v>
      </c>
      <c r="D20" s="1" t="s">
        <v>300</v>
      </c>
      <c r="E20" s="16" t="s">
        <v>127</v>
      </c>
      <c r="F20" s="39" t="s">
        <v>1982</v>
      </c>
      <c r="G20" s="16">
        <v>11</v>
      </c>
      <c r="H20" s="16" t="s">
        <v>28</v>
      </c>
      <c r="I20" s="16">
        <v>8996</v>
      </c>
      <c r="J20" s="16">
        <f t="shared" ref="J20:J32" si="1">G20*I20</f>
        <v>98956</v>
      </c>
    </row>
    <row r="21" spans="1:10" ht="25.2" x14ac:dyDescent="0.3">
      <c r="A21" s="1"/>
      <c r="B21" s="1"/>
      <c r="C21" s="1"/>
      <c r="D21" s="1"/>
      <c r="E21" s="16" t="s">
        <v>127</v>
      </c>
      <c r="F21" s="39" t="s">
        <v>1983</v>
      </c>
      <c r="G21" s="16">
        <v>1</v>
      </c>
      <c r="H21" s="16" t="s">
        <v>28</v>
      </c>
      <c r="I21" s="16">
        <v>35520</v>
      </c>
      <c r="J21" s="16">
        <f t="shared" si="1"/>
        <v>35520</v>
      </c>
    </row>
    <row r="22" spans="1:10" ht="25.2" x14ac:dyDescent="0.3">
      <c r="A22" s="1"/>
      <c r="B22" s="1"/>
      <c r="C22" s="1"/>
      <c r="D22" s="1"/>
      <c r="E22" s="16" t="s">
        <v>127</v>
      </c>
      <c r="F22" s="39" t="s">
        <v>1984</v>
      </c>
      <c r="G22" s="16">
        <v>2</v>
      </c>
      <c r="H22" s="16" t="s">
        <v>28</v>
      </c>
      <c r="I22" s="16">
        <v>3087</v>
      </c>
      <c r="J22" s="16">
        <f t="shared" si="1"/>
        <v>6174</v>
      </c>
    </row>
    <row r="23" spans="1:10" x14ac:dyDescent="0.3">
      <c r="A23" s="1"/>
      <c r="B23" s="1"/>
      <c r="C23" s="1"/>
      <c r="D23" s="1"/>
      <c r="E23" s="16" t="s">
        <v>127</v>
      </c>
      <c r="F23" s="16" t="s">
        <v>1985</v>
      </c>
      <c r="G23" s="16">
        <v>200</v>
      </c>
      <c r="H23" s="16" t="s">
        <v>60</v>
      </c>
      <c r="I23" s="16">
        <v>245</v>
      </c>
      <c r="J23" s="16">
        <f t="shared" si="1"/>
        <v>49000</v>
      </c>
    </row>
    <row r="24" spans="1:10" x14ac:dyDescent="0.3">
      <c r="A24" s="1"/>
      <c r="B24" s="1"/>
      <c r="C24" s="1"/>
      <c r="D24" s="1"/>
      <c r="E24" s="16" t="s">
        <v>127</v>
      </c>
      <c r="F24" s="39" t="s">
        <v>1986</v>
      </c>
      <c r="G24" s="16">
        <v>100</v>
      </c>
      <c r="H24" s="16" t="s">
        <v>60</v>
      </c>
      <c r="I24" s="16">
        <v>118</v>
      </c>
      <c r="J24" s="16">
        <f t="shared" si="1"/>
        <v>11800</v>
      </c>
    </row>
    <row r="25" spans="1:10" x14ac:dyDescent="0.3">
      <c r="A25" s="1"/>
      <c r="B25" s="1"/>
      <c r="C25" s="1"/>
      <c r="D25" s="1"/>
      <c r="E25" s="1" t="s">
        <v>127</v>
      </c>
      <c r="F25" s="1" t="s">
        <v>1987</v>
      </c>
      <c r="G25" s="1">
        <v>24</v>
      </c>
      <c r="H25" s="1" t="s">
        <v>28</v>
      </c>
      <c r="I25" s="1">
        <v>120</v>
      </c>
      <c r="J25" s="1">
        <f t="shared" si="1"/>
        <v>2880</v>
      </c>
    </row>
    <row r="26" spans="1:10" x14ac:dyDescent="0.3">
      <c r="A26" s="1"/>
      <c r="B26" s="1"/>
      <c r="C26" s="1"/>
      <c r="D26" s="1"/>
      <c r="E26" s="1" t="s">
        <v>127</v>
      </c>
      <c r="F26" s="1" t="s">
        <v>1988</v>
      </c>
      <c r="G26" s="1">
        <v>24</v>
      </c>
      <c r="H26" s="1" t="s">
        <v>28</v>
      </c>
      <c r="I26" s="1">
        <v>200</v>
      </c>
      <c r="J26" s="1">
        <f t="shared" si="1"/>
        <v>4800</v>
      </c>
    </row>
    <row r="27" spans="1:10" x14ac:dyDescent="0.3">
      <c r="A27" s="1"/>
      <c r="B27" s="1"/>
      <c r="C27" s="1"/>
      <c r="D27" s="1"/>
      <c r="E27" s="1" t="s">
        <v>123</v>
      </c>
      <c r="F27" s="1" t="s">
        <v>1989</v>
      </c>
      <c r="G27" s="1">
        <v>200</v>
      </c>
      <c r="H27" s="1" t="s">
        <v>60</v>
      </c>
      <c r="I27" s="1">
        <v>84</v>
      </c>
      <c r="J27" s="1">
        <f t="shared" si="1"/>
        <v>16800</v>
      </c>
    </row>
    <row r="28" spans="1:10" x14ac:dyDescent="0.3">
      <c r="A28" s="1"/>
      <c r="B28" s="1"/>
      <c r="C28" s="1"/>
      <c r="D28" s="1"/>
      <c r="E28" s="1" t="s">
        <v>123</v>
      </c>
      <c r="F28" s="1" t="s">
        <v>1990</v>
      </c>
      <c r="G28" s="1">
        <v>100</v>
      </c>
      <c r="H28" s="1" t="s">
        <v>60</v>
      </c>
      <c r="I28" s="1">
        <v>20</v>
      </c>
      <c r="J28" s="1">
        <f t="shared" si="1"/>
        <v>2000</v>
      </c>
    </row>
    <row r="29" spans="1:10" x14ac:dyDescent="0.3">
      <c r="A29" s="1"/>
      <c r="B29" s="1"/>
      <c r="C29" s="1"/>
      <c r="D29" s="1"/>
      <c r="E29" s="1" t="s">
        <v>123</v>
      </c>
      <c r="F29" s="1" t="s">
        <v>1991</v>
      </c>
      <c r="G29" s="1">
        <v>11</v>
      </c>
      <c r="H29" s="1" t="s">
        <v>28</v>
      </c>
      <c r="I29" s="1">
        <v>800</v>
      </c>
      <c r="J29" s="1">
        <f t="shared" si="1"/>
        <v>8800</v>
      </c>
    </row>
    <row r="30" spans="1:10" x14ac:dyDescent="0.3">
      <c r="A30" s="1"/>
      <c r="B30" s="1"/>
      <c r="C30" s="1"/>
      <c r="D30" s="1"/>
      <c r="E30" s="1" t="s">
        <v>123</v>
      </c>
      <c r="F30" s="1" t="s">
        <v>1992</v>
      </c>
      <c r="G30" s="1">
        <v>6</v>
      </c>
      <c r="H30" s="1" t="s">
        <v>87</v>
      </c>
      <c r="I30" s="1">
        <v>600</v>
      </c>
      <c r="J30" s="1">
        <f t="shared" si="1"/>
        <v>3600</v>
      </c>
    </row>
    <row r="31" spans="1:10" x14ac:dyDescent="0.3">
      <c r="A31" s="1"/>
      <c r="B31" s="1"/>
      <c r="C31" s="1"/>
      <c r="D31" s="1"/>
      <c r="E31" s="1" t="s">
        <v>123</v>
      </c>
      <c r="F31" s="22" t="s">
        <v>1993</v>
      </c>
      <c r="G31" s="1">
        <v>11</v>
      </c>
      <c r="H31" s="1" t="s">
        <v>28</v>
      </c>
      <c r="I31" s="1">
        <v>570</v>
      </c>
      <c r="J31" s="1">
        <f t="shared" si="1"/>
        <v>6270</v>
      </c>
    </row>
    <row r="32" spans="1:10" x14ac:dyDescent="0.3">
      <c r="A32" s="1"/>
      <c r="B32" s="1"/>
      <c r="C32" s="1"/>
      <c r="D32" s="1"/>
      <c r="E32" s="1" t="s">
        <v>123</v>
      </c>
      <c r="F32" s="1" t="s">
        <v>1994</v>
      </c>
      <c r="G32" s="1">
        <v>17</v>
      </c>
      <c r="H32" s="1" t="s">
        <v>28</v>
      </c>
      <c r="I32" s="1">
        <v>200</v>
      </c>
      <c r="J32" s="1">
        <f t="shared" si="1"/>
        <v>3400</v>
      </c>
    </row>
    <row r="33" spans="1:10" x14ac:dyDescent="0.3">
      <c r="A33" s="1"/>
      <c r="B33" s="1"/>
      <c r="C33" s="1"/>
      <c r="D33" s="1"/>
      <c r="E33" s="1"/>
      <c r="F33" s="124" t="s">
        <v>39</v>
      </c>
      <c r="G33" s="1"/>
      <c r="H33" s="1"/>
      <c r="I33" s="1"/>
      <c r="J33" s="124">
        <f>SUM(J20:J32)</f>
        <v>250000</v>
      </c>
    </row>
    <row r="34" spans="1:10" x14ac:dyDescent="0.3">
      <c r="A34" s="1"/>
      <c r="B34" s="1"/>
      <c r="C34" s="1"/>
      <c r="D34" s="1"/>
      <c r="E34" s="1"/>
      <c r="F34" s="124" t="s">
        <v>187</v>
      </c>
      <c r="G34" s="1"/>
      <c r="H34" s="1"/>
      <c r="I34" s="1"/>
      <c r="J34" s="124">
        <f>J33*18/100</f>
        <v>45000</v>
      </c>
    </row>
    <row r="35" spans="1:10" x14ac:dyDescent="0.3">
      <c r="A35" s="1"/>
      <c r="B35" s="1"/>
      <c r="C35" s="1"/>
      <c r="D35" s="1"/>
      <c r="E35" s="1"/>
      <c r="F35" s="124" t="s">
        <v>41</v>
      </c>
      <c r="G35" s="1"/>
      <c r="H35" s="1"/>
      <c r="I35" s="1"/>
      <c r="J35" s="124">
        <f>SUM(J33:J34)</f>
        <v>295000</v>
      </c>
    </row>
    <row r="37" spans="1:10" ht="25.2" x14ac:dyDescent="0.3">
      <c r="A37" s="1">
        <v>4</v>
      </c>
      <c r="B37" s="1">
        <v>9200158730</v>
      </c>
      <c r="C37" s="1" t="s">
        <v>2013</v>
      </c>
      <c r="D37" s="1" t="s">
        <v>43</v>
      </c>
      <c r="E37" s="1" t="s">
        <v>123</v>
      </c>
      <c r="F37" s="22" t="s">
        <v>2014</v>
      </c>
      <c r="G37" s="1">
        <v>110</v>
      </c>
      <c r="H37" s="1" t="s">
        <v>60</v>
      </c>
      <c r="I37" s="1">
        <v>100</v>
      </c>
      <c r="J37" s="1">
        <f t="shared" ref="J37:J57" si="2">G37*I37</f>
        <v>11000</v>
      </c>
    </row>
    <row r="38" spans="1:10" ht="25.2" x14ac:dyDescent="0.3">
      <c r="A38" s="1"/>
      <c r="B38" s="1"/>
      <c r="C38" s="1"/>
      <c r="D38" s="1"/>
      <c r="E38" s="1" t="s">
        <v>123</v>
      </c>
      <c r="F38" s="22" t="s">
        <v>2015</v>
      </c>
      <c r="G38" s="1">
        <v>145</v>
      </c>
      <c r="H38" s="1" t="s">
        <v>60</v>
      </c>
      <c r="I38" s="1">
        <v>100</v>
      </c>
      <c r="J38" s="1">
        <f t="shared" si="2"/>
        <v>14500</v>
      </c>
    </row>
    <row r="39" spans="1:10" ht="25.2" x14ac:dyDescent="0.3">
      <c r="A39" s="1"/>
      <c r="B39" s="1"/>
      <c r="C39" s="1"/>
      <c r="D39" s="1"/>
      <c r="E39" s="1" t="s">
        <v>123</v>
      </c>
      <c r="F39" s="22" t="s">
        <v>2016</v>
      </c>
      <c r="G39" s="1">
        <v>20</v>
      </c>
      <c r="H39" s="1" t="s">
        <v>60</v>
      </c>
      <c r="I39" s="1">
        <v>100</v>
      </c>
      <c r="J39" s="1">
        <f t="shared" si="2"/>
        <v>2000</v>
      </c>
    </row>
    <row r="40" spans="1:10" ht="25.2" x14ac:dyDescent="0.3">
      <c r="A40" s="1"/>
      <c r="B40" s="1"/>
      <c r="C40" s="1"/>
      <c r="D40" s="1"/>
      <c r="E40" s="1" t="s">
        <v>123</v>
      </c>
      <c r="F40" s="22" t="s">
        <v>2017</v>
      </c>
      <c r="G40" s="1">
        <v>40</v>
      </c>
      <c r="H40" s="1" t="s">
        <v>28</v>
      </c>
      <c r="I40" s="1">
        <v>100</v>
      </c>
      <c r="J40" s="1">
        <f t="shared" si="2"/>
        <v>4000</v>
      </c>
    </row>
    <row r="41" spans="1:10" x14ac:dyDescent="0.3">
      <c r="A41" s="1"/>
      <c r="B41" s="1"/>
      <c r="C41" s="1"/>
      <c r="D41" s="1"/>
      <c r="E41" s="1" t="s">
        <v>123</v>
      </c>
      <c r="F41" s="1" t="s">
        <v>2018</v>
      </c>
      <c r="G41" s="1">
        <v>2</v>
      </c>
      <c r="H41" s="1" t="s">
        <v>87</v>
      </c>
      <c r="I41" s="1">
        <v>100</v>
      </c>
      <c r="J41" s="1">
        <f t="shared" si="2"/>
        <v>200</v>
      </c>
    </row>
    <row r="42" spans="1:10" x14ac:dyDescent="0.3">
      <c r="A42" s="1"/>
      <c r="B42" s="1"/>
      <c r="C42" s="1"/>
      <c r="D42" s="1"/>
      <c r="E42" s="1" t="s">
        <v>123</v>
      </c>
      <c r="F42" s="1" t="s">
        <v>2019</v>
      </c>
      <c r="G42" s="1">
        <v>2</v>
      </c>
      <c r="H42" s="1" t="s">
        <v>87</v>
      </c>
      <c r="I42" s="1">
        <v>100</v>
      </c>
      <c r="J42" s="1">
        <f t="shared" si="2"/>
        <v>200</v>
      </c>
    </row>
    <row r="43" spans="1:10" x14ac:dyDescent="0.3">
      <c r="A43" s="1"/>
      <c r="B43" s="1"/>
      <c r="C43" s="1"/>
      <c r="D43" s="1"/>
      <c r="E43" s="1" t="s">
        <v>123</v>
      </c>
      <c r="F43" s="1" t="s">
        <v>2020</v>
      </c>
      <c r="G43" s="1">
        <v>15</v>
      </c>
      <c r="H43" s="1" t="s">
        <v>87</v>
      </c>
      <c r="I43" s="1">
        <v>100</v>
      </c>
      <c r="J43" s="1">
        <f t="shared" si="2"/>
        <v>1500</v>
      </c>
    </row>
    <row r="44" spans="1:10" x14ac:dyDescent="0.3">
      <c r="A44" s="1"/>
      <c r="B44" s="1"/>
      <c r="C44" s="1"/>
      <c r="D44" s="1"/>
      <c r="E44" s="1" t="s">
        <v>123</v>
      </c>
      <c r="F44" s="1" t="s">
        <v>2021</v>
      </c>
      <c r="G44" s="1">
        <v>15</v>
      </c>
      <c r="H44" s="1" t="s">
        <v>87</v>
      </c>
      <c r="I44" s="1">
        <v>100</v>
      </c>
      <c r="J44" s="1">
        <f t="shared" si="2"/>
        <v>1500</v>
      </c>
    </row>
    <row r="45" spans="1:10" x14ac:dyDescent="0.3">
      <c r="A45" s="1"/>
      <c r="B45" s="1"/>
      <c r="C45" s="1"/>
      <c r="D45" s="1"/>
      <c r="E45" s="1" t="s">
        <v>123</v>
      </c>
      <c r="F45" s="1" t="s">
        <v>2022</v>
      </c>
      <c r="G45" s="1">
        <v>110</v>
      </c>
      <c r="H45" s="1" t="s">
        <v>87</v>
      </c>
      <c r="I45" s="1">
        <v>100</v>
      </c>
      <c r="J45" s="1">
        <f t="shared" si="2"/>
        <v>11000</v>
      </c>
    </row>
    <row r="46" spans="1:10" ht="25.2" x14ac:dyDescent="0.3">
      <c r="A46" s="1"/>
      <c r="B46" s="1"/>
      <c r="C46" s="1"/>
      <c r="D46" s="1"/>
      <c r="E46" s="1" t="s">
        <v>123</v>
      </c>
      <c r="F46" s="22" t="s">
        <v>2023</v>
      </c>
      <c r="G46" s="1">
        <v>7</v>
      </c>
      <c r="H46" s="1" t="s">
        <v>87</v>
      </c>
      <c r="I46" s="1">
        <v>100</v>
      </c>
      <c r="J46" s="1">
        <f t="shared" si="2"/>
        <v>700</v>
      </c>
    </row>
    <row r="47" spans="1:10" ht="25.2" x14ac:dyDescent="0.3">
      <c r="A47" s="1"/>
      <c r="B47" s="1"/>
      <c r="C47" s="1"/>
      <c r="D47" s="1"/>
      <c r="E47" s="1" t="s">
        <v>123</v>
      </c>
      <c r="F47" s="22" t="s">
        <v>2024</v>
      </c>
      <c r="G47" s="1">
        <v>15</v>
      </c>
      <c r="H47" s="1" t="s">
        <v>87</v>
      </c>
      <c r="I47" s="1">
        <v>100</v>
      </c>
      <c r="J47" s="1">
        <f t="shared" si="2"/>
        <v>1500</v>
      </c>
    </row>
    <row r="48" spans="1:10" ht="25.2" x14ac:dyDescent="0.3">
      <c r="A48" s="1"/>
      <c r="B48" s="1"/>
      <c r="C48" s="1"/>
      <c r="D48" s="1"/>
      <c r="E48" s="1" t="s">
        <v>123</v>
      </c>
      <c r="F48" s="22" t="s">
        <v>2025</v>
      </c>
      <c r="G48" s="1">
        <v>15</v>
      </c>
      <c r="H48" s="1" t="s">
        <v>60</v>
      </c>
      <c r="I48" s="1">
        <v>100</v>
      </c>
      <c r="J48" s="1">
        <f t="shared" si="2"/>
        <v>1500</v>
      </c>
    </row>
    <row r="49" spans="1:10" ht="25.2" x14ac:dyDescent="0.3">
      <c r="A49" s="1"/>
      <c r="B49" s="1"/>
      <c r="C49" s="1"/>
      <c r="D49" s="1"/>
      <c r="E49" s="1" t="s">
        <v>123</v>
      </c>
      <c r="F49" s="22" t="s">
        <v>2026</v>
      </c>
      <c r="G49" s="1">
        <v>255</v>
      </c>
      <c r="H49" s="1" t="s">
        <v>60</v>
      </c>
      <c r="I49" s="1">
        <v>21</v>
      </c>
      <c r="J49" s="1">
        <f t="shared" si="2"/>
        <v>5355</v>
      </c>
    </row>
    <row r="50" spans="1:10" ht="25.2" x14ac:dyDescent="0.3">
      <c r="A50" s="1"/>
      <c r="B50" s="1"/>
      <c r="C50" s="1"/>
      <c r="D50" s="1"/>
      <c r="E50" s="1" t="s">
        <v>123</v>
      </c>
      <c r="F50" s="22" t="s">
        <v>2027</v>
      </c>
      <c r="G50" s="1">
        <v>255</v>
      </c>
      <c r="H50" s="1" t="s">
        <v>60</v>
      </c>
      <c r="I50" s="1">
        <v>18</v>
      </c>
      <c r="J50" s="1">
        <f t="shared" si="2"/>
        <v>4590</v>
      </c>
    </row>
    <row r="51" spans="1:10" ht="25.2" x14ac:dyDescent="0.3">
      <c r="A51" s="1"/>
      <c r="B51" s="1"/>
      <c r="C51" s="1"/>
      <c r="D51" s="1"/>
      <c r="E51" s="1" t="s">
        <v>123</v>
      </c>
      <c r="F51" s="22" t="s">
        <v>2028</v>
      </c>
      <c r="G51" s="1">
        <v>30</v>
      </c>
      <c r="H51" s="1" t="s">
        <v>87</v>
      </c>
      <c r="I51" s="1">
        <v>1000</v>
      </c>
      <c r="J51" s="1">
        <f t="shared" si="2"/>
        <v>30000</v>
      </c>
    </row>
    <row r="52" spans="1:10" ht="25.2" x14ac:dyDescent="0.3">
      <c r="A52" s="1"/>
      <c r="B52" s="1"/>
      <c r="C52" s="1"/>
      <c r="D52" s="1"/>
      <c r="E52" s="1" t="s">
        <v>123</v>
      </c>
      <c r="F52" s="22" t="s">
        <v>2029</v>
      </c>
      <c r="G52" s="1">
        <v>16</v>
      </c>
      <c r="H52" s="1" t="s">
        <v>87</v>
      </c>
      <c r="I52" s="1">
        <v>400</v>
      </c>
      <c r="J52" s="1">
        <f t="shared" si="2"/>
        <v>6400</v>
      </c>
    </row>
    <row r="53" spans="1:10" ht="25.2" x14ac:dyDescent="0.3">
      <c r="A53" s="1"/>
      <c r="B53" s="1"/>
      <c r="C53" s="1"/>
      <c r="D53" s="1"/>
      <c r="E53" s="1" t="s">
        <v>123</v>
      </c>
      <c r="F53" s="22" t="s">
        <v>2030</v>
      </c>
      <c r="G53" s="1">
        <v>16</v>
      </c>
      <c r="H53" s="1" t="s">
        <v>60</v>
      </c>
      <c r="I53" s="1">
        <v>298</v>
      </c>
      <c r="J53" s="1">
        <f t="shared" si="2"/>
        <v>4768</v>
      </c>
    </row>
    <row r="54" spans="1:10" x14ac:dyDescent="0.3">
      <c r="A54" s="1"/>
      <c r="B54" s="1"/>
      <c r="C54" s="1"/>
      <c r="D54" s="1"/>
      <c r="E54" s="1" t="s">
        <v>123</v>
      </c>
      <c r="F54" s="1" t="s">
        <v>2031</v>
      </c>
      <c r="G54" s="1">
        <v>315</v>
      </c>
      <c r="H54" s="1" t="s">
        <v>87</v>
      </c>
      <c r="I54" s="1">
        <v>150</v>
      </c>
      <c r="J54" s="1">
        <f t="shared" si="2"/>
        <v>47250</v>
      </c>
    </row>
    <row r="55" spans="1:10" x14ac:dyDescent="0.3">
      <c r="A55" s="1"/>
      <c r="B55" s="1"/>
      <c r="C55" s="1"/>
      <c r="D55" s="1"/>
      <c r="E55" s="1" t="s">
        <v>123</v>
      </c>
      <c r="F55" s="1" t="s">
        <v>2032</v>
      </c>
      <c r="G55" s="1">
        <v>15</v>
      </c>
      <c r="H55" s="1" t="s">
        <v>87</v>
      </c>
      <c r="I55" s="1">
        <v>145</v>
      </c>
      <c r="J55" s="1">
        <f t="shared" si="2"/>
        <v>2175</v>
      </c>
    </row>
    <row r="56" spans="1:10" x14ac:dyDescent="0.3">
      <c r="A56" s="1"/>
      <c r="B56" s="1"/>
      <c r="C56" s="1"/>
      <c r="D56" s="1"/>
      <c r="E56" s="1" t="s">
        <v>123</v>
      </c>
      <c r="F56" s="1" t="s">
        <v>2033</v>
      </c>
      <c r="G56" s="1">
        <v>2</v>
      </c>
      <c r="H56" s="1" t="s">
        <v>857</v>
      </c>
      <c r="I56" s="1">
        <v>2500</v>
      </c>
      <c r="J56" s="1">
        <f t="shared" si="2"/>
        <v>5000</v>
      </c>
    </row>
    <row r="57" spans="1:10" ht="25.2" x14ac:dyDescent="0.3">
      <c r="A57" s="1"/>
      <c r="B57" s="1"/>
      <c r="C57" s="1"/>
      <c r="D57" s="1"/>
      <c r="E57" s="1" t="s">
        <v>123</v>
      </c>
      <c r="F57" s="22" t="s">
        <v>2034</v>
      </c>
      <c r="G57" s="1">
        <v>4</v>
      </c>
      <c r="H57" s="1" t="s">
        <v>857</v>
      </c>
      <c r="I57" s="1">
        <v>2500</v>
      </c>
      <c r="J57" s="1">
        <f t="shared" si="2"/>
        <v>10000</v>
      </c>
    </row>
    <row r="58" spans="1:10" x14ac:dyDescent="0.3">
      <c r="A58" s="1"/>
      <c r="B58" s="1"/>
      <c r="C58" s="1"/>
      <c r="D58" s="1"/>
      <c r="E58" s="1"/>
      <c r="F58" s="124" t="s">
        <v>39</v>
      </c>
      <c r="G58" s="1"/>
      <c r="H58" s="1"/>
      <c r="I58" s="1"/>
      <c r="J58" s="124">
        <f>SUM(J37:J57)</f>
        <v>165138</v>
      </c>
    </row>
    <row r="59" spans="1:10" x14ac:dyDescent="0.3">
      <c r="A59" s="1"/>
      <c r="B59" s="1"/>
      <c r="C59" s="1"/>
      <c r="D59" s="1"/>
      <c r="E59" s="1"/>
      <c r="F59" s="124" t="s">
        <v>599</v>
      </c>
      <c r="G59" s="1"/>
      <c r="H59" s="1"/>
      <c r="I59" s="1"/>
      <c r="J59" s="124">
        <f>J58*0/100</f>
        <v>0</v>
      </c>
    </row>
    <row r="60" spans="1:10" x14ac:dyDescent="0.3">
      <c r="A60" s="1"/>
      <c r="B60" s="1"/>
      <c r="C60" s="1"/>
      <c r="D60" s="1"/>
      <c r="E60" s="1"/>
      <c r="F60" s="124" t="s">
        <v>41</v>
      </c>
      <c r="G60" s="1"/>
      <c r="H60" s="1"/>
      <c r="I60" s="1"/>
      <c r="J60" s="124">
        <f>SUM(J58:J59)</f>
        <v>165138</v>
      </c>
    </row>
    <row r="62" spans="1:10" ht="25.2" x14ac:dyDescent="0.3">
      <c r="A62" s="1">
        <v>5</v>
      </c>
      <c r="B62" s="1">
        <v>9200159413</v>
      </c>
      <c r="C62" s="37">
        <v>46056</v>
      </c>
      <c r="D62" s="1" t="s">
        <v>43</v>
      </c>
      <c r="E62" s="1" t="s">
        <v>123</v>
      </c>
      <c r="F62" s="22" t="s">
        <v>2085</v>
      </c>
      <c r="G62" s="1">
        <v>1</v>
      </c>
      <c r="H62" s="1" t="s">
        <v>28</v>
      </c>
      <c r="I62" s="1">
        <v>5200</v>
      </c>
      <c r="J62" s="1">
        <f t="shared" ref="J62:J66" si="3">G62*I62</f>
        <v>5200</v>
      </c>
    </row>
    <row r="63" spans="1:10" ht="25.2" x14ac:dyDescent="0.3">
      <c r="A63" s="1"/>
      <c r="B63" s="1"/>
      <c r="C63" s="1"/>
      <c r="D63" s="1"/>
      <c r="E63" s="1" t="s">
        <v>123</v>
      </c>
      <c r="F63" s="22" t="s">
        <v>2086</v>
      </c>
      <c r="G63" s="1">
        <v>1</v>
      </c>
      <c r="H63" s="1" t="s">
        <v>28</v>
      </c>
      <c r="I63" s="1">
        <v>4750</v>
      </c>
      <c r="J63" s="1">
        <f t="shared" si="3"/>
        <v>4750</v>
      </c>
    </row>
    <row r="64" spans="1:10" ht="25.2" x14ac:dyDescent="0.3">
      <c r="A64" s="1"/>
      <c r="B64" s="1"/>
      <c r="C64" s="1"/>
      <c r="D64" s="1"/>
      <c r="E64" s="1" t="s">
        <v>123</v>
      </c>
      <c r="F64" s="22" t="s">
        <v>2087</v>
      </c>
      <c r="G64" s="1">
        <v>1</v>
      </c>
      <c r="H64" s="1" t="s">
        <v>28</v>
      </c>
      <c r="I64" s="1">
        <v>4900</v>
      </c>
      <c r="J64" s="1">
        <f t="shared" si="3"/>
        <v>4900</v>
      </c>
    </row>
    <row r="65" spans="1:10" x14ac:dyDescent="0.3">
      <c r="A65" s="1"/>
      <c r="B65" s="1"/>
      <c r="C65" s="1"/>
      <c r="D65" s="1"/>
      <c r="E65" s="1" t="s">
        <v>123</v>
      </c>
      <c r="F65" s="22" t="s">
        <v>2088</v>
      </c>
      <c r="G65" s="1">
        <v>1</v>
      </c>
      <c r="H65" s="1" t="s">
        <v>87</v>
      </c>
      <c r="I65" s="1">
        <v>3600</v>
      </c>
      <c r="J65" s="1">
        <f t="shared" si="3"/>
        <v>3600</v>
      </c>
    </row>
    <row r="66" spans="1:10" x14ac:dyDescent="0.3">
      <c r="A66" s="1"/>
      <c r="B66" s="1"/>
      <c r="C66" s="1"/>
      <c r="D66" s="1"/>
      <c r="E66" s="1" t="s">
        <v>123</v>
      </c>
      <c r="F66" s="1" t="s">
        <v>2089</v>
      </c>
      <c r="G66" s="1">
        <v>3</v>
      </c>
      <c r="H66" s="1" t="s">
        <v>87</v>
      </c>
      <c r="I66" s="1">
        <v>850</v>
      </c>
      <c r="J66" s="1">
        <f t="shared" si="3"/>
        <v>2550</v>
      </c>
    </row>
    <row r="67" spans="1:10" x14ac:dyDescent="0.3">
      <c r="A67" s="1"/>
      <c r="B67" s="1"/>
      <c r="C67" s="1"/>
      <c r="D67" s="1"/>
      <c r="E67" s="1"/>
      <c r="F67" s="124" t="s">
        <v>39</v>
      </c>
      <c r="G67" s="1"/>
      <c r="H67" s="1"/>
      <c r="I67" s="1"/>
      <c r="J67" s="124">
        <f>SUM(J62:J66)</f>
        <v>21000</v>
      </c>
    </row>
    <row r="68" spans="1:10" x14ac:dyDescent="0.3">
      <c r="A68" s="1"/>
      <c r="B68" s="1"/>
      <c r="C68" s="1"/>
      <c r="D68" s="1"/>
      <c r="E68" s="1"/>
      <c r="F68" s="124" t="s">
        <v>599</v>
      </c>
      <c r="G68" s="1"/>
      <c r="H68" s="1"/>
      <c r="I68" s="1"/>
      <c r="J68" s="124">
        <f>J67*0/100</f>
        <v>0</v>
      </c>
    </row>
    <row r="69" spans="1:10" x14ac:dyDescent="0.3">
      <c r="A69" s="1"/>
      <c r="B69" s="1"/>
      <c r="C69" s="1"/>
      <c r="D69" s="1"/>
      <c r="E69" s="1"/>
      <c r="F69" s="124" t="s">
        <v>41</v>
      </c>
      <c r="G69" s="1"/>
      <c r="H69" s="1"/>
      <c r="I69" s="1"/>
      <c r="J69" s="124">
        <f>SUM(J67:J68)</f>
        <v>21000</v>
      </c>
    </row>
    <row r="70" spans="1:10" x14ac:dyDescent="0.3">
      <c r="A70" s="1"/>
      <c r="B70" s="1"/>
      <c r="C70" s="1"/>
      <c r="D70" s="1"/>
      <c r="E70" s="1"/>
      <c r="F70" s="124"/>
      <c r="G70" s="1"/>
      <c r="H70" s="1"/>
      <c r="I70" s="1"/>
      <c r="J70" s="124"/>
    </row>
    <row r="71" spans="1:10" ht="63" x14ac:dyDescent="0.3">
      <c r="A71" s="1">
        <v>6</v>
      </c>
      <c r="B71" s="1">
        <v>9200159580</v>
      </c>
      <c r="C71" s="37">
        <v>46084</v>
      </c>
      <c r="D71" s="1" t="s">
        <v>300</v>
      </c>
      <c r="E71" s="1" t="s">
        <v>123</v>
      </c>
      <c r="F71" s="22" t="s">
        <v>2092</v>
      </c>
      <c r="G71" s="1">
        <v>350</v>
      </c>
      <c r="H71" s="1" t="s">
        <v>111</v>
      </c>
      <c r="I71" s="1">
        <v>260</v>
      </c>
      <c r="J71" s="1">
        <f>G71*I71</f>
        <v>91000</v>
      </c>
    </row>
    <row r="72" spans="1:10" ht="63" x14ac:dyDescent="0.3">
      <c r="A72" s="1"/>
      <c r="B72" s="1"/>
      <c r="C72" s="1"/>
      <c r="D72" s="1"/>
      <c r="E72" s="1" t="s">
        <v>123</v>
      </c>
      <c r="F72" s="22" t="s">
        <v>2093</v>
      </c>
      <c r="G72" s="1">
        <v>150</v>
      </c>
      <c r="H72" s="1" t="s">
        <v>111</v>
      </c>
      <c r="I72" s="1">
        <v>280</v>
      </c>
      <c r="J72" s="1">
        <f t="shared" ref="J72:J90" si="4">G72*I72</f>
        <v>42000</v>
      </c>
    </row>
    <row r="73" spans="1:10" ht="25.2" x14ac:dyDescent="0.3">
      <c r="A73" s="1"/>
      <c r="B73" s="1"/>
      <c r="C73" s="1"/>
      <c r="D73" s="1"/>
      <c r="E73" s="1" t="s">
        <v>123</v>
      </c>
      <c r="F73" s="22" t="s">
        <v>2094</v>
      </c>
      <c r="G73" s="1">
        <v>100</v>
      </c>
      <c r="H73" s="1" t="s">
        <v>111</v>
      </c>
      <c r="I73" s="1">
        <v>190</v>
      </c>
      <c r="J73" s="1">
        <f t="shared" si="4"/>
        <v>19000</v>
      </c>
    </row>
    <row r="74" spans="1:10" ht="37.799999999999997" x14ac:dyDescent="0.3">
      <c r="A74" s="1"/>
      <c r="B74" s="1"/>
      <c r="C74" s="1"/>
      <c r="D74" s="1"/>
      <c r="E74" s="1" t="s">
        <v>123</v>
      </c>
      <c r="F74" s="22" t="s">
        <v>2095</v>
      </c>
      <c r="G74" s="1">
        <v>1</v>
      </c>
      <c r="H74" s="1" t="s">
        <v>28</v>
      </c>
      <c r="I74" s="1">
        <v>15800</v>
      </c>
      <c r="J74" s="1">
        <f t="shared" si="4"/>
        <v>15800</v>
      </c>
    </row>
    <row r="75" spans="1:10" ht="25.2" x14ac:dyDescent="0.3">
      <c r="A75" s="1"/>
      <c r="B75" s="1"/>
      <c r="C75" s="1"/>
      <c r="D75" s="1"/>
      <c r="E75" s="1" t="s">
        <v>123</v>
      </c>
      <c r="F75" s="22" t="s">
        <v>2096</v>
      </c>
      <c r="G75" s="1">
        <v>20</v>
      </c>
      <c r="H75" s="1" t="s">
        <v>252</v>
      </c>
      <c r="I75" s="1">
        <v>750</v>
      </c>
      <c r="J75" s="1">
        <f t="shared" si="4"/>
        <v>15000</v>
      </c>
    </row>
    <row r="76" spans="1:10" x14ac:dyDescent="0.3">
      <c r="A76" s="1"/>
      <c r="B76" s="1"/>
      <c r="C76" s="1"/>
      <c r="D76" s="1"/>
      <c r="E76" s="1" t="s">
        <v>123</v>
      </c>
      <c r="F76" s="1" t="s">
        <v>2097</v>
      </c>
      <c r="G76" s="1">
        <v>4</v>
      </c>
      <c r="H76" s="1" t="s">
        <v>28</v>
      </c>
      <c r="I76" s="1">
        <v>325</v>
      </c>
      <c r="J76" s="1">
        <f t="shared" si="4"/>
        <v>1300</v>
      </c>
    </row>
    <row r="77" spans="1:10" x14ac:dyDescent="0.3">
      <c r="A77" s="1"/>
      <c r="B77" s="1"/>
      <c r="C77" s="1"/>
      <c r="D77" s="1"/>
      <c r="E77" s="1" t="s">
        <v>123</v>
      </c>
      <c r="F77" s="1" t="s">
        <v>2098</v>
      </c>
      <c r="G77" s="1">
        <v>4</v>
      </c>
      <c r="H77" s="1" t="s">
        <v>28</v>
      </c>
      <c r="I77" s="1">
        <v>325</v>
      </c>
      <c r="J77" s="1">
        <f t="shared" si="4"/>
        <v>1300</v>
      </c>
    </row>
    <row r="78" spans="1:10" x14ac:dyDescent="0.3">
      <c r="A78" s="1"/>
      <c r="B78" s="1"/>
      <c r="C78" s="1"/>
      <c r="D78" s="1"/>
      <c r="E78" s="1" t="s">
        <v>123</v>
      </c>
      <c r="F78" s="1" t="s">
        <v>2099</v>
      </c>
      <c r="G78" s="1">
        <v>6</v>
      </c>
      <c r="H78" s="1" t="s">
        <v>28</v>
      </c>
      <c r="I78" s="1">
        <v>175</v>
      </c>
      <c r="J78" s="1">
        <f t="shared" si="4"/>
        <v>1050</v>
      </c>
    </row>
    <row r="79" spans="1:10" ht="37.799999999999997" x14ac:dyDescent="0.3">
      <c r="A79" s="1"/>
      <c r="B79" s="1"/>
      <c r="C79" s="1"/>
      <c r="D79" s="1"/>
      <c r="E79" s="1" t="s">
        <v>123</v>
      </c>
      <c r="F79" s="22" t="s">
        <v>2100</v>
      </c>
      <c r="G79" s="1">
        <v>2</v>
      </c>
      <c r="H79" s="1" t="s">
        <v>28</v>
      </c>
      <c r="I79" s="1">
        <v>5000</v>
      </c>
      <c r="J79" s="1">
        <f t="shared" si="4"/>
        <v>10000</v>
      </c>
    </row>
    <row r="80" spans="1:10" x14ac:dyDescent="0.3">
      <c r="A80" s="1"/>
      <c r="B80" s="1"/>
      <c r="C80" s="1"/>
      <c r="D80" s="1"/>
      <c r="E80" s="1" t="s">
        <v>123</v>
      </c>
      <c r="F80" s="1" t="s">
        <v>2101</v>
      </c>
      <c r="G80" s="1">
        <v>4</v>
      </c>
      <c r="H80" s="1" t="s">
        <v>28</v>
      </c>
      <c r="I80" s="1">
        <v>986</v>
      </c>
      <c r="J80" s="1">
        <f t="shared" si="4"/>
        <v>3944</v>
      </c>
    </row>
    <row r="81" spans="1:10" x14ac:dyDescent="0.3">
      <c r="A81" s="1"/>
      <c r="B81" s="1"/>
      <c r="C81" s="1"/>
      <c r="D81" s="1"/>
      <c r="E81" s="1" t="s">
        <v>123</v>
      </c>
      <c r="F81" s="1" t="s">
        <v>2102</v>
      </c>
      <c r="G81" s="1">
        <v>3</v>
      </c>
      <c r="H81" s="1" t="s">
        <v>28</v>
      </c>
      <c r="I81" s="1">
        <v>910</v>
      </c>
      <c r="J81" s="1">
        <f t="shared" si="4"/>
        <v>2730</v>
      </c>
    </row>
    <row r="82" spans="1:10" x14ac:dyDescent="0.3">
      <c r="A82" s="1"/>
      <c r="B82" s="1"/>
      <c r="C82" s="1"/>
      <c r="D82" s="1"/>
      <c r="E82" s="1" t="s">
        <v>123</v>
      </c>
      <c r="F82" s="1" t="s">
        <v>2103</v>
      </c>
      <c r="G82" s="1">
        <v>6</v>
      </c>
      <c r="H82" s="1" t="s">
        <v>28</v>
      </c>
      <c r="I82" s="1">
        <v>225</v>
      </c>
      <c r="J82" s="1">
        <f t="shared" si="4"/>
        <v>1350</v>
      </c>
    </row>
    <row r="83" spans="1:10" ht="25.2" x14ac:dyDescent="0.3">
      <c r="A83" s="1"/>
      <c r="B83" s="1"/>
      <c r="C83" s="1"/>
      <c r="D83" s="1"/>
      <c r="E83" s="1" t="s">
        <v>123</v>
      </c>
      <c r="F83" s="22" t="s">
        <v>2104</v>
      </c>
      <c r="G83" s="1">
        <v>1</v>
      </c>
      <c r="H83" s="1" t="s">
        <v>87</v>
      </c>
      <c r="I83" s="1">
        <v>6500</v>
      </c>
      <c r="J83" s="1">
        <f t="shared" si="4"/>
        <v>6500</v>
      </c>
    </row>
    <row r="84" spans="1:10" ht="25.2" x14ac:dyDescent="0.3">
      <c r="A84" s="1"/>
      <c r="B84" s="1"/>
      <c r="C84" s="1"/>
      <c r="D84" s="1"/>
      <c r="E84" s="1" t="s">
        <v>123</v>
      </c>
      <c r="F84" s="22" t="s">
        <v>2105</v>
      </c>
      <c r="G84" s="1">
        <v>1</v>
      </c>
      <c r="H84" s="1" t="s">
        <v>87</v>
      </c>
      <c r="I84" s="1">
        <v>2500</v>
      </c>
      <c r="J84" s="1">
        <f t="shared" si="4"/>
        <v>2500</v>
      </c>
    </row>
    <row r="85" spans="1:10" ht="25.2" x14ac:dyDescent="0.3">
      <c r="A85" s="1"/>
      <c r="B85" s="1"/>
      <c r="C85" s="1"/>
      <c r="D85" s="1"/>
      <c r="E85" s="1" t="s">
        <v>123</v>
      </c>
      <c r="F85" s="22" t="s">
        <v>2106</v>
      </c>
      <c r="G85" s="1">
        <v>4</v>
      </c>
      <c r="H85" s="1" t="s">
        <v>28</v>
      </c>
      <c r="I85" s="1">
        <v>1180</v>
      </c>
      <c r="J85" s="1">
        <f t="shared" si="4"/>
        <v>4720</v>
      </c>
    </row>
    <row r="86" spans="1:10" x14ac:dyDescent="0.3">
      <c r="A86" s="1"/>
      <c r="B86" s="1"/>
      <c r="C86" s="1"/>
      <c r="D86" s="1"/>
      <c r="E86" s="1" t="s">
        <v>123</v>
      </c>
      <c r="F86" s="22" t="s">
        <v>2107</v>
      </c>
      <c r="G86" s="1">
        <v>1</v>
      </c>
      <c r="H86" s="1" t="s">
        <v>87</v>
      </c>
      <c r="I86" s="1">
        <v>4500</v>
      </c>
      <c r="J86" s="1">
        <f t="shared" si="4"/>
        <v>4500</v>
      </c>
    </row>
    <row r="87" spans="1:10" ht="50.4" x14ac:dyDescent="0.3">
      <c r="A87" s="1"/>
      <c r="B87" s="1"/>
      <c r="C87" s="1"/>
      <c r="D87" s="1"/>
      <c r="E87" s="1" t="s">
        <v>123</v>
      </c>
      <c r="F87" s="22" t="s">
        <v>2108</v>
      </c>
      <c r="G87" s="1">
        <v>60</v>
      </c>
      <c r="H87" s="1" t="s">
        <v>111</v>
      </c>
      <c r="I87" s="1">
        <v>375</v>
      </c>
      <c r="J87" s="1">
        <f t="shared" si="4"/>
        <v>22500</v>
      </c>
    </row>
    <row r="88" spans="1:10" x14ac:dyDescent="0.3">
      <c r="A88" s="1"/>
      <c r="B88" s="1"/>
      <c r="C88" s="1"/>
      <c r="D88" s="1"/>
      <c r="E88" s="1" t="s">
        <v>123</v>
      </c>
      <c r="F88" s="1" t="s">
        <v>2109</v>
      </c>
      <c r="G88" s="1">
        <v>1</v>
      </c>
      <c r="H88" s="1" t="s">
        <v>28</v>
      </c>
      <c r="I88" s="1">
        <v>3200</v>
      </c>
      <c r="J88" s="1">
        <f t="shared" si="4"/>
        <v>3200</v>
      </c>
    </row>
    <row r="89" spans="1:10" x14ac:dyDescent="0.3">
      <c r="A89" s="1"/>
      <c r="B89" s="1"/>
      <c r="C89" s="1"/>
      <c r="D89" s="1"/>
      <c r="E89" s="1" t="s">
        <v>123</v>
      </c>
      <c r="F89" s="1" t="s">
        <v>2110</v>
      </c>
      <c r="G89" s="1">
        <v>1000</v>
      </c>
      <c r="H89" s="1" t="s">
        <v>111</v>
      </c>
      <c r="I89" s="1">
        <v>12</v>
      </c>
      <c r="J89" s="1">
        <f t="shared" si="4"/>
        <v>12000</v>
      </c>
    </row>
    <row r="90" spans="1:10" x14ac:dyDescent="0.3">
      <c r="A90" s="1"/>
      <c r="B90" s="1"/>
      <c r="C90" s="1"/>
      <c r="D90" s="1"/>
      <c r="E90" s="1" t="s">
        <v>123</v>
      </c>
      <c r="F90" s="1" t="s">
        <v>2111</v>
      </c>
      <c r="G90" s="1">
        <v>1000</v>
      </c>
      <c r="H90" s="1" t="s">
        <v>111</v>
      </c>
      <c r="I90" s="1">
        <v>23</v>
      </c>
      <c r="J90" s="1">
        <f t="shared" si="4"/>
        <v>23000</v>
      </c>
    </row>
    <row r="91" spans="1:10" x14ac:dyDescent="0.3">
      <c r="A91" s="1"/>
      <c r="B91" s="1"/>
      <c r="C91" s="1"/>
      <c r="D91" s="1"/>
      <c r="E91" s="1"/>
      <c r="F91" s="124" t="s">
        <v>39</v>
      </c>
      <c r="G91" s="1"/>
      <c r="H91" s="1"/>
      <c r="I91" s="1"/>
      <c r="J91" s="124">
        <f>SUM(J71:J90)</f>
        <v>283394</v>
      </c>
    </row>
    <row r="92" spans="1:10" x14ac:dyDescent="0.3">
      <c r="A92" s="1"/>
      <c r="B92" s="1"/>
      <c r="C92" s="1"/>
      <c r="D92" s="1"/>
      <c r="E92" s="1"/>
      <c r="F92" s="124" t="s">
        <v>187</v>
      </c>
      <c r="G92" s="1"/>
      <c r="H92" s="1"/>
      <c r="I92" s="1"/>
      <c r="J92" s="124">
        <f>J91*18/100</f>
        <v>51010.92</v>
      </c>
    </row>
    <row r="93" spans="1:10" x14ac:dyDescent="0.3">
      <c r="A93" s="1"/>
      <c r="B93" s="1"/>
      <c r="C93" s="1"/>
      <c r="D93" s="1"/>
      <c r="E93" s="1"/>
      <c r="F93" s="124" t="s">
        <v>41</v>
      </c>
      <c r="G93" s="1"/>
      <c r="H93" s="1"/>
      <c r="I93" s="1"/>
      <c r="J93" s="124">
        <f>SUM(J91:J92)</f>
        <v>334404.92</v>
      </c>
    </row>
    <row r="96" spans="1:10" ht="25.2" x14ac:dyDescent="0.3">
      <c r="A96" s="1">
        <v>7</v>
      </c>
      <c r="B96" s="1">
        <v>8600064697</v>
      </c>
      <c r="C96" s="37">
        <v>46176</v>
      </c>
      <c r="D96" s="22" t="s">
        <v>2114</v>
      </c>
      <c r="E96" s="1" t="s">
        <v>127</v>
      </c>
      <c r="F96" s="22" t="s">
        <v>2115</v>
      </c>
      <c r="G96" s="1">
        <v>100</v>
      </c>
      <c r="H96" s="1" t="s">
        <v>28</v>
      </c>
      <c r="I96" s="1">
        <v>190</v>
      </c>
      <c r="J96" s="1">
        <f t="shared" ref="J96:J105" si="5">G96*I96</f>
        <v>19000</v>
      </c>
    </row>
    <row r="97" spans="1:10" ht="25.2" x14ac:dyDescent="0.3">
      <c r="A97" s="1"/>
      <c r="B97" s="1"/>
      <c r="C97" s="1"/>
      <c r="D97" s="1"/>
      <c r="E97" s="1" t="s">
        <v>127</v>
      </c>
      <c r="F97" s="22" t="s">
        <v>2116</v>
      </c>
      <c r="G97" s="1">
        <v>4</v>
      </c>
      <c r="H97" s="1" t="s">
        <v>28</v>
      </c>
      <c r="I97" s="1">
        <v>1850</v>
      </c>
      <c r="J97" s="1">
        <f t="shared" si="5"/>
        <v>7400</v>
      </c>
    </row>
    <row r="98" spans="1:10" ht="25.2" x14ac:dyDescent="0.3">
      <c r="A98" s="1"/>
      <c r="B98" s="1"/>
      <c r="C98" s="1"/>
      <c r="D98" s="1"/>
      <c r="E98" s="1" t="s">
        <v>127</v>
      </c>
      <c r="F98" s="22" t="s">
        <v>2117</v>
      </c>
      <c r="G98" s="1">
        <v>8</v>
      </c>
      <c r="H98" s="1" t="s">
        <v>28</v>
      </c>
      <c r="I98" s="1">
        <v>2159</v>
      </c>
      <c r="J98" s="1">
        <f t="shared" si="5"/>
        <v>17272</v>
      </c>
    </row>
    <row r="99" spans="1:10" x14ac:dyDescent="0.3">
      <c r="A99" s="1"/>
      <c r="B99" s="1"/>
      <c r="C99" s="1"/>
      <c r="D99" s="1"/>
      <c r="E99" s="1"/>
      <c r="F99" s="124" t="s">
        <v>39</v>
      </c>
      <c r="G99" s="1"/>
      <c r="H99" s="1"/>
      <c r="I99" s="1"/>
      <c r="J99" s="124">
        <f>SUM(J96:J98)</f>
        <v>43672</v>
      </c>
    </row>
    <row r="100" spans="1:10" x14ac:dyDescent="0.3">
      <c r="A100" s="1"/>
      <c r="B100" s="1"/>
      <c r="C100" s="1"/>
      <c r="D100" s="1"/>
      <c r="E100" s="1"/>
      <c r="F100" s="124" t="s">
        <v>187</v>
      </c>
      <c r="G100" s="1"/>
      <c r="H100" s="1"/>
      <c r="I100" s="1"/>
      <c r="J100" s="124">
        <f>J99*18/100</f>
        <v>7860.96</v>
      </c>
    </row>
    <row r="101" spans="1:10" x14ac:dyDescent="0.3">
      <c r="A101" s="1"/>
      <c r="B101" s="1"/>
      <c r="C101" s="1"/>
      <c r="D101" s="1"/>
      <c r="E101" s="1"/>
      <c r="F101" s="124" t="s">
        <v>41</v>
      </c>
      <c r="G101" s="1"/>
      <c r="H101" s="1"/>
      <c r="I101" s="1"/>
      <c r="J101" s="124">
        <f>SUM(J99:J100)</f>
        <v>51532.959999999999</v>
      </c>
    </row>
    <row r="102" spans="1:10" x14ac:dyDescent="0.3">
      <c r="A102" s="1"/>
      <c r="B102" s="1"/>
      <c r="C102" s="1"/>
      <c r="D102" s="1"/>
      <c r="E102" s="1"/>
      <c r="F102" s="1"/>
      <c r="G102" s="1"/>
      <c r="H102" s="1"/>
      <c r="I102" s="1"/>
      <c r="J102" s="1"/>
    </row>
    <row r="103" spans="1:10" x14ac:dyDescent="0.3">
      <c r="A103" s="1">
        <v>8</v>
      </c>
      <c r="B103" s="1">
        <v>8600064728</v>
      </c>
      <c r="C103" s="37">
        <v>46206</v>
      </c>
      <c r="D103" s="1" t="s">
        <v>43</v>
      </c>
      <c r="E103" s="1" t="s">
        <v>127</v>
      </c>
      <c r="F103" s="22" t="s">
        <v>2118</v>
      </c>
      <c r="G103" s="1">
        <v>2</v>
      </c>
      <c r="H103" s="1" t="s">
        <v>28</v>
      </c>
      <c r="I103" s="1">
        <v>20640</v>
      </c>
      <c r="J103" s="1">
        <f t="shared" si="5"/>
        <v>41280</v>
      </c>
    </row>
    <row r="104" spans="1:10" ht="25.2" x14ac:dyDescent="0.3">
      <c r="A104" s="1"/>
      <c r="B104" s="1"/>
      <c r="C104" s="1"/>
      <c r="D104" s="1"/>
      <c r="E104" s="1" t="s">
        <v>127</v>
      </c>
      <c r="F104" s="22" t="s">
        <v>2119</v>
      </c>
      <c r="G104" s="1">
        <v>2</v>
      </c>
      <c r="H104" s="1" t="s">
        <v>28</v>
      </c>
      <c r="I104" s="1">
        <v>65293</v>
      </c>
      <c r="J104" s="1">
        <f t="shared" si="5"/>
        <v>130586</v>
      </c>
    </row>
    <row r="105" spans="1:10" ht="25.2" x14ac:dyDescent="0.3">
      <c r="A105" s="1"/>
      <c r="B105" s="1"/>
      <c r="C105" s="1"/>
      <c r="D105" s="1"/>
      <c r="E105" s="1" t="s">
        <v>127</v>
      </c>
      <c r="F105" s="22" t="s">
        <v>2120</v>
      </c>
      <c r="G105" s="1">
        <v>1</v>
      </c>
      <c r="H105" s="1" t="s">
        <v>28</v>
      </c>
      <c r="I105" s="1">
        <v>239414</v>
      </c>
      <c r="J105" s="1">
        <f t="shared" si="5"/>
        <v>239414</v>
      </c>
    </row>
    <row r="106" spans="1:10" x14ac:dyDescent="0.3">
      <c r="A106" s="1"/>
      <c r="B106" s="1"/>
      <c r="C106" s="1"/>
      <c r="D106" s="1"/>
      <c r="E106" s="1"/>
      <c r="F106" s="124" t="s">
        <v>39</v>
      </c>
      <c r="G106" s="1"/>
      <c r="H106" s="1"/>
      <c r="I106" s="1"/>
      <c r="J106" s="124">
        <f>SUM(J103:J105)</f>
        <v>411280</v>
      </c>
    </row>
    <row r="107" spans="1:10" x14ac:dyDescent="0.3">
      <c r="A107" s="1"/>
      <c r="B107" s="1"/>
      <c r="C107" s="1"/>
      <c r="D107" s="1"/>
      <c r="E107" s="1"/>
      <c r="F107" s="124" t="s">
        <v>187</v>
      </c>
      <c r="G107" s="1"/>
      <c r="H107" s="1"/>
      <c r="I107" s="1"/>
      <c r="J107" s="124">
        <f>J106*18/100</f>
        <v>74030.399999999994</v>
      </c>
    </row>
    <row r="108" spans="1:10" x14ac:dyDescent="0.3">
      <c r="A108" s="1"/>
      <c r="B108" s="1"/>
      <c r="C108" s="1"/>
      <c r="D108" s="1"/>
      <c r="E108" s="1"/>
      <c r="F108" s="124" t="s">
        <v>41</v>
      </c>
      <c r="G108" s="1"/>
      <c r="H108" s="1"/>
      <c r="I108" s="1"/>
      <c r="J108" s="124">
        <f>SUM(J106:J107)</f>
        <v>485310.4</v>
      </c>
    </row>
    <row r="109" spans="1:10" x14ac:dyDescent="0.3">
      <c r="A109" s="1"/>
      <c r="B109" s="2"/>
      <c r="C109" s="2"/>
      <c r="D109" s="2"/>
      <c r="E109" s="2"/>
      <c r="F109" s="2"/>
      <c r="G109" s="2"/>
      <c r="H109" s="2"/>
      <c r="I109" s="2"/>
      <c r="J109" s="1"/>
    </row>
    <row r="110" spans="1:10" ht="25.2" x14ac:dyDescent="0.3">
      <c r="A110" s="1">
        <v>9</v>
      </c>
      <c r="B110" s="1">
        <v>9200160105</v>
      </c>
      <c r="C110" s="37">
        <v>46329</v>
      </c>
      <c r="D110" s="22" t="s">
        <v>43</v>
      </c>
      <c r="E110" s="1" t="s">
        <v>123</v>
      </c>
      <c r="F110" s="22" t="s">
        <v>2127</v>
      </c>
      <c r="G110" s="1">
        <v>400</v>
      </c>
      <c r="H110" s="1" t="s">
        <v>60</v>
      </c>
      <c r="I110" s="1">
        <v>109</v>
      </c>
      <c r="J110" s="1">
        <f>G110*I110</f>
        <v>43600</v>
      </c>
    </row>
    <row r="111" spans="1:10" x14ac:dyDescent="0.3">
      <c r="A111" s="1"/>
      <c r="B111" s="1"/>
      <c r="C111" s="1"/>
      <c r="D111" s="1"/>
      <c r="E111" s="1" t="s">
        <v>123</v>
      </c>
      <c r="F111" s="22" t="s">
        <v>2192</v>
      </c>
      <c r="G111" s="1">
        <v>200</v>
      </c>
      <c r="H111" s="1" t="s">
        <v>60</v>
      </c>
      <c r="I111" s="1">
        <v>50</v>
      </c>
      <c r="J111" s="1">
        <f t="shared" ref="J111:J125" si="6">G111*I111</f>
        <v>10000</v>
      </c>
    </row>
    <row r="112" spans="1:10" x14ac:dyDescent="0.3">
      <c r="A112" s="1"/>
      <c r="B112" s="1"/>
      <c r="C112" s="1"/>
      <c r="D112" s="1"/>
      <c r="E112" s="1" t="s">
        <v>123</v>
      </c>
      <c r="F112" s="1" t="s">
        <v>2129</v>
      </c>
      <c r="G112" s="1">
        <v>42</v>
      </c>
      <c r="H112" s="1" t="s">
        <v>28</v>
      </c>
      <c r="I112" s="1">
        <v>175</v>
      </c>
      <c r="J112" s="1">
        <f t="shared" si="6"/>
        <v>7350</v>
      </c>
    </row>
    <row r="113" spans="1:10" x14ac:dyDescent="0.3">
      <c r="A113" s="1"/>
      <c r="B113" s="1"/>
      <c r="C113" s="1"/>
      <c r="D113" s="1"/>
      <c r="E113" s="1" t="s">
        <v>123</v>
      </c>
      <c r="F113" s="1" t="s">
        <v>2130</v>
      </c>
      <c r="G113" s="1">
        <v>42</v>
      </c>
      <c r="H113" s="1" t="s">
        <v>28</v>
      </c>
      <c r="I113" s="1">
        <v>460</v>
      </c>
      <c r="J113" s="1">
        <f t="shared" si="6"/>
        <v>19320</v>
      </c>
    </row>
    <row r="114" spans="1:10" x14ac:dyDescent="0.3">
      <c r="A114" s="1"/>
      <c r="B114" s="1"/>
      <c r="C114" s="1"/>
      <c r="D114" s="1"/>
      <c r="E114" s="1" t="s">
        <v>123</v>
      </c>
      <c r="F114" s="1" t="s">
        <v>2131</v>
      </c>
      <c r="G114" s="1">
        <v>40</v>
      </c>
      <c r="H114" s="1" t="s">
        <v>28</v>
      </c>
      <c r="I114" s="1">
        <v>70</v>
      </c>
      <c r="J114" s="1">
        <f t="shared" si="6"/>
        <v>2800</v>
      </c>
    </row>
    <row r="115" spans="1:10" x14ac:dyDescent="0.3">
      <c r="A115" s="1"/>
      <c r="B115" s="1"/>
      <c r="C115" s="1"/>
      <c r="D115" s="1"/>
      <c r="E115" s="1" t="s">
        <v>123</v>
      </c>
      <c r="F115" s="1" t="s">
        <v>2132</v>
      </c>
      <c r="G115" s="1">
        <v>25</v>
      </c>
      <c r="H115" s="1" t="s">
        <v>28</v>
      </c>
      <c r="I115" s="1">
        <v>265</v>
      </c>
      <c r="J115" s="1">
        <f t="shared" si="6"/>
        <v>6625</v>
      </c>
    </row>
    <row r="116" spans="1:10" x14ac:dyDescent="0.3">
      <c r="A116" s="1"/>
      <c r="B116" s="1"/>
      <c r="C116" s="1"/>
      <c r="D116" s="1"/>
      <c r="E116" s="1" t="s">
        <v>123</v>
      </c>
      <c r="F116" s="1" t="s">
        <v>2133</v>
      </c>
      <c r="G116" s="1">
        <v>6</v>
      </c>
      <c r="H116" s="1" t="s">
        <v>28</v>
      </c>
      <c r="I116" s="1">
        <v>1000</v>
      </c>
      <c r="J116" s="1">
        <f t="shared" si="6"/>
        <v>6000</v>
      </c>
    </row>
    <row r="117" spans="1:10" x14ac:dyDescent="0.3">
      <c r="A117" s="1"/>
      <c r="B117" s="1"/>
      <c r="C117" s="1"/>
      <c r="D117" s="1"/>
      <c r="E117" s="1"/>
      <c r="F117" s="124" t="s">
        <v>39</v>
      </c>
      <c r="G117" s="1"/>
      <c r="H117" s="1"/>
      <c r="I117" s="1"/>
      <c r="J117" s="124">
        <f>SUM(J110:J116)</f>
        <v>95695</v>
      </c>
    </row>
    <row r="118" spans="1:10" x14ac:dyDescent="0.3">
      <c r="A118" s="1"/>
      <c r="B118" s="1"/>
      <c r="C118" s="1"/>
      <c r="D118" s="1"/>
      <c r="E118" s="1"/>
      <c r="F118" s="124" t="s">
        <v>187</v>
      </c>
      <c r="G118" s="1"/>
      <c r="H118" s="1"/>
      <c r="I118" s="1"/>
      <c r="J118" s="124">
        <f>J117*18/100</f>
        <v>17225.099999999999</v>
      </c>
    </row>
    <row r="119" spans="1:10" x14ac:dyDescent="0.3">
      <c r="A119" s="1"/>
      <c r="B119" s="1"/>
      <c r="C119" s="1"/>
      <c r="D119" s="1"/>
      <c r="E119" s="1"/>
      <c r="F119" s="124" t="s">
        <v>41</v>
      </c>
      <c r="G119" s="1"/>
      <c r="H119" s="1"/>
      <c r="I119" s="1"/>
      <c r="J119" s="124">
        <f>SUM(J117:J118)</f>
        <v>112920.1</v>
      </c>
    </row>
    <row r="120" spans="1:10" x14ac:dyDescent="0.3">
      <c r="A120" s="1"/>
      <c r="B120" s="1"/>
      <c r="C120" s="1"/>
      <c r="D120" s="1"/>
      <c r="E120" s="1"/>
      <c r="F120" s="1"/>
      <c r="G120" s="1"/>
      <c r="H120" s="1"/>
      <c r="I120" s="1"/>
      <c r="J120" s="1"/>
    </row>
    <row r="121" spans="1:10" x14ac:dyDescent="0.3">
      <c r="A121" s="1"/>
      <c r="B121" s="1"/>
      <c r="C121" s="1"/>
      <c r="D121" s="1"/>
      <c r="E121" s="1"/>
      <c r="F121" s="1"/>
      <c r="G121" s="1"/>
      <c r="H121" s="1"/>
      <c r="I121" s="1"/>
      <c r="J121" s="1"/>
    </row>
    <row r="122" spans="1:10" x14ac:dyDescent="0.3">
      <c r="A122" s="1">
        <v>10</v>
      </c>
      <c r="B122" s="1">
        <v>9200160318</v>
      </c>
      <c r="C122" s="1" t="s">
        <v>2157</v>
      </c>
      <c r="D122" s="1" t="s">
        <v>43</v>
      </c>
      <c r="E122" s="1" t="s">
        <v>123</v>
      </c>
      <c r="F122" s="22" t="s">
        <v>2146</v>
      </c>
      <c r="G122" s="1">
        <v>3</v>
      </c>
      <c r="H122" s="1" t="s">
        <v>28</v>
      </c>
      <c r="I122" s="1">
        <v>3000</v>
      </c>
      <c r="J122" s="1">
        <f t="shared" si="6"/>
        <v>9000</v>
      </c>
    </row>
    <row r="123" spans="1:10" ht="25.2" x14ac:dyDescent="0.3">
      <c r="A123" s="1"/>
      <c r="B123" s="1" t="s">
        <v>2158</v>
      </c>
      <c r="C123" s="1"/>
      <c r="D123" s="1"/>
      <c r="E123" s="1" t="s">
        <v>123</v>
      </c>
      <c r="F123" s="103" t="s">
        <v>2149</v>
      </c>
      <c r="G123" s="1">
        <v>3</v>
      </c>
      <c r="H123" s="1" t="s">
        <v>87</v>
      </c>
      <c r="I123" s="1">
        <v>6000</v>
      </c>
      <c r="J123" s="1">
        <f t="shared" si="6"/>
        <v>18000</v>
      </c>
    </row>
    <row r="124" spans="1:10" ht="25.2" x14ac:dyDescent="0.3">
      <c r="A124" s="62"/>
      <c r="B124" s="62"/>
      <c r="C124" s="62"/>
      <c r="D124" s="62"/>
      <c r="E124" s="1" t="s">
        <v>123</v>
      </c>
      <c r="F124" s="22" t="s">
        <v>2147</v>
      </c>
      <c r="G124" s="1">
        <v>150</v>
      </c>
      <c r="H124" s="1" t="s">
        <v>60</v>
      </c>
      <c r="I124" s="1">
        <v>180</v>
      </c>
      <c r="J124" s="1">
        <f t="shared" si="6"/>
        <v>27000</v>
      </c>
    </row>
    <row r="125" spans="1:10" x14ac:dyDescent="0.3">
      <c r="A125" s="62"/>
      <c r="B125" s="62"/>
      <c r="C125" s="62"/>
      <c r="D125" s="62"/>
      <c r="E125" s="1" t="s">
        <v>123</v>
      </c>
      <c r="F125" s="1" t="s">
        <v>2148</v>
      </c>
      <c r="G125" s="1">
        <v>150</v>
      </c>
      <c r="H125" s="1" t="s">
        <v>60</v>
      </c>
      <c r="I125" s="1">
        <v>45</v>
      </c>
      <c r="J125" s="1">
        <f t="shared" si="6"/>
        <v>6750</v>
      </c>
    </row>
    <row r="126" spans="1:10" x14ac:dyDescent="0.3">
      <c r="A126" s="1"/>
      <c r="B126" s="1"/>
      <c r="C126" s="1"/>
      <c r="D126" s="1"/>
      <c r="E126" s="1"/>
      <c r="F126" s="124" t="s">
        <v>39</v>
      </c>
      <c r="G126" s="1"/>
      <c r="H126" s="1"/>
      <c r="I126" s="1"/>
      <c r="J126" s="124">
        <f>SUM(J122:J125)</f>
        <v>60750</v>
      </c>
    </row>
    <row r="127" spans="1:10" x14ac:dyDescent="0.3">
      <c r="A127" s="1"/>
      <c r="B127" s="1"/>
      <c r="C127" s="1"/>
      <c r="D127" s="1"/>
      <c r="E127" s="1"/>
      <c r="F127" s="124" t="s">
        <v>599</v>
      </c>
      <c r="G127" s="1"/>
      <c r="H127" s="1"/>
      <c r="I127" s="1"/>
      <c r="J127" s="124">
        <f>J126*0/100</f>
        <v>0</v>
      </c>
    </row>
    <row r="128" spans="1:10" x14ac:dyDescent="0.3">
      <c r="A128" s="1"/>
      <c r="B128" s="1"/>
      <c r="C128" s="1"/>
      <c r="D128" s="1"/>
      <c r="E128" s="1"/>
      <c r="F128" s="124" t="s">
        <v>41</v>
      </c>
      <c r="G128" s="1"/>
      <c r="H128" s="1"/>
      <c r="I128" s="1"/>
      <c r="J128" s="124">
        <f>SUM(J126:J127)</f>
        <v>60750</v>
      </c>
    </row>
    <row r="129" spans="1:10" x14ac:dyDescent="0.3">
      <c r="A129" s="62"/>
      <c r="B129" s="62"/>
      <c r="C129" s="62"/>
      <c r="D129" s="62"/>
      <c r="E129" s="1"/>
      <c r="F129" s="1"/>
      <c r="G129" s="1"/>
      <c r="H129" s="1"/>
      <c r="I129" s="1"/>
      <c r="J129" s="1"/>
    </row>
    <row r="130" spans="1:10" x14ac:dyDescent="0.3">
      <c r="A130" s="62"/>
      <c r="B130" s="62"/>
      <c r="C130" s="62"/>
      <c r="D130" s="62"/>
      <c r="E130" s="1"/>
      <c r="F130" s="1"/>
      <c r="G130" s="1"/>
      <c r="H130" s="1"/>
      <c r="I130" s="1"/>
      <c r="J130" s="1"/>
    </row>
    <row r="131" spans="1:10" ht="75.599999999999994" x14ac:dyDescent="0.3">
      <c r="A131" s="1">
        <v>11</v>
      </c>
      <c r="B131" s="1">
        <v>9200160624</v>
      </c>
      <c r="C131" s="1" t="s">
        <v>2159</v>
      </c>
      <c r="D131" s="1" t="s">
        <v>43</v>
      </c>
      <c r="E131" s="1" t="s">
        <v>123</v>
      </c>
      <c r="F131" s="22" t="s">
        <v>2160</v>
      </c>
      <c r="G131" s="1">
        <v>66</v>
      </c>
      <c r="H131" s="1" t="s">
        <v>28</v>
      </c>
      <c r="I131" s="1">
        <v>17250</v>
      </c>
      <c r="J131" s="1">
        <f>G131*I131</f>
        <v>1138500</v>
      </c>
    </row>
    <row r="132" spans="1:10" x14ac:dyDescent="0.3">
      <c r="A132" s="62"/>
      <c r="B132" s="1"/>
      <c r="C132" s="1"/>
      <c r="D132" s="1"/>
      <c r="E132" s="1"/>
      <c r="F132" s="124" t="s">
        <v>39</v>
      </c>
      <c r="G132" s="1"/>
      <c r="H132" s="1"/>
      <c r="I132" s="1"/>
      <c r="J132" s="124">
        <f>SUM(J131)</f>
        <v>1138500</v>
      </c>
    </row>
    <row r="133" spans="1:10" x14ac:dyDescent="0.3">
      <c r="A133" s="62"/>
      <c r="B133" s="1"/>
      <c r="C133" s="1"/>
      <c r="D133" s="1"/>
      <c r="E133" s="1"/>
      <c r="F133" s="124" t="s">
        <v>599</v>
      </c>
      <c r="G133" s="1"/>
      <c r="H133" s="1"/>
      <c r="I133" s="1"/>
      <c r="J133" s="124">
        <f>J132*0/100</f>
        <v>0</v>
      </c>
    </row>
    <row r="134" spans="1:10" x14ac:dyDescent="0.3">
      <c r="A134" s="62"/>
      <c r="B134" s="1"/>
      <c r="C134" s="1"/>
      <c r="D134" s="1"/>
      <c r="E134" s="1"/>
      <c r="F134" s="124" t="s">
        <v>41</v>
      </c>
      <c r="G134" s="1"/>
      <c r="H134" s="1"/>
      <c r="I134" s="1"/>
      <c r="J134" s="124">
        <f>SUM(J132:J133)</f>
        <v>1138500</v>
      </c>
    </row>
    <row r="135" spans="1:10" x14ac:dyDescent="0.3">
      <c r="A135" s="1"/>
      <c r="B135" s="1"/>
      <c r="C135" s="1"/>
      <c r="D135" s="1"/>
      <c r="E135" s="1"/>
      <c r="F135" s="1"/>
      <c r="G135" s="1"/>
      <c r="H135" s="1"/>
      <c r="I135" s="1"/>
      <c r="J135" s="1"/>
    </row>
    <row r="136" spans="1:10" x14ac:dyDescent="0.3">
      <c r="A136" s="1"/>
      <c r="B136" s="1"/>
      <c r="C136" s="1"/>
      <c r="D136" s="1"/>
      <c r="E136" s="1"/>
      <c r="F136" s="1"/>
      <c r="G136" s="1"/>
      <c r="H136" s="1"/>
      <c r="I136" s="1"/>
      <c r="J136" s="1"/>
    </row>
    <row r="137" spans="1:10" x14ac:dyDescent="0.3">
      <c r="A137" s="1">
        <v>12</v>
      </c>
      <c r="B137" s="1">
        <v>9200162322</v>
      </c>
      <c r="C137" s="37">
        <v>42373</v>
      </c>
      <c r="D137" s="1" t="s">
        <v>43</v>
      </c>
      <c r="E137" s="1" t="s">
        <v>123</v>
      </c>
      <c r="F137" s="1" t="s">
        <v>2208</v>
      </c>
      <c r="G137" s="1">
        <v>1</v>
      </c>
      <c r="H137" s="1" t="s">
        <v>28</v>
      </c>
      <c r="I137" s="1">
        <v>840</v>
      </c>
      <c r="J137" s="1">
        <f t="shared" ref="J137:J186" si="7">G137*I137</f>
        <v>840</v>
      </c>
    </row>
    <row r="138" spans="1:10" x14ac:dyDescent="0.3">
      <c r="A138" s="1"/>
      <c r="B138" s="1"/>
      <c r="C138" s="1"/>
      <c r="D138" s="1"/>
      <c r="E138" s="1" t="s">
        <v>123</v>
      </c>
      <c r="F138" s="1" t="s">
        <v>2209</v>
      </c>
      <c r="G138" s="1">
        <v>2</v>
      </c>
      <c r="H138" s="1" t="s">
        <v>28</v>
      </c>
      <c r="I138" s="1">
        <v>840</v>
      </c>
      <c r="J138" s="1">
        <f t="shared" si="7"/>
        <v>1680</v>
      </c>
    </row>
    <row r="139" spans="1:10" x14ac:dyDescent="0.3">
      <c r="A139" s="1"/>
      <c r="B139" s="1"/>
      <c r="C139" s="1"/>
      <c r="D139" s="1"/>
      <c r="E139" s="1" t="s">
        <v>123</v>
      </c>
      <c r="F139" s="1" t="s">
        <v>2210</v>
      </c>
      <c r="G139" s="1">
        <v>2</v>
      </c>
      <c r="H139" s="1" t="s">
        <v>28</v>
      </c>
      <c r="I139" s="1">
        <v>5000</v>
      </c>
      <c r="J139" s="1">
        <f t="shared" si="7"/>
        <v>10000</v>
      </c>
    </row>
    <row r="140" spans="1:10" x14ac:dyDescent="0.3">
      <c r="A140" s="1"/>
      <c r="B140" s="1"/>
      <c r="C140" s="1"/>
      <c r="D140" s="1"/>
      <c r="E140" s="1" t="s">
        <v>123</v>
      </c>
      <c r="F140" s="1" t="s">
        <v>2211</v>
      </c>
      <c r="G140" s="1">
        <v>2</v>
      </c>
      <c r="H140" s="1" t="s">
        <v>28</v>
      </c>
      <c r="I140" s="1">
        <v>6300</v>
      </c>
      <c r="J140" s="1">
        <f t="shared" si="7"/>
        <v>12600</v>
      </c>
    </row>
    <row r="141" spans="1:10" x14ac:dyDescent="0.3">
      <c r="A141" s="1"/>
      <c r="B141" s="1"/>
      <c r="C141" s="1"/>
      <c r="D141" s="1"/>
      <c r="E141" s="1" t="s">
        <v>123</v>
      </c>
      <c r="F141" s="1" t="s">
        <v>2212</v>
      </c>
      <c r="G141" s="1">
        <v>1</v>
      </c>
      <c r="H141" s="1" t="s">
        <v>28</v>
      </c>
      <c r="I141" s="1">
        <v>17850</v>
      </c>
      <c r="J141" s="1">
        <f t="shared" si="7"/>
        <v>17850</v>
      </c>
    </row>
    <row r="142" spans="1:10" x14ac:dyDescent="0.3">
      <c r="A142" s="1"/>
      <c r="B142" s="1"/>
      <c r="C142" s="1"/>
      <c r="D142" s="1"/>
      <c r="E142" s="1" t="s">
        <v>123</v>
      </c>
      <c r="F142" s="1" t="s">
        <v>2213</v>
      </c>
      <c r="G142" s="1">
        <v>4</v>
      </c>
      <c r="H142" s="1" t="s">
        <v>28</v>
      </c>
      <c r="I142" s="1">
        <v>2400</v>
      </c>
      <c r="J142" s="1">
        <f t="shared" si="7"/>
        <v>9600</v>
      </c>
    </row>
    <row r="143" spans="1:10" x14ac:dyDescent="0.3">
      <c r="A143" s="1"/>
      <c r="B143" s="1"/>
      <c r="C143" s="1"/>
      <c r="D143" s="1"/>
      <c r="E143" s="1" t="s">
        <v>123</v>
      </c>
      <c r="F143" s="1" t="s">
        <v>2214</v>
      </c>
      <c r="G143" s="1">
        <v>1</v>
      </c>
      <c r="H143" s="1" t="s">
        <v>28</v>
      </c>
      <c r="I143" s="1">
        <v>21000</v>
      </c>
      <c r="J143" s="1">
        <f t="shared" si="7"/>
        <v>21000</v>
      </c>
    </row>
    <row r="144" spans="1:10" ht="25.2" x14ac:dyDescent="0.3">
      <c r="A144" s="1"/>
      <c r="B144" s="1"/>
      <c r="C144" s="1"/>
      <c r="D144" s="1"/>
      <c r="E144" s="1" t="s">
        <v>123</v>
      </c>
      <c r="F144" s="22" t="s">
        <v>2215</v>
      </c>
      <c r="G144" s="1">
        <v>6</v>
      </c>
      <c r="H144" s="1" t="s">
        <v>181</v>
      </c>
      <c r="I144" s="1">
        <v>4950</v>
      </c>
      <c r="J144" s="1">
        <f t="shared" si="7"/>
        <v>29700</v>
      </c>
    </row>
    <row r="145" spans="1:10" x14ac:dyDescent="0.3">
      <c r="A145" s="1"/>
      <c r="B145" s="1"/>
      <c r="C145" s="1"/>
      <c r="D145" s="1"/>
      <c r="E145" s="1" t="s">
        <v>123</v>
      </c>
      <c r="F145" s="1" t="s">
        <v>2216</v>
      </c>
      <c r="G145" s="1">
        <v>200</v>
      </c>
      <c r="H145" s="1" t="s">
        <v>308</v>
      </c>
      <c r="I145" s="1">
        <v>215</v>
      </c>
      <c r="J145" s="1">
        <f t="shared" si="7"/>
        <v>43000</v>
      </c>
    </row>
    <row r="146" spans="1:10" x14ac:dyDescent="0.3">
      <c r="A146" s="1"/>
      <c r="B146" s="1"/>
      <c r="C146" s="1"/>
      <c r="D146" s="1"/>
      <c r="E146" s="1" t="s">
        <v>123</v>
      </c>
      <c r="F146" s="1" t="s">
        <v>2217</v>
      </c>
      <c r="G146" s="1">
        <v>15</v>
      </c>
      <c r="H146" s="1" t="s">
        <v>28</v>
      </c>
      <c r="I146" s="1">
        <v>210</v>
      </c>
      <c r="J146" s="1">
        <f t="shared" si="7"/>
        <v>3150</v>
      </c>
    </row>
    <row r="147" spans="1:10" x14ac:dyDescent="0.3">
      <c r="A147" s="1"/>
      <c r="B147" s="1"/>
      <c r="C147" s="1"/>
      <c r="D147" s="1"/>
      <c r="E147" s="1" t="s">
        <v>123</v>
      </c>
      <c r="F147" s="1" t="s">
        <v>2218</v>
      </c>
      <c r="G147" s="1">
        <v>12</v>
      </c>
      <c r="H147" s="1" t="s">
        <v>28</v>
      </c>
      <c r="I147" s="1">
        <v>410</v>
      </c>
      <c r="J147" s="1">
        <f t="shared" si="7"/>
        <v>4920</v>
      </c>
    </row>
    <row r="148" spans="1:10" x14ac:dyDescent="0.3">
      <c r="A148" s="1"/>
      <c r="B148" s="1"/>
      <c r="C148" s="1"/>
      <c r="D148" s="1"/>
      <c r="E148" s="1" t="s">
        <v>123</v>
      </c>
      <c r="F148" s="1" t="s">
        <v>2219</v>
      </c>
      <c r="G148" s="1">
        <v>2</v>
      </c>
      <c r="H148" s="1" t="s">
        <v>28</v>
      </c>
      <c r="I148" s="1">
        <v>585</v>
      </c>
      <c r="J148" s="1">
        <f t="shared" si="7"/>
        <v>1170</v>
      </c>
    </row>
    <row r="149" spans="1:10" x14ac:dyDescent="0.3">
      <c r="A149" s="1"/>
      <c r="B149" s="1"/>
      <c r="C149" s="1"/>
      <c r="D149" s="1"/>
      <c r="E149" s="1" t="s">
        <v>123</v>
      </c>
      <c r="F149" s="1" t="s">
        <v>2220</v>
      </c>
      <c r="G149" s="1">
        <v>8</v>
      </c>
      <c r="H149" s="1" t="s">
        <v>28</v>
      </c>
      <c r="I149" s="1">
        <v>235</v>
      </c>
      <c r="J149" s="1">
        <f t="shared" si="7"/>
        <v>1880</v>
      </c>
    </row>
    <row r="150" spans="1:10" x14ac:dyDescent="0.3">
      <c r="A150" s="1"/>
      <c r="B150" s="1"/>
      <c r="C150" s="1"/>
      <c r="D150" s="1"/>
      <c r="E150" s="1" t="s">
        <v>123</v>
      </c>
      <c r="F150" s="1" t="s">
        <v>2221</v>
      </c>
      <c r="G150" s="1">
        <v>7</v>
      </c>
      <c r="H150" s="1" t="s">
        <v>28</v>
      </c>
      <c r="I150" s="1">
        <v>380</v>
      </c>
      <c r="J150" s="1">
        <f t="shared" si="7"/>
        <v>2660</v>
      </c>
    </row>
    <row r="151" spans="1:10" x14ac:dyDescent="0.3">
      <c r="A151" s="1"/>
      <c r="B151" s="1"/>
      <c r="C151" s="1"/>
      <c r="D151" s="1"/>
      <c r="E151" s="1" t="s">
        <v>123</v>
      </c>
      <c r="F151" s="1" t="s">
        <v>2222</v>
      </c>
      <c r="G151" s="1">
        <v>4</v>
      </c>
      <c r="H151" s="1" t="s">
        <v>28</v>
      </c>
      <c r="I151" s="1">
        <v>3750</v>
      </c>
      <c r="J151" s="1">
        <f t="shared" si="7"/>
        <v>15000</v>
      </c>
    </row>
    <row r="152" spans="1:10" x14ac:dyDescent="0.3">
      <c r="A152" s="1"/>
      <c r="B152" s="1"/>
      <c r="C152" s="1"/>
      <c r="D152" s="1"/>
      <c r="E152" s="1" t="s">
        <v>123</v>
      </c>
      <c r="F152" s="1" t="s">
        <v>2223</v>
      </c>
      <c r="G152" s="1">
        <v>8</v>
      </c>
      <c r="H152" s="1" t="s">
        <v>28</v>
      </c>
      <c r="I152" s="1">
        <v>425</v>
      </c>
      <c r="J152" s="1">
        <f t="shared" si="7"/>
        <v>3400</v>
      </c>
    </row>
    <row r="153" spans="1:10" x14ac:dyDescent="0.3">
      <c r="A153" s="1"/>
      <c r="B153" s="1"/>
      <c r="C153" s="1"/>
      <c r="D153" s="1"/>
      <c r="E153" s="1" t="s">
        <v>123</v>
      </c>
      <c r="F153" s="1" t="s">
        <v>2224</v>
      </c>
      <c r="G153" s="1">
        <v>170</v>
      </c>
      <c r="H153" s="1" t="s">
        <v>252</v>
      </c>
      <c r="I153" s="1">
        <v>450</v>
      </c>
      <c r="J153" s="1">
        <f t="shared" si="7"/>
        <v>76500</v>
      </c>
    </row>
    <row r="154" spans="1:10" ht="25.2" x14ac:dyDescent="0.3">
      <c r="A154" s="1"/>
      <c r="B154" s="1"/>
      <c r="C154" s="1"/>
      <c r="D154" s="1"/>
      <c r="E154" s="1" t="s">
        <v>123</v>
      </c>
      <c r="F154" s="22" t="s">
        <v>2225</v>
      </c>
      <c r="G154" s="1">
        <v>170</v>
      </c>
      <c r="H154" s="1" t="s">
        <v>252</v>
      </c>
      <c r="I154" s="1">
        <v>250</v>
      </c>
      <c r="J154" s="1">
        <f t="shared" si="7"/>
        <v>42500</v>
      </c>
    </row>
    <row r="155" spans="1:10" x14ac:dyDescent="0.3">
      <c r="A155" s="1"/>
      <c r="B155" s="1"/>
      <c r="C155" s="1"/>
      <c r="D155" s="1"/>
      <c r="E155" s="1" t="s">
        <v>123</v>
      </c>
      <c r="F155" s="1" t="s">
        <v>2226</v>
      </c>
      <c r="G155" s="1">
        <v>2</v>
      </c>
      <c r="H155" s="1" t="s">
        <v>28</v>
      </c>
      <c r="I155" s="1">
        <v>5000</v>
      </c>
      <c r="J155" s="1">
        <f t="shared" si="7"/>
        <v>10000</v>
      </c>
    </row>
    <row r="156" spans="1:10" x14ac:dyDescent="0.3">
      <c r="A156" s="1"/>
      <c r="B156" s="1"/>
      <c r="C156" s="1"/>
      <c r="D156" s="1"/>
      <c r="E156" s="1" t="s">
        <v>123</v>
      </c>
      <c r="F156" s="1" t="s">
        <v>2214</v>
      </c>
      <c r="G156" s="1">
        <v>2</v>
      </c>
      <c r="H156" s="1" t="s">
        <v>28</v>
      </c>
      <c r="I156" s="1">
        <v>21000</v>
      </c>
      <c r="J156" s="1">
        <f t="shared" si="7"/>
        <v>42000</v>
      </c>
    </row>
    <row r="157" spans="1:10" x14ac:dyDescent="0.3">
      <c r="A157" s="1"/>
      <c r="B157" s="1"/>
      <c r="C157" s="1"/>
      <c r="D157" s="1"/>
      <c r="E157" s="1" t="s">
        <v>123</v>
      </c>
      <c r="F157" s="1" t="s">
        <v>2227</v>
      </c>
      <c r="G157" s="1">
        <v>5</v>
      </c>
      <c r="H157" s="1" t="s">
        <v>141</v>
      </c>
      <c r="I157" s="1">
        <v>110</v>
      </c>
      <c r="J157" s="1">
        <f t="shared" si="7"/>
        <v>550</v>
      </c>
    </row>
    <row r="158" spans="1:10" x14ac:dyDescent="0.3">
      <c r="A158" s="62"/>
      <c r="B158" s="1"/>
      <c r="C158" s="1"/>
      <c r="D158" s="1"/>
      <c r="E158" s="1"/>
      <c r="F158" s="124" t="s">
        <v>39</v>
      </c>
      <c r="G158" s="1"/>
      <c r="H158" s="1"/>
      <c r="I158" s="1"/>
      <c r="J158" s="124">
        <f>SUM(J137:J157)</f>
        <v>350000</v>
      </c>
    </row>
    <row r="159" spans="1:10" x14ac:dyDescent="0.3">
      <c r="A159" s="62"/>
      <c r="B159" s="1"/>
      <c r="C159" s="1"/>
      <c r="D159" s="1"/>
      <c r="E159" s="1"/>
      <c r="F159" s="124" t="s">
        <v>599</v>
      </c>
      <c r="G159" s="1"/>
      <c r="H159" s="1"/>
      <c r="I159" s="1"/>
      <c r="J159" s="124">
        <f>J158*0/100</f>
        <v>0</v>
      </c>
    </row>
    <row r="160" spans="1:10" x14ac:dyDescent="0.3">
      <c r="A160" s="62"/>
      <c r="B160" s="1"/>
      <c r="C160" s="1"/>
      <c r="D160" s="1"/>
      <c r="E160" s="1"/>
      <c r="F160" s="124" t="s">
        <v>41</v>
      </c>
      <c r="G160" s="1"/>
      <c r="H160" s="1"/>
      <c r="I160" s="1"/>
      <c r="J160" s="124">
        <f>SUM(J158:J159)</f>
        <v>350000</v>
      </c>
    </row>
    <row r="161" spans="1:10" x14ac:dyDescent="0.3">
      <c r="A161" s="1"/>
      <c r="B161" s="1"/>
      <c r="C161" s="1"/>
      <c r="D161" s="1"/>
      <c r="E161" s="1"/>
      <c r="F161" s="1"/>
      <c r="G161" s="1"/>
      <c r="H161" s="1"/>
      <c r="I161" s="1"/>
      <c r="J161" s="1">
        <f t="shared" si="7"/>
        <v>0</v>
      </c>
    </row>
    <row r="162" spans="1:10" ht="25.2" x14ac:dyDescent="0.3">
      <c r="A162" s="1">
        <v>13</v>
      </c>
      <c r="B162" s="1">
        <v>8500040684</v>
      </c>
      <c r="C162" s="37">
        <v>46057</v>
      </c>
      <c r="D162" s="1" t="s">
        <v>43</v>
      </c>
      <c r="E162" s="1" t="s">
        <v>127</v>
      </c>
      <c r="F162" s="22" t="s">
        <v>2232</v>
      </c>
      <c r="G162" s="1">
        <v>1</v>
      </c>
      <c r="H162" s="1" t="s">
        <v>28</v>
      </c>
      <c r="I162" s="1">
        <v>8500</v>
      </c>
      <c r="J162" s="1">
        <f t="shared" si="7"/>
        <v>8500</v>
      </c>
    </row>
    <row r="163" spans="1:10" x14ac:dyDescent="0.3">
      <c r="A163" s="62"/>
      <c r="B163" s="1"/>
      <c r="C163" s="1"/>
      <c r="D163" s="1"/>
      <c r="E163" s="1"/>
      <c r="F163" s="124" t="s">
        <v>39</v>
      </c>
      <c r="G163" s="1"/>
      <c r="H163" s="1"/>
      <c r="I163" s="1"/>
      <c r="J163" s="124">
        <f>SUM(J162)</f>
        <v>8500</v>
      </c>
    </row>
    <row r="164" spans="1:10" x14ac:dyDescent="0.3">
      <c r="A164" s="62"/>
      <c r="B164" s="1"/>
      <c r="C164" s="1"/>
      <c r="D164" s="1"/>
      <c r="E164" s="1"/>
      <c r="F164" s="124" t="s">
        <v>599</v>
      </c>
      <c r="G164" s="1"/>
      <c r="H164" s="1"/>
      <c r="I164" s="1"/>
      <c r="J164" s="124">
        <f>J163*0/100</f>
        <v>0</v>
      </c>
    </row>
    <row r="165" spans="1:10" x14ac:dyDescent="0.3">
      <c r="A165" s="62"/>
      <c r="B165" s="1"/>
      <c r="C165" s="1"/>
      <c r="D165" s="1"/>
      <c r="E165" s="1"/>
      <c r="F165" s="124" t="s">
        <v>41</v>
      </c>
      <c r="G165" s="1"/>
      <c r="H165" s="1"/>
      <c r="I165" s="1"/>
      <c r="J165" s="124">
        <f>SUM(J163:J164)</f>
        <v>8500</v>
      </c>
    </row>
    <row r="166" spans="1:10" x14ac:dyDescent="0.3">
      <c r="A166" s="1"/>
      <c r="B166" s="1"/>
      <c r="C166" s="1"/>
      <c r="D166" s="1"/>
      <c r="E166" s="1"/>
      <c r="F166" s="1"/>
      <c r="G166" s="1"/>
      <c r="H166" s="1"/>
      <c r="I166" s="1"/>
      <c r="J166" s="1">
        <f t="shared" si="7"/>
        <v>0</v>
      </c>
    </row>
    <row r="167" spans="1:10" ht="25.2" x14ac:dyDescent="0.3">
      <c r="A167" s="1">
        <v>14</v>
      </c>
      <c r="B167" s="1">
        <v>9200163068</v>
      </c>
      <c r="C167" s="37">
        <v>42617</v>
      </c>
      <c r="D167" s="1" t="s">
        <v>43</v>
      </c>
      <c r="E167" s="1" t="s">
        <v>123</v>
      </c>
      <c r="F167" s="22" t="s">
        <v>2235</v>
      </c>
      <c r="G167" s="1">
        <v>2</v>
      </c>
      <c r="H167" s="1" t="s">
        <v>28</v>
      </c>
      <c r="I167" s="1">
        <v>4500</v>
      </c>
      <c r="J167" s="1">
        <f t="shared" si="7"/>
        <v>9000</v>
      </c>
    </row>
    <row r="168" spans="1:10" ht="25.2" x14ac:dyDescent="0.3">
      <c r="A168" s="1"/>
      <c r="B168" s="1"/>
      <c r="C168" s="1"/>
      <c r="D168" s="1"/>
      <c r="E168" s="1" t="s">
        <v>123</v>
      </c>
      <c r="F168" s="22" t="s">
        <v>2236</v>
      </c>
      <c r="G168" s="1">
        <v>2</v>
      </c>
      <c r="H168" s="1" t="s">
        <v>28</v>
      </c>
      <c r="I168" s="1">
        <v>7600</v>
      </c>
      <c r="J168" s="1">
        <f t="shared" si="7"/>
        <v>15200</v>
      </c>
    </row>
    <row r="169" spans="1:10" ht="37.799999999999997" x14ac:dyDescent="0.3">
      <c r="A169" s="1"/>
      <c r="B169" s="1"/>
      <c r="C169" s="1"/>
      <c r="D169" s="1"/>
      <c r="E169" s="1" t="s">
        <v>123</v>
      </c>
      <c r="F169" s="22" t="s">
        <v>2237</v>
      </c>
      <c r="G169" s="1">
        <v>2</v>
      </c>
      <c r="H169" s="1" t="s">
        <v>28</v>
      </c>
      <c r="I169" s="1">
        <v>23800</v>
      </c>
      <c r="J169" s="1">
        <f t="shared" si="7"/>
        <v>47600</v>
      </c>
    </row>
    <row r="170" spans="1:10" x14ac:dyDescent="0.3">
      <c r="A170" s="1"/>
      <c r="B170" s="1"/>
      <c r="C170" s="1"/>
      <c r="D170" s="1"/>
      <c r="E170" s="1" t="s">
        <v>123</v>
      </c>
      <c r="F170" s="1" t="s">
        <v>2238</v>
      </c>
      <c r="G170" s="1">
        <v>2</v>
      </c>
      <c r="H170" s="1" t="s">
        <v>87</v>
      </c>
      <c r="I170" s="1">
        <v>2500</v>
      </c>
      <c r="J170" s="1">
        <f t="shared" si="7"/>
        <v>5000</v>
      </c>
    </row>
    <row r="171" spans="1:10" ht="25.2" x14ac:dyDescent="0.3">
      <c r="A171" s="1"/>
      <c r="B171" s="1"/>
      <c r="C171" s="1"/>
      <c r="D171" s="1"/>
      <c r="E171" s="1" t="s">
        <v>123</v>
      </c>
      <c r="F171" s="22" t="s">
        <v>2239</v>
      </c>
      <c r="G171" s="1">
        <v>2</v>
      </c>
      <c r="H171" s="1" t="s">
        <v>87</v>
      </c>
      <c r="I171" s="1">
        <v>7600</v>
      </c>
      <c r="J171" s="1">
        <f t="shared" si="7"/>
        <v>15200</v>
      </c>
    </row>
    <row r="172" spans="1:10" x14ac:dyDescent="0.3">
      <c r="A172" s="1"/>
      <c r="B172" s="1"/>
      <c r="C172" s="1"/>
      <c r="D172" s="1"/>
      <c r="E172" s="1" t="s">
        <v>123</v>
      </c>
      <c r="F172" s="1" t="s">
        <v>2240</v>
      </c>
      <c r="G172" s="1">
        <v>2</v>
      </c>
      <c r="H172" s="1" t="s">
        <v>28</v>
      </c>
      <c r="I172" s="1">
        <v>15000</v>
      </c>
      <c r="J172" s="1">
        <f t="shared" si="7"/>
        <v>30000</v>
      </c>
    </row>
    <row r="173" spans="1:10" x14ac:dyDescent="0.3">
      <c r="A173" s="1"/>
      <c r="B173" s="1"/>
      <c r="C173" s="1"/>
      <c r="D173" s="1"/>
      <c r="E173" s="1" t="s">
        <v>123</v>
      </c>
      <c r="F173" s="1" t="s">
        <v>2241</v>
      </c>
      <c r="G173" s="1">
        <v>60</v>
      </c>
      <c r="H173" s="1" t="s">
        <v>308</v>
      </c>
      <c r="I173" s="1">
        <v>140</v>
      </c>
      <c r="J173" s="1">
        <f t="shared" si="7"/>
        <v>8400</v>
      </c>
    </row>
    <row r="174" spans="1:10" x14ac:dyDescent="0.3">
      <c r="A174" s="1"/>
      <c r="B174" s="1"/>
      <c r="C174" s="1"/>
      <c r="D174" s="1"/>
      <c r="E174" s="1" t="s">
        <v>123</v>
      </c>
      <c r="F174" s="1" t="s">
        <v>2242</v>
      </c>
      <c r="G174" s="1">
        <v>8</v>
      </c>
      <c r="H174" s="1" t="s">
        <v>28</v>
      </c>
      <c r="I174" s="1">
        <v>250</v>
      </c>
      <c r="J174" s="1">
        <f t="shared" si="7"/>
        <v>2000</v>
      </c>
    </row>
    <row r="175" spans="1:10" x14ac:dyDescent="0.3">
      <c r="A175" s="1"/>
      <c r="B175" s="1"/>
      <c r="C175" s="1"/>
      <c r="D175" s="1"/>
      <c r="E175" s="1" t="s">
        <v>123</v>
      </c>
      <c r="F175" s="1" t="s">
        <v>2243</v>
      </c>
      <c r="G175" s="1">
        <v>2</v>
      </c>
      <c r="H175" s="1" t="s">
        <v>28</v>
      </c>
      <c r="I175" s="1">
        <v>280</v>
      </c>
      <c r="J175" s="1">
        <f t="shared" si="7"/>
        <v>560</v>
      </c>
    </row>
    <row r="176" spans="1:10" x14ac:dyDescent="0.3">
      <c r="A176" s="1"/>
      <c r="B176" s="1"/>
      <c r="C176" s="1"/>
      <c r="D176" s="1"/>
      <c r="E176" s="1" t="s">
        <v>123</v>
      </c>
      <c r="F176" s="1" t="s">
        <v>2244</v>
      </c>
      <c r="G176" s="1">
        <v>2</v>
      </c>
      <c r="H176" s="1" t="s">
        <v>28</v>
      </c>
      <c r="I176" s="1">
        <v>130</v>
      </c>
      <c r="J176" s="1">
        <f t="shared" si="7"/>
        <v>260</v>
      </c>
    </row>
    <row r="177" spans="1:10" x14ac:dyDescent="0.3">
      <c r="A177" s="1"/>
      <c r="B177" s="1"/>
      <c r="C177" s="1"/>
      <c r="D177" s="1"/>
      <c r="E177" s="1" t="s">
        <v>123</v>
      </c>
      <c r="F177" s="1" t="s">
        <v>2245</v>
      </c>
      <c r="G177" s="1">
        <v>2</v>
      </c>
      <c r="H177" s="1" t="s">
        <v>28</v>
      </c>
      <c r="I177" s="1">
        <v>1200</v>
      </c>
      <c r="J177" s="1">
        <f t="shared" si="7"/>
        <v>2400</v>
      </c>
    </row>
    <row r="178" spans="1:10" x14ac:dyDescent="0.3">
      <c r="A178" s="1"/>
      <c r="B178" s="1"/>
      <c r="C178" s="1"/>
      <c r="D178" s="1"/>
      <c r="E178" s="1" t="s">
        <v>123</v>
      </c>
      <c r="F178" s="1" t="s">
        <v>2246</v>
      </c>
      <c r="G178" s="1">
        <v>60</v>
      </c>
      <c r="H178" s="1" t="s">
        <v>111</v>
      </c>
      <c r="I178" s="1">
        <v>650</v>
      </c>
      <c r="J178" s="1">
        <f t="shared" si="7"/>
        <v>39000</v>
      </c>
    </row>
    <row r="179" spans="1:10" x14ac:dyDescent="0.3">
      <c r="A179" s="62"/>
      <c r="B179" s="1"/>
      <c r="C179" s="1"/>
      <c r="D179" s="1"/>
      <c r="E179" s="1"/>
      <c r="F179" s="124" t="s">
        <v>39</v>
      </c>
      <c r="G179" s="1"/>
      <c r="H179" s="1"/>
      <c r="I179" s="1"/>
      <c r="J179" s="124">
        <f>SUM(J167:J178)</f>
        <v>174620</v>
      </c>
    </row>
    <row r="180" spans="1:10" x14ac:dyDescent="0.3">
      <c r="A180" s="62"/>
      <c r="B180" s="1"/>
      <c r="C180" s="1"/>
      <c r="D180" s="1"/>
      <c r="E180" s="1"/>
      <c r="F180" s="124" t="s">
        <v>599</v>
      </c>
      <c r="G180" s="1"/>
      <c r="H180" s="1"/>
      <c r="I180" s="1"/>
      <c r="J180" s="124">
        <f>J179*0/100</f>
        <v>0</v>
      </c>
    </row>
    <row r="181" spans="1:10" x14ac:dyDescent="0.3">
      <c r="A181" s="62"/>
      <c r="B181" s="1"/>
      <c r="C181" s="1"/>
      <c r="D181" s="1"/>
      <c r="E181" s="1"/>
      <c r="F181" s="124" t="s">
        <v>41</v>
      </c>
      <c r="G181" s="1"/>
      <c r="H181" s="1"/>
      <c r="I181" s="1"/>
      <c r="J181" s="124">
        <f>SUM(J179:J180)</f>
        <v>174620</v>
      </c>
    </row>
    <row r="182" spans="1:10" x14ac:dyDescent="0.3">
      <c r="A182" s="62"/>
      <c r="B182" s="1"/>
      <c r="C182" s="1"/>
      <c r="D182" s="1"/>
      <c r="E182" s="1"/>
      <c r="F182" s="124"/>
      <c r="G182" s="1"/>
      <c r="H182" s="1"/>
      <c r="I182" s="1"/>
      <c r="J182" s="124"/>
    </row>
    <row r="183" spans="1:10" ht="25.2" x14ac:dyDescent="0.3">
      <c r="A183" s="1">
        <v>15</v>
      </c>
      <c r="B183" s="1">
        <v>8100024212</v>
      </c>
      <c r="C183" s="37">
        <v>46299</v>
      </c>
      <c r="D183" s="1" t="s">
        <v>43</v>
      </c>
      <c r="E183" s="1" t="s">
        <v>127</v>
      </c>
      <c r="F183" s="22" t="s">
        <v>2249</v>
      </c>
      <c r="G183" s="1">
        <v>10</v>
      </c>
      <c r="H183" s="1" t="s">
        <v>28</v>
      </c>
      <c r="I183" s="1">
        <v>17000</v>
      </c>
      <c r="J183" s="1">
        <f t="shared" si="7"/>
        <v>170000</v>
      </c>
    </row>
    <row r="184" spans="1:10" x14ac:dyDescent="0.3">
      <c r="A184" s="1"/>
      <c r="B184" s="1"/>
      <c r="C184" s="1"/>
      <c r="D184" s="1"/>
      <c r="E184" s="1" t="s">
        <v>123</v>
      </c>
      <c r="F184" s="1" t="s">
        <v>2250</v>
      </c>
      <c r="G184" s="1">
        <v>10</v>
      </c>
      <c r="H184" s="1" t="s">
        <v>28</v>
      </c>
      <c r="I184" s="1">
        <v>1200</v>
      </c>
      <c r="J184" s="1">
        <f t="shared" si="7"/>
        <v>12000</v>
      </c>
    </row>
    <row r="185" spans="1:10" x14ac:dyDescent="0.3">
      <c r="A185" s="1"/>
      <c r="B185" s="1"/>
      <c r="C185" s="1"/>
      <c r="D185" s="1"/>
      <c r="E185" s="1" t="s">
        <v>123</v>
      </c>
      <c r="F185" s="1" t="s">
        <v>2251</v>
      </c>
      <c r="G185" s="1">
        <v>10</v>
      </c>
      <c r="H185" s="1" t="s">
        <v>87</v>
      </c>
      <c r="I185" s="1">
        <v>2500</v>
      </c>
      <c r="J185" s="1">
        <f t="shared" si="7"/>
        <v>25000</v>
      </c>
    </row>
    <row r="186" spans="1:10" x14ac:dyDescent="0.3">
      <c r="A186" s="1"/>
      <c r="B186" s="1"/>
      <c r="C186" s="1"/>
      <c r="D186" s="1"/>
      <c r="E186" s="1" t="s">
        <v>123</v>
      </c>
      <c r="F186" s="1" t="s">
        <v>2252</v>
      </c>
      <c r="G186" s="1">
        <v>10</v>
      </c>
      <c r="H186" s="1" t="s">
        <v>181</v>
      </c>
      <c r="I186" s="1">
        <v>3000</v>
      </c>
      <c r="J186" s="1">
        <f t="shared" si="7"/>
        <v>30000</v>
      </c>
    </row>
    <row r="187" spans="1:10" x14ac:dyDescent="0.3">
      <c r="A187" s="62"/>
      <c r="B187" s="1"/>
      <c r="C187" s="1"/>
      <c r="D187" s="1"/>
      <c r="E187" s="1"/>
      <c r="F187" s="124" t="s">
        <v>39</v>
      </c>
      <c r="G187" s="1"/>
      <c r="H187" s="1"/>
      <c r="I187" s="1"/>
      <c r="J187" s="124">
        <f>SUM(J183:J186)</f>
        <v>237000</v>
      </c>
    </row>
    <row r="188" spans="1:10" x14ac:dyDescent="0.3">
      <c r="A188" s="62"/>
      <c r="B188" s="1"/>
      <c r="C188" s="1"/>
      <c r="D188" s="1"/>
      <c r="E188" s="1"/>
      <c r="F188" s="124" t="s">
        <v>599</v>
      </c>
      <c r="G188" s="1"/>
      <c r="H188" s="1"/>
      <c r="I188" s="1"/>
      <c r="J188" s="124">
        <f>J187*0/100</f>
        <v>0</v>
      </c>
    </row>
    <row r="189" spans="1:10" x14ac:dyDescent="0.3">
      <c r="A189" s="62"/>
      <c r="B189" s="1"/>
      <c r="C189" s="1"/>
      <c r="D189" s="1"/>
      <c r="E189" s="1"/>
      <c r="F189" s="124" t="s">
        <v>41</v>
      </c>
      <c r="G189" s="1"/>
      <c r="H189" s="1"/>
      <c r="I189" s="1"/>
      <c r="J189" s="124">
        <f>SUM(J187:J188)</f>
        <v>237000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D121-57A9-487B-AFFA-269685F2F3D3}">
  <dimension ref="A2:I16"/>
  <sheetViews>
    <sheetView workbookViewId="0">
      <selection activeCell="E3" sqref="E3:E10"/>
    </sheetView>
  </sheetViews>
  <sheetFormatPr defaultRowHeight="14.4" x14ac:dyDescent="0.3"/>
  <cols>
    <col min="1" max="1" width="9" bestFit="1" customWidth="1"/>
    <col min="2" max="2" width="13.33203125" bestFit="1" customWidth="1"/>
    <col min="3" max="3" width="10.109375" bestFit="1" customWidth="1"/>
    <col min="4" max="4" width="10.88671875" customWidth="1"/>
    <col min="5" max="5" width="14.44140625" customWidth="1"/>
    <col min="6" max="6" width="9" bestFit="1" customWidth="1"/>
    <col min="7" max="7" width="14.77734375" customWidth="1"/>
    <col min="8" max="8" width="51.88671875" bestFit="1" customWidth="1"/>
  </cols>
  <sheetData>
    <row r="2" spans="1:9" s="3" customFormat="1" ht="19.8" customHeight="1" x14ac:dyDescent="0.3">
      <c r="A2" s="133" t="s">
        <v>1910</v>
      </c>
      <c r="B2" s="133" t="s">
        <v>1904</v>
      </c>
      <c r="C2" s="133" t="s">
        <v>1905</v>
      </c>
      <c r="D2" s="133" t="s">
        <v>1579</v>
      </c>
      <c r="E2" s="133" t="s">
        <v>1906</v>
      </c>
      <c r="F2" s="133" t="s">
        <v>1907</v>
      </c>
      <c r="G2" s="133" t="s">
        <v>991</v>
      </c>
      <c r="H2" s="133" t="s">
        <v>1580</v>
      </c>
    </row>
    <row r="3" spans="1:9" s="3" customFormat="1" ht="19.8" customHeight="1" x14ac:dyDescent="0.3">
      <c r="A3" s="175">
        <v>1</v>
      </c>
      <c r="B3" s="175">
        <v>9200156113</v>
      </c>
      <c r="C3" s="175" t="s">
        <v>1913</v>
      </c>
      <c r="D3" s="175" t="s">
        <v>1909</v>
      </c>
      <c r="E3" s="175">
        <v>20648</v>
      </c>
      <c r="F3" s="175">
        <f>E3*18/100</f>
        <v>3716.64</v>
      </c>
      <c r="G3" s="175">
        <f>E3+F3</f>
        <v>24364.639999999999</v>
      </c>
      <c r="H3" s="178" t="s">
        <v>1912</v>
      </c>
      <c r="I3" s="176"/>
    </row>
    <row r="4" spans="1:9" s="3" customFormat="1" ht="19.8" customHeight="1" x14ac:dyDescent="0.3">
      <c r="A4" s="175">
        <v>2</v>
      </c>
      <c r="B4" s="175">
        <v>9200155896</v>
      </c>
      <c r="C4" s="175" t="s">
        <v>1925</v>
      </c>
      <c r="D4" s="175" t="s">
        <v>1918</v>
      </c>
      <c r="E4" s="175">
        <v>22740</v>
      </c>
      <c r="F4" s="175">
        <f>E4*0/100</f>
        <v>0</v>
      </c>
      <c r="G4" s="175">
        <f t="shared" ref="G4:G15" si="0">E4+F4</f>
        <v>22740</v>
      </c>
      <c r="H4" s="178" t="s">
        <v>1911</v>
      </c>
      <c r="I4" s="176"/>
    </row>
    <row r="5" spans="1:9" s="3" customFormat="1" ht="19.8" customHeight="1" x14ac:dyDescent="0.3">
      <c r="A5" s="175">
        <v>3</v>
      </c>
      <c r="B5" s="175">
        <v>9200155744</v>
      </c>
      <c r="C5" s="175" t="s">
        <v>1914</v>
      </c>
      <c r="D5" s="175" t="s">
        <v>1909</v>
      </c>
      <c r="E5" s="175">
        <v>145000</v>
      </c>
      <c r="F5" s="175">
        <f t="shared" ref="F5:F15" si="1">E5*18/100</f>
        <v>26100</v>
      </c>
      <c r="G5" s="175">
        <f t="shared" si="0"/>
        <v>171100</v>
      </c>
      <c r="H5" s="178" t="s">
        <v>1915</v>
      </c>
      <c r="I5" s="176"/>
    </row>
    <row r="6" spans="1:9" s="3" customFormat="1" ht="19.8" customHeight="1" x14ac:dyDescent="0.3">
      <c r="A6" s="175">
        <v>4</v>
      </c>
      <c r="B6" s="175">
        <v>9200155755</v>
      </c>
      <c r="C6" s="175" t="s">
        <v>1914</v>
      </c>
      <c r="D6" s="175" t="s">
        <v>1909</v>
      </c>
      <c r="E6" s="175">
        <v>63400</v>
      </c>
      <c r="F6" s="175">
        <f t="shared" si="1"/>
        <v>11412</v>
      </c>
      <c r="G6" s="175">
        <f t="shared" si="0"/>
        <v>74812</v>
      </c>
      <c r="H6" s="178" t="s">
        <v>1916</v>
      </c>
      <c r="I6" s="176"/>
    </row>
    <row r="7" spans="1:9" s="3" customFormat="1" ht="19.8" customHeight="1" x14ac:dyDescent="0.3">
      <c r="A7" s="175">
        <v>5</v>
      </c>
      <c r="B7" s="177">
        <v>8100022449</v>
      </c>
      <c r="C7" s="175" t="s">
        <v>1908</v>
      </c>
      <c r="D7" s="175" t="s">
        <v>1918</v>
      </c>
      <c r="E7" s="175">
        <v>180000</v>
      </c>
      <c r="F7" s="175">
        <f t="shared" si="1"/>
        <v>32400</v>
      </c>
      <c r="G7" s="175">
        <f t="shared" si="0"/>
        <v>212400</v>
      </c>
      <c r="H7" s="178" t="s">
        <v>1917</v>
      </c>
      <c r="I7" s="176"/>
    </row>
    <row r="8" spans="1:9" s="3" customFormat="1" ht="19.8" customHeight="1" x14ac:dyDescent="0.3">
      <c r="A8" s="175">
        <v>6</v>
      </c>
      <c r="B8" s="175">
        <v>9200155196</v>
      </c>
      <c r="C8" s="175" t="s">
        <v>1919</v>
      </c>
      <c r="D8" s="175" t="s">
        <v>1918</v>
      </c>
      <c r="E8" s="175">
        <v>554450</v>
      </c>
      <c r="F8" s="175">
        <f>E8*0/100</f>
        <v>0</v>
      </c>
      <c r="G8" s="175">
        <f t="shared" si="0"/>
        <v>554450</v>
      </c>
      <c r="H8" s="178" t="s">
        <v>1923</v>
      </c>
      <c r="I8" s="176"/>
    </row>
    <row r="9" spans="1:9" s="3" customFormat="1" ht="19.8" customHeight="1" x14ac:dyDescent="0.3">
      <c r="A9" s="175">
        <v>7</v>
      </c>
      <c r="B9" s="175">
        <v>9200154982</v>
      </c>
      <c r="C9" s="175" t="s">
        <v>1920</v>
      </c>
      <c r="D9" s="175" t="s">
        <v>1909</v>
      </c>
      <c r="E9" s="175">
        <v>177500</v>
      </c>
      <c r="F9" s="175">
        <f t="shared" si="1"/>
        <v>31950</v>
      </c>
      <c r="G9" s="175">
        <f t="shared" si="0"/>
        <v>209450</v>
      </c>
      <c r="H9" s="178" t="s">
        <v>1924</v>
      </c>
      <c r="I9" s="176"/>
    </row>
    <row r="10" spans="1:9" s="3" customFormat="1" ht="19.8" customHeight="1" x14ac:dyDescent="0.3">
      <c r="A10" s="175">
        <v>8</v>
      </c>
      <c r="B10" s="175">
        <v>9200152990</v>
      </c>
      <c r="C10" s="175" t="s">
        <v>1922</v>
      </c>
      <c r="D10" s="175" t="s">
        <v>1918</v>
      </c>
      <c r="E10" s="175">
        <v>33000</v>
      </c>
      <c r="F10" s="175">
        <f>E10*0/100</f>
        <v>0</v>
      </c>
      <c r="G10" s="175">
        <f t="shared" si="0"/>
        <v>33000</v>
      </c>
      <c r="H10" s="178" t="s">
        <v>1921</v>
      </c>
      <c r="I10" s="176"/>
    </row>
    <row r="11" spans="1:9" s="3" customFormat="1" ht="19.8" customHeight="1" x14ac:dyDescent="0.3">
      <c r="A11" s="175"/>
      <c r="B11" s="175"/>
      <c r="C11" s="175"/>
      <c r="D11" s="175"/>
      <c r="E11" s="175"/>
      <c r="F11" s="175">
        <f t="shared" si="1"/>
        <v>0</v>
      </c>
      <c r="G11" s="175">
        <f t="shared" si="0"/>
        <v>0</v>
      </c>
      <c r="H11" s="178"/>
      <c r="I11" s="176"/>
    </row>
    <row r="12" spans="1:9" s="3" customFormat="1" ht="19.8" customHeight="1" x14ac:dyDescent="0.3">
      <c r="A12" s="175"/>
      <c r="B12" s="175"/>
      <c r="C12" s="175"/>
      <c r="D12" s="175"/>
      <c r="E12" s="175"/>
      <c r="F12" s="175">
        <f t="shared" si="1"/>
        <v>0</v>
      </c>
      <c r="G12" s="175">
        <f t="shared" si="0"/>
        <v>0</v>
      </c>
      <c r="H12" s="178"/>
      <c r="I12" s="176"/>
    </row>
    <row r="13" spans="1:9" s="3" customFormat="1" ht="19.8" customHeight="1" x14ac:dyDescent="0.3">
      <c r="A13" s="175"/>
      <c r="B13" s="175"/>
      <c r="C13" s="175"/>
      <c r="D13" s="175"/>
      <c r="E13" s="175"/>
      <c r="F13" s="175">
        <f t="shared" si="1"/>
        <v>0</v>
      </c>
      <c r="G13" s="175">
        <f t="shared" si="0"/>
        <v>0</v>
      </c>
      <c r="H13" s="178"/>
      <c r="I13" s="176"/>
    </row>
    <row r="14" spans="1:9" s="3" customFormat="1" ht="19.8" customHeight="1" x14ac:dyDescent="0.3">
      <c r="A14" s="175"/>
      <c r="B14" s="175"/>
      <c r="C14" s="175"/>
      <c r="D14" s="175"/>
      <c r="E14" s="175"/>
      <c r="F14" s="175">
        <f t="shared" si="1"/>
        <v>0</v>
      </c>
      <c r="G14" s="175">
        <f t="shared" si="0"/>
        <v>0</v>
      </c>
      <c r="H14" s="178"/>
      <c r="I14" s="176"/>
    </row>
    <row r="15" spans="1:9" s="3" customFormat="1" ht="19.8" customHeight="1" x14ac:dyDescent="0.3">
      <c r="A15" s="175"/>
      <c r="B15" s="175"/>
      <c r="C15" s="175"/>
      <c r="D15" s="175"/>
      <c r="E15" s="175"/>
      <c r="F15" s="175">
        <f t="shared" si="1"/>
        <v>0</v>
      </c>
      <c r="G15" s="175">
        <f t="shared" si="0"/>
        <v>0</v>
      </c>
      <c r="H15" s="178"/>
      <c r="I15" s="176"/>
    </row>
    <row r="16" spans="1:9" s="3" customFormat="1" ht="19.8" customHeight="1" x14ac:dyDescent="0.3">
      <c r="A16" s="133"/>
      <c r="B16" s="133"/>
      <c r="C16" s="133"/>
      <c r="D16" s="133" t="s">
        <v>39</v>
      </c>
      <c r="E16" s="133">
        <f>SUM(E3:E15)</f>
        <v>1196738</v>
      </c>
      <c r="F16" s="133">
        <f>SUM(F3:F15)</f>
        <v>105578.64</v>
      </c>
      <c r="G16" s="133">
        <f>SUM(G3:G15)</f>
        <v>1302316.6400000001</v>
      </c>
      <c r="H16" s="179"/>
      <c r="I16" s="7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544C-0201-46AC-9891-4C45AD01ACFA}">
  <dimension ref="A2:V66"/>
  <sheetViews>
    <sheetView topLeftCell="A42" workbookViewId="0">
      <selection activeCell="A70" sqref="A70"/>
    </sheetView>
  </sheetViews>
  <sheetFormatPr defaultRowHeight="14.4" x14ac:dyDescent="0.3"/>
  <cols>
    <col min="1" max="1" width="5" bestFit="1" customWidth="1"/>
    <col min="2" max="2" width="13.44140625" bestFit="1" customWidth="1"/>
    <col min="3" max="3" width="9.5546875" bestFit="1" customWidth="1"/>
    <col min="4" max="4" width="28.6640625" bestFit="1" customWidth="1"/>
    <col min="5" max="5" width="11.6640625" customWidth="1"/>
    <col min="6" max="6" width="53.33203125" bestFit="1" customWidth="1"/>
    <col min="7" max="7" width="5.33203125" bestFit="1" customWidth="1"/>
    <col min="8" max="8" width="4.33203125" bestFit="1" customWidth="1"/>
    <col min="9" max="9" width="9.6640625" bestFit="1" customWidth="1"/>
    <col min="10" max="10" width="9.5546875" bestFit="1" customWidth="1"/>
    <col min="11" max="13" width="7.5546875" bestFit="1" customWidth="1"/>
    <col min="14" max="14" width="9.33203125" bestFit="1" customWidth="1"/>
    <col min="15" max="15" width="9.109375" bestFit="1" customWidth="1"/>
    <col min="16" max="16" width="9.88671875" bestFit="1" customWidth="1"/>
    <col min="17" max="17" width="12.5546875" bestFit="1" customWidth="1"/>
    <col min="18" max="18" width="4.44140625" bestFit="1" customWidth="1"/>
    <col min="19" max="19" width="10.6640625" bestFit="1" customWidth="1"/>
    <col min="20" max="20" width="10.109375" bestFit="1" customWidth="1"/>
    <col min="21" max="21" width="13.6640625" bestFit="1" customWidth="1"/>
    <col min="22" max="22" width="9.33203125" bestFit="1" customWidth="1"/>
  </cols>
  <sheetData>
    <row r="2" spans="1:22" x14ac:dyDescent="0.3">
      <c r="A2" s="1">
        <v>45</v>
      </c>
      <c r="B2" s="1">
        <v>9200123435</v>
      </c>
      <c r="C2" s="1" t="s">
        <v>482</v>
      </c>
      <c r="D2" s="26" t="s">
        <v>154</v>
      </c>
      <c r="E2" s="1" t="s">
        <v>123</v>
      </c>
      <c r="F2" s="112" t="s">
        <v>483</v>
      </c>
      <c r="G2" s="1">
        <v>5</v>
      </c>
      <c r="H2" s="1" t="s">
        <v>28</v>
      </c>
      <c r="I2" s="1">
        <v>6370</v>
      </c>
      <c r="J2" s="1">
        <f t="shared" ref="J2:J13" si="0">G2*I2</f>
        <v>31850</v>
      </c>
      <c r="K2" s="58">
        <v>5</v>
      </c>
      <c r="L2" s="58" t="s">
        <v>28</v>
      </c>
      <c r="M2" s="58" t="s">
        <v>91</v>
      </c>
      <c r="N2" s="58" t="s">
        <v>484</v>
      </c>
      <c r="O2" s="1"/>
      <c r="P2" s="1"/>
      <c r="Q2" s="1"/>
      <c r="R2" s="1"/>
      <c r="S2" s="1"/>
      <c r="T2" s="1"/>
      <c r="U2" s="1"/>
      <c r="V2" s="1"/>
    </row>
    <row r="3" spans="1:22" x14ac:dyDescent="0.3">
      <c r="A3" s="1"/>
      <c r="B3" s="81" t="s">
        <v>326</v>
      </c>
      <c r="C3" s="81" t="s">
        <v>487</v>
      </c>
      <c r="D3" s="1"/>
      <c r="E3" s="1" t="s">
        <v>123</v>
      </c>
      <c r="F3" s="112" t="s">
        <v>488</v>
      </c>
      <c r="G3" s="1">
        <v>1</v>
      </c>
      <c r="H3" s="1" t="s">
        <v>28</v>
      </c>
      <c r="I3" s="1">
        <v>24255</v>
      </c>
      <c r="J3" s="1">
        <f t="shared" si="0"/>
        <v>24255</v>
      </c>
      <c r="K3" s="58">
        <v>1</v>
      </c>
      <c r="L3" s="58" t="s">
        <v>28</v>
      </c>
      <c r="M3" s="58" t="s">
        <v>91</v>
      </c>
      <c r="N3" s="58" t="s">
        <v>484</v>
      </c>
      <c r="O3" s="1"/>
      <c r="P3" s="1"/>
      <c r="Q3" s="1"/>
      <c r="R3" s="1"/>
      <c r="S3" s="1"/>
      <c r="T3" s="1"/>
      <c r="U3" s="1"/>
      <c r="V3" s="1"/>
    </row>
    <row r="4" spans="1:22" x14ac:dyDescent="0.3">
      <c r="A4" s="1"/>
      <c r="B4" s="1"/>
      <c r="C4" s="1"/>
      <c r="D4" s="1"/>
      <c r="E4" s="1" t="s">
        <v>123</v>
      </c>
      <c r="F4" s="112" t="s">
        <v>489</v>
      </c>
      <c r="G4" s="1">
        <v>6</v>
      </c>
      <c r="H4" s="1" t="s">
        <v>28</v>
      </c>
      <c r="I4" s="1">
        <v>7644</v>
      </c>
      <c r="J4" s="1">
        <f t="shared" si="0"/>
        <v>45864</v>
      </c>
      <c r="K4" s="58">
        <v>6</v>
      </c>
      <c r="L4" s="58" t="s">
        <v>28</v>
      </c>
      <c r="M4" s="58" t="s">
        <v>91</v>
      </c>
      <c r="N4" s="58" t="s">
        <v>490</v>
      </c>
      <c r="O4" s="1"/>
      <c r="P4" s="1"/>
      <c r="Q4" s="1"/>
      <c r="R4" s="1"/>
      <c r="S4" s="1"/>
      <c r="T4" s="1"/>
      <c r="U4" s="1"/>
      <c r="V4" s="1"/>
    </row>
    <row r="5" spans="1:22" x14ac:dyDescent="0.3">
      <c r="A5" s="1"/>
      <c r="B5" s="1"/>
      <c r="C5" s="1"/>
      <c r="D5" s="1"/>
      <c r="E5" s="1" t="s">
        <v>123</v>
      </c>
      <c r="F5" s="112" t="s">
        <v>491</v>
      </c>
      <c r="G5" s="1">
        <v>1</v>
      </c>
      <c r="H5" s="1" t="s">
        <v>28</v>
      </c>
      <c r="I5" s="1">
        <v>4488</v>
      </c>
      <c r="J5" s="1">
        <f t="shared" si="0"/>
        <v>4488</v>
      </c>
      <c r="K5" s="58">
        <v>1</v>
      </c>
      <c r="L5" s="58" t="s">
        <v>28</v>
      </c>
      <c r="M5" s="58" t="s">
        <v>91</v>
      </c>
      <c r="N5" s="58" t="s">
        <v>484</v>
      </c>
      <c r="O5" s="1"/>
      <c r="P5" s="1"/>
      <c r="Q5" s="1"/>
      <c r="R5" s="1"/>
      <c r="S5" s="1"/>
      <c r="T5" s="1"/>
      <c r="U5" s="1"/>
      <c r="V5" s="1"/>
    </row>
    <row r="6" spans="1:22" x14ac:dyDescent="0.3">
      <c r="A6" s="1"/>
      <c r="B6" s="1"/>
      <c r="C6" s="1"/>
      <c r="D6" s="1"/>
      <c r="E6" s="1" t="s">
        <v>123</v>
      </c>
      <c r="F6" s="112" t="s">
        <v>492</v>
      </c>
      <c r="G6" s="1">
        <v>3</v>
      </c>
      <c r="H6" s="1" t="s">
        <v>28</v>
      </c>
      <c r="I6" s="1">
        <v>5733</v>
      </c>
      <c r="J6" s="1">
        <f t="shared" si="0"/>
        <v>17199</v>
      </c>
      <c r="K6" s="58">
        <v>3</v>
      </c>
      <c r="L6" s="58" t="s">
        <v>28</v>
      </c>
      <c r="M6" s="58" t="s">
        <v>91</v>
      </c>
      <c r="N6" s="58" t="s">
        <v>490</v>
      </c>
      <c r="O6" s="1"/>
      <c r="P6" s="1"/>
      <c r="Q6" s="1"/>
      <c r="R6" s="1"/>
      <c r="S6" s="1"/>
      <c r="T6" s="1"/>
      <c r="U6" s="1"/>
      <c r="V6" s="1"/>
    </row>
    <row r="7" spans="1:22" x14ac:dyDescent="0.3">
      <c r="A7" s="1"/>
      <c r="B7" s="1"/>
      <c r="C7" s="1"/>
      <c r="D7" s="1" t="s">
        <v>493</v>
      </c>
      <c r="E7" s="1" t="s">
        <v>123</v>
      </c>
      <c r="F7" s="113" t="s">
        <v>494</v>
      </c>
      <c r="G7" s="81">
        <v>60</v>
      </c>
      <c r="H7" s="81" t="s">
        <v>308</v>
      </c>
      <c r="I7" s="81">
        <v>470</v>
      </c>
      <c r="J7" s="1">
        <f t="shared" si="0"/>
        <v>28200</v>
      </c>
      <c r="K7" s="58">
        <v>60</v>
      </c>
      <c r="L7" s="58" t="s">
        <v>308</v>
      </c>
      <c r="M7" s="58" t="s">
        <v>91</v>
      </c>
      <c r="N7" s="58" t="s">
        <v>490</v>
      </c>
      <c r="O7" s="1"/>
      <c r="P7" s="1"/>
      <c r="Q7" s="1"/>
      <c r="R7" s="1"/>
      <c r="S7" s="1"/>
      <c r="T7" s="1"/>
      <c r="U7" s="1"/>
      <c r="V7" s="1"/>
    </row>
    <row r="8" spans="1:22" x14ac:dyDescent="0.3">
      <c r="A8" s="1"/>
      <c r="B8" s="1"/>
      <c r="C8" s="1"/>
      <c r="D8" s="1" t="s">
        <v>495</v>
      </c>
      <c r="E8" s="1" t="s">
        <v>123</v>
      </c>
      <c r="F8" s="113" t="s">
        <v>496</v>
      </c>
      <c r="G8" s="81">
        <v>60</v>
      </c>
      <c r="H8" s="81" t="s">
        <v>308</v>
      </c>
      <c r="I8" s="81">
        <v>647</v>
      </c>
      <c r="J8" s="1">
        <f t="shared" si="0"/>
        <v>38820</v>
      </c>
      <c r="K8" s="58">
        <v>60</v>
      </c>
      <c r="L8" s="58" t="s">
        <v>308</v>
      </c>
      <c r="M8" s="58" t="s">
        <v>91</v>
      </c>
      <c r="N8" s="58" t="s">
        <v>490</v>
      </c>
      <c r="O8" s="1"/>
      <c r="P8" s="1"/>
      <c r="Q8" s="1"/>
      <c r="R8" s="1"/>
      <c r="S8" s="1"/>
      <c r="T8" s="1"/>
      <c r="U8" s="1"/>
      <c r="V8" s="1"/>
    </row>
    <row r="9" spans="1:22" x14ac:dyDescent="0.3">
      <c r="A9" s="1"/>
      <c r="B9" s="1"/>
      <c r="C9" s="1"/>
      <c r="D9" s="1"/>
      <c r="E9" s="1" t="s">
        <v>123</v>
      </c>
      <c r="F9" s="112" t="s">
        <v>497</v>
      </c>
      <c r="G9" s="1">
        <v>8</v>
      </c>
      <c r="H9" s="1" t="s">
        <v>28</v>
      </c>
      <c r="I9" s="1">
        <v>294</v>
      </c>
      <c r="J9" s="1">
        <f t="shared" si="0"/>
        <v>2352</v>
      </c>
      <c r="K9" s="58">
        <v>8</v>
      </c>
      <c r="L9" s="58" t="s">
        <v>28</v>
      </c>
      <c r="M9" s="58" t="s">
        <v>91</v>
      </c>
      <c r="N9" s="58" t="s">
        <v>490</v>
      </c>
      <c r="O9" s="1"/>
      <c r="P9" s="1"/>
      <c r="Q9" s="1"/>
      <c r="R9" s="1"/>
      <c r="S9" s="1"/>
      <c r="T9" s="1"/>
      <c r="U9" s="1"/>
      <c r="V9" s="1"/>
    </row>
    <row r="10" spans="1:22" x14ac:dyDescent="0.3">
      <c r="A10" s="1"/>
      <c r="B10" s="1"/>
      <c r="C10" s="1"/>
      <c r="D10" s="1"/>
      <c r="E10" s="1" t="s">
        <v>123</v>
      </c>
      <c r="F10" s="112" t="s">
        <v>498</v>
      </c>
      <c r="G10" s="1">
        <v>3</v>
      </c>
      <c r="H10" s="1" t="s">
        <v>28</v>
      </c>
      <c r="I10" s="1">
        <v>490</v>
      </c>
      <c r="J10" s="1">
        <f t="shared" si="0"/>
        <v>1470</v>
      </c>
      <c r="K10" s="58">
        <v>3</v>
      </c>
      <c r="L10" s="58" t="s">
        <v>28</v>
      </c>
      <c r="M10" s="58" t="s">
        <v>91</v>
      </c>
      <c r="N10" s="58" t="s">
        <v>490</v>
      </c>
      <c r="O10" s="1"/>
      <c r="P10" s="1"/>
      <c r="Q10" s="1"/>
      <c r="R10" s="1"/>
      <c r="S10" s="1"/>
      <c r="T10" s="1"/>
      <c r="U10" s="1"/>
      <c r="V10" s="1"/>
    </row>
    <row r="11" spans="1:22" x14ac:dyDescent="0.3">
      <c r="A11" s="1"/>
      <c r="B11" s="1"/>
      <c r="C11" s="1"/>
      <c r="D11" s="1"/>
      <c r="E11" s="1" t="s">
        <v>123</v>
      </c>
      <c r="F11" s="112" t="s">
        <v>499</v>
      </c>
      <c r="G11" s="1">
        <v>120</v>
      </c>
      <c r="H11" s="1" t="s">
        <v>308</v>
      </c>
      <c r="I11" s="1">
        <v>245</v>
      </c>
      <c r="J11" s="1">
        <f t="shared" si="0"/>
        <v>29400</v>
      </c>
      <c r="K11" s="1"/>
      <c r="L11" s="1"/>
      <c r="M11" s="1"/>
      <c r="N11" s="1"/>
      <c r="O11" s="1"/>
      <c r="P11" s="1"/>
      <c r="Q11" s="1"/>
      <c r="R11" s="1"/>
      <c r="S11" s="1"/>
      <c r="T11" s="1"/>
      <c r="U11" s="1"/>
      <c r="V11" s="1"/>
    </row>
    <row r="12" spans="1:22" x14ac:dyDescent="0.3">
      <c r="A12" s="1"/>
      <c r="B12" s="1"/>
      <c r="C12" s="1"/>
      <c r="D12" s="1"/>
      <c r="E12" s="3"/>
      <c r="F12" s="112" t="s">
        <v>500</v>
      </c>
      <c r="G12" s="1">
        <v>1</v>
      </c>
      <c r="H12" s="1" t="s">
        <v>225</v>
      </c>
      <c r="I12" s="1">
        <v>47040</v>
      </c>
      <c r="J12" s="1">
        <f t="shared" si="0"/>
        <v>47040</v>
      </c>
      <c r="K12" s="1"/>
      <c r="L12" s="1"/>
      <c r="M12" s="1"/>
      <c r="N12" s="1"/>
      <c r="O12" s="1"/>
      <c r="P12" s="1"/>
      <c r="Q12" s="1"/>
      <c r="R12" s="1"/>
      <c r="S12" s="1"/>
      <c r="T12" s="1"/>
      <c r="U12" s="1"/>
      <c r="V12" s="1"/>
    </row>
    <row r="13" spans="1:22" x14ac:dyDescent="0.3">
      <c r="A13" s="1"/>
      <c r="B13" s="1"/>
      <c r="C13" s="1"/>
      <c r="D13" s="1"/>
      <c r="E13" s="1" t="s">
        <v>123</v>
      </c>
      <c r="F13" s="112" t="s">
        <v>501</v>
      </c>
      <c r="G13" s="1">
        <v>10</v>
      </c>
      <c r="H13" s="1" t="s">
        <v>141</v>
      </c>
      <c r="I13" s="1">
        <v>235</v>
      </c>
      <c r="J13" s="1">
        <f t="shared" si="0"/>
        <v>2350</v>
      </c>
      <c r="K13" s="58">
        <v>10</v>
      </c>
      <c r="L13" s="58" t="s">
        <v>141</v>
      </c>
      <c r="M13" s="58" t="s">
        <v>91</v>
      </c>
      <c r="N13" s="58" t="s">
        <v>484</v>
      </c>
      <c r="O13" s="1"/>
      <c r="P13" s="1"/>
      <c r="Q13" s="1"/>
      <c r="R13" s="1"/>
      <c r="S13" s="1"/>
      <c r="T13" s="1"/>
      <c r="U13" s="1"/>
      <c r="V13" s="1"/>
    </row>
    <row r="14" spans="1:22" x14ac:dyDescent="0.3">
      <c r="A14" s="219" t="s">
        <v>39</v>
      </c>
      <c r="B14" s="219"/>
      <c r="C14" s="219"/>
      <c r="D14" s="219"/>
      <c r="E14" s="219"/>
      <c r="F14" s="219"/>
      <c r="G14" s="219"/>
      <c r="H14" s="219"/>
      <c r="I14" s="219"/>
      <c r="J14" s="124">
        <f>SUM(J2:J13)</f>
        <v>273288</v>
      </c>
      <c r="K14" s="1"/>
      <c r="L14" s="1"/>
      <c r="M14" s="1"/>
      <c r="N14" s="1"/>
      <c r="O14" s="1"/>
      <c r="P14" s="1"/>
      <c r="Q14" s="1"/>
      <c r="R14" s="1"/>
      <c r="S14" s="1"/>
      <c r="T14" s="1"/>
      <c r="U14" s="1"/>
      <c r="V14" s="1"/>
    </row>
    <row r="15" spans="1:22" x14ac:dyDescent="0.3">
      <c r="A15" s="219" t="s">
        <v>187</v>
      </c>
      <c r="B15" s="219"/>
      <c r="C15" s="219"/>
      <c r="D15" s="219"/>
      <c r="E15" s="219"/>
      <c r="F15" s="219"/>
      <c r="G15" s="219"/>
      <c r="H15" s="219"/>
      <c r="I15" s="219"/>
      <c r="J15" s="124">
        <f>J14*18/100</f>
        <v>49191.839999999997</v>
      </c>
      <c r="K15" s="1"/>
      <c r="L15" s="1"/>
      <c r="M15" s="1"/>
      <c r="N15" s="1"/>
      <c r="O15" s="1"/>
      <c r="P15" s="1"/>
      <c r="Q15" s="1"/>
      <c r="R15" s="1"/>
      <c r="S15" s="1"/>
      <c r="T15" s="1"/>
      <c r="U15" s="1"/>
      <c r="V15" s="1"/>
    </row>
    <row r="16" spans="1:22" x14ac:dyDescent="0.3">
      <c r="A16" s="219" t="s">
        <v>41</v>
      </c>
      <c r="B16" s="219"/>
      <c r="C16" s="219"/>
      <c r="D16" s="219"/>
      <c r="E16" s="219"/>
      <c r="F16" s="219"/>
      <c r="G16" s="219"/>
      <c r="H16" s="219"/>
      <c r="I16" s="219"/>
      <c r="J16" s="124">
        <f>SUM(J14:J15)</f>
        <v>322479.83999999997</v>
      </c>
      <c r="K16" s="1"/>
      <c r="L16" s="1"/>
      <c r="M16" s="1"/>
      <c r="N16" s="1"/>
      <c r="O16" s="1"/>
      <c r="P16" s="1"/>
      <c r="Q16" s="1"/>
      <c r="R16" s="1"/>
      <c r="S16" s="1"/>
      <c r="T16" s="1"/>
      <c r="U16" s="1"/>
      <c r="V16" s="1"/>
    </row>
    <row r="19" spans="1:22" ht="25.2" x14ac:dyDescent="0.3">
      <c r="A19" s="1">
        <v>52</v>
      </c>
      <c r="B19" s="1">
        <v>8100015391</v>
      </c>
      <c r="C19" s="37">
        <v>45484</v>
      </c>
      <c r="D19" s="26" t="s">
        <v>154</v>
      </c>
      <c r="E19" s="1" t="s">
        <v>127</v>
      </c>
      <c r="F19" s="22" t="s">
        <v>564</v>
      </c>
      <c r="G19" s="1">
        <v>1</v>
      </c>
      <c r="H19" s="1" t="s">
        <v>28</v>
      </c>
      <c r="I19" s="1">
        <v>10200</v>
      </c>
      <c r="J19" s="1">
        <f t="shared" ref="J19:J21" si="1">G19*I19</f>
        <v>10200</v>
      </c>
      <c r="K19" s="1"/>
      <c r="L19" s="1"/>
      <c r="M19" s="1"/>
      <c r="N19" s="1"/>
      <c r="O19" s="1"/>
      <c r="P19" s="1"/>
      <c r="Q19" s="1"/>
      <c r="R19" s="1"/>
      <c r="S19" s="1"/>
      <c r="T19" s="1"/>
      <c r="U19" s="1"/>
      <c r="V19" s="1"/>
    </row>
    <row r="20" spans="1:22" x14ac:dyDescent="0.3">
      <c r="A20" s="1"/>
      <c r="B20" s="1"/>
      <c r="C20" s="1"/>
      <c r="D20" s="1"/>
      <c r="E20" s="1" t="s">
        <v>123</v>
      </c>
      <c r="F20" s="1" t="s">
        <v>565</v>
      </c>
      <c r="G20" s="1">
        <v>1</v>
      </c>
      <c r="H20" s="1" t="s">
        <v>87</v>
      </c>
      <c r="I20" s="1">
        <v>3000</v>
      </c>
      <c r="J20" s="1">
        <f t="shared" si="1"/>
        <v>3000</v>
      </c>
      <c r="K20" s="1"/>
      <c r="L20" s="1"/>
      <c r="M20" s="1"/>
      <c r="N20" s="1"/>
      <c r="O20" s="1"/>
      <c r="P20" s="1"/>
      <c r="Q20" s="1"/>
      <c r="R20" s="1"/>
      <c r="S20" s="1"/>
      <c r="T20" s="1"/>
      <c r="U20" s="1"/>
      <c r="V20" s="1"/>
    </row>
    <row r="21" spans="1:22" ht="25.2" x14ac:dyDescent="0.3">
      <c r="A21" s="1"/>
      <c r="B21" s="1"/>
      <c r="C21" s="1"/>
      <c r="D21" s="1"/>
      <c r="E21" s="1" t="s">
        <v>123</v>
      </c>
      <c r="F21" s="22" t="s">
        <v>566</v>
      </c>
      <c r="G21" s="1">
        <v>1</v>
      </c>
      <c r="H21" s="1" t="s">
        <v>87</v>
      </c>
      <c r="I21" s="1">
        <v>12000</v>
      </c>
      <c r="J21" s="1">
        <f t="shared" si="1"/>
        <v>12000</v>
      </c>
      <c r="K21" s="1"/>
      <c r="L21" s="1"/>
      <c r="M21" s="1"/>
      <c r="N21" s="1"/>
      <c r="O21" s="1"/>
      <c r="P21" s="1"/>
      <c r="Q21" s="1"/>
      <c r="R21" s="1"/>
      <c r="S21" s="1"/>
      <c r="T21" s="1"/>
      <c r="U21" s="1"/>
      <c r="V21" s="1"/>
    </row>
    <row r="22" spans="1:22" x14ac:dyDescent="0.3">
      <c r="A22" s="219" t="s">
        <v>39</v>
      </c>
      <c r="B22" s="219"/>
      <c r="C22" s="219"/>
      <c r="D22" s="219"/>
      <c r="E22" s="219"/>
      <c r="F22" s="219"/>
      <c r="G22" s="219"/>
      <c r="H22" s="219"/>
      <c r="I22" s="219"/>
      <c r="J22" s="124">
        <f>SUM(J19:J21)</f>
        <v>25200</v>
      </c>
      <c r="K22" s="1"/>
      <c r="L22" s="1"/>
      <c r="M22" s="1"/>
      <c r="N22" s="1"/>
      <c r="O22" s="1"/>
      <c r="P22" s="1"/>
      <c r="Q22" s="1"/>
      <c r="R22" s="1"/>
      <c r="S22" s="1"/>
      <c r="T22" s="1"/>
      <c r="U22" s="1"/>
      <c r="V22" s="1"/>
    </row>
    <row r="23" spans="1:22" x14ac:dyDescent="0.3">
      <c r="A23" s="219" t="s">
        <v>187</v>
      </c>
      <c r="B23" s="219"/>
      <c r="C23" s="219"/>
      <c r="D23" s="219"/>
      <c r="E23" s="219"/>
      <c r="F23" s="219"/>
      <c r="G23" s="219"/>
      <c r="H23" s="219"/>
      <c r="I23" s="219"/>
      <c r="J23" s="124">
        <f>J22*18/100</f>
        <v>4536</v>
      </c>
      <c r="K23" s="1"/>
      <c r="L23" s="1"/>
      <c r="M23" s="1"/>
      <c r="N23" s="1"/>
      <c r="O23" s="1"/>
      <c r="P23" s="1"/>
      <c r="Q23" s="1"/>
      <c r="R23" s="1"/>
      <c r="S23" s="1"/>
      <c r="T23" s="1"/>
      <c r="U23" s="1"/>
      <c r="V23" s="1"/>
    </row>
    <row r="24" spans="1:22" x14ac:dyDescent="0.3">
      <c r="A24" s="219" t="s">
        <v>41</v>
      </c>
      <c r="B24" s="219"/>
      <c r="C24" s="219"/>
      <c r="D24" s="219"/>
      <c r="E24" s="219"/>
      <c r="F24" s="219"/>
      <c r="G24" s="219"/>
      <c r="H24" s="219"/>
      <c r="I24" s="219"/>
      <c r="J24" s="124">
        <f>SUM(J22:J23)</f>
        <v>29736</v>
      </c>
      <c r="K24" s="1"/>
      <c r="L24" s="1"/>
      <c r="M24" s="1"/>
      <c r="N24" s="1"/>
      <c r="O24" s="1"/>
      <c r="P24" s="1"/>
      <c r="Q24" s="1"/>
      <c r="R24" s="1"/>
      <c r="S24" s="1"/>
      <c r="T24" s="1"/>
      <c r="U24" s="1"/>
      <c r="V24" s="1"/>
    </row>
    <row r="27" spans="1:22" ht="25.2" x14ac:dyDescent="0.3">
      <c r="A27" s="1">
        <v>63</v>
      </c>
      <c r="B27" s="1">
        <v>9200127430</v>
      </c>
      <c r="C27" s="37">
        <v>45608</v>
      </c>
      <c r="D27" s="1" t="s">
        <v>300</v>
      </c>
      <c r="E27" s="1" t="s">
        <v>123</v>
      </c>
      <c r="F27" s="22" t="s">
        <v>663</v>
      </c>
      <c r="G27" s="1">
        <v>10</v>
      </c>
      <c r="H27" s="1" t="s">
        <v>28</v>
      </c>
      <c r="I27" s="1">
        <v>15562</v>
      </c>
      <c r="J27" s="1">
        <f>G27*I27</f>
        <v>155620</v>
      </c>
      <c r="K27" s="109">
        <v>10</v>
      </c>
      <c r="L27" s="109" t="s">
        <v>28</v>
      </c>
      <c r="M27" s="109" t="s">
        <v>91</v>
      </c>
      <c r="N27" s="109" t="s">
        <v>664</v>
      </c>
      <c r="O27" s="1"/>
      <c r="P27" s="1"/>
      <c r="Q27" s="1"/>
      <c r="R27" s="1"/>
      <c r="S27" s="1"/>
      <c r="T27" s="1"/>
      <c r="U27" s="1"/>
      <c r="V27" s="1"/>
    </row>
    <row r="28" spans="1:22" x14ac:dyDescent="0.3">
      <c r="A28" s="88"/>
      <c r="B28" s="88" t="s">
        <v>39</v>
      </c>
      <c r="C28" s="88"/>
      <c r="D28" s="88"/>
      <c r="E28" s="88"/>
      <c r="F28" s="88"/>
      <c r="G28" s="88"/>
      <c r="H28" s="88"/>
      <c r="I28" s="1"/>
      <c r="J28" s="124">
        <f>SUM(J27)</f>
        <v>155620</v>
      </c>
      <c r="K28" s="1"/>
      <c r="L28" s="1"/>
      <c r="M28" s="1"/>
      <c r="N28" s="1"/>
      <c r="O28" s="1"/>
      <c r="P28" s="1"/>
      <c r="Q28" s="1"/>
      <c r="R28" s="1"/>
      <c r="S28" s="1"/>
      <c r="T28" s="1"/>
      <c r="U28" s="1"/>
      <c r="V28" s="1"/>
    </row>
    <row r="29" spans="1:22" x14ac:dyDescent="0.3">
      <c r="A29" s="88"/>
      <c r="B29" s="88" t="s">
        <v>187</v>
      </c>
      <c r="C29" s="88"/>
      <c r="D29" s="88"/>
      <c r="E29" s="88"/>
      <c r="F29" s="88"/>
      <c r="G29" s="88"/>
      <c r="H29" s="88"/>
      <c r="I29" s="1"/>
      <c r="J29" s="124">
        <f>J28*18/100</f>
        <v>28011.599999999999</v>
      </c>
      <c r="K29" s="1"/>
      <c r="L29" s="1"/>
      <c r="M29" s="1"/>
      <c r="N29" s="1"/>
      <c r="O29" s="1"/>
      <c r="P29" s="1"/>
      <c r="Q29" s="1"/>
      <c r="R29" s="1"/>
      <c r="S29" s="1"/>
      <c r="T29" s="1"/>
      <c r="U29" s="1"/>
      <c r="V29" s="1"/>
    </row>
    <row r="30" spans="1:22" x14ac:dyDescent="0.3">
      <c r="A30" s="88"/>
      <c r="B30" s="88" t="s">
        <v>41</v>
      </c>
      <c r="C30" s="88"/>
      <c r="D30" s="88"/>
      <c r="E30" s="88"/>
      <c r="F30" s="88"/>
      <c r="G30" s="88"/>
      <c r="H30" s="88"/>
      <c r="I30" s="1"/>
      <c r="J30" s="124">
        <f>SUM(J28:J29)</f>
        <v>183631.6</v>
      </c>
      <c r="K30" s="1"/>
      <c r="L30" s="1"/>
      <c r="M30" s="1"/>
      <c r="N30" s="1"/>
      <c r="O30" s="1"/>
      <c r="P30" s="1"/>
      <c r="Q30" s="1"/>
      <c r="R30" s="1"/>
      <c r="S30" s="1"/>
      <c r="T30" s="1"/>
      <c r="U30" s="1"/>
      <c r="V30" s="1"/>
    </row>
    <row r="33" spans="1:22" ht="88.2" x14ac:dyDescent="0.3">
      <c r="A33" s="1">
        <v>64</v>
      </c>
      <c r="B33" s="1">
        <v>9200127858</v>
      </c>
      <c r="C33" s="1" t="s">
        <v>667</v>
      </c>
      <c r="D33" s="26" t="s">
        <v>154</v>
      </c>
      <c r="E33" s="1" t="s">
        <v>123</v>
      </c>
      <c r="F33" s="22" t="s">
        <v>668</v>
      </c>
      <c r="G33" s="1">
        <v>1650</v>
      </c>
      <c r="H33" s="1" t="s">
        <v>302</v>
      </c>
      <c r="I33" s="1">
        <v>395</v>
      </c>
      <c r="J33" s="1">
        <f>G33*I33</f>
        <v>651750</v>
      </c>
      <c r="K33" s="1"/>
      <c r="L33" s="1"/>
      <c r="M33" s="1"/>
      <c r="N33" s="1"/>
      <c r="O33" s="1"/>
      <c r="P33" s="1"/>
      <c r="Q33" s="1"/>
      <c r="R33" s="86">
        <v>0.18</v>
      </c>
      <c r="S33" s="1"/>
      <c r="T33" s="1"/>
      <c r="U33" s="1"/>
      <c r="V33" s="1"/>
    </row>
    <row r="34" spans="1:22" ht="37.799999999999997" x14ac:dyDescent="0.3">
      <c r="A34" s="1"/>
      <c r="B34" s="1"/>
      <c r="C34" s="1"/>
      <c r="D34" s="1"/>
      <c r="E34" s="1" t="s">
        <v>123</v>
      </c>
      <c r="F34" s="22" t="s">
        <v>669</v>
      </c>
      <c r="G34" s="1">
        <v>200</v>
      </c>
      <c r="H34" s="1" t="s">
        <v>302</v>
      </c>
      <c r="I34" s="1">
        <v>130</v>
      </c>
      <c r="J34" s="1">
        <f t="shared" ref="J34:J62" si="2">G34*I34</f>
        <v>26000</v>
      </c>
      <c r="K34" s="1"/>
      <c r="L34" s="1"/>
      <c r="M34" s="1"/>
      <c r="N34" s="1"/>
      <c r="O34" s="1"/>
      <c r="P34" s="1"/>
      <c r="Q34" s="1"/>
      <c r="R34" s="86">
        <v>0.18</v>
      </c>
      <c r="S34" s="1"/>
      <c r="T34" s="1"/>
      <c r="U34" s="1"/>
      <c r="V34" s="1"/>
    </row>
    <row r="35" spans="1:22" ht="88.2" x14ac:dyDescent="0.3">
      <c r="A35" s="1"/>
      <c r="B35" s="1"/>
      <c r="C35" s="1"/>
      <c r="D35" s="1"/>
      <c r="E35" s="1" t="s">
        <v>123</v>
      </c>
      <c r="F35" s="22" t="s">
        <v>670</v>
      </c>
      <c r="G35" s="1">
        <v>4</v>
      </c>
      <c r="H35" s="1" t="s">
        <v>28</v>
      </c>
      <c r="I35" s="1">
        <v>26000</v>
      </c>
      <c r="J35" s="1">
        <f t="shared" si="2"/>
        <v>104000</v>
      </c>
      <c r="K35" s="1"/>
      <c r="L35" s="1"/>
      <c r="M35" s="1"/>
      <c r="N35" s="1"/>
      <c r="O35" s="1"/>
      <c r="P35" s="1"/>
      <c r="Q35" s="1"/>
      <c r="R35" s="86">
        <v>0.18</v>
      </c>
      <c r="S35" s="1"/>
      <c r="T35" s="1"/>
      <c r="U35" s="1"/>
      <c r="V35" s="1"/>
    </row>
    <row r="36" spans="1:22" ht="37.799999999999997" x14ac:dyDescent="0.3">
      <c r="A36" s="1"/>
      <c r="B36" s="1"/>
      <c r="C36" s="1"/>
      <c r="D36" s="1"/>
      <c r="E36" s="1" t="s">
        <v>123</v>
      </c>
      <c r="F36" s="22" t="s">
        <v>671</v>
      </c>
      <c r="G36" s="1">
        <v>300</v>
      </c>
      <c r="H36" s="1" t="s">
        <v>302</v>
      </c>
      <c r="I36" s="1">
        <v>26</v>
      </c>
      <c r="J36" s="1">
        <f t="shared" si="2"/>
        <v>7800</v>
      </c>
      <c r="K36" s="1"/>
      <c r="L36" s="1"/>
      <c r="M36" s="1"/>
      <c r="N36" s="1"/>
      <c r="O36" s="1"/>
      <c r="P36" s="1"/>
      <c r="Q36" s="1"/>
      <c r="R36" s="86">
        <v>0.18</v>
      </c>
      <c r="S36" s="1"/>
      <c r="T36" s="1"/>
      <c r="U36" s="1"/>
      <c r="V36" s="1"/>
    </row>
    <row r="37" spans="1:22" ht="25.2" x14ac:dyDescent="0.3">
      <c r="A37" s="1"/>
      <c r="B37" s="1"/>
      <c r="C37" s="1"/>
      <c r="D37" s="1"/>
      <c r="E37" s="1" t="s">
        <v>123</v>
      </c>
      <c r="F37" s="22" t="s">
        <v>672</v>
      </c>
      <c r="G37" s="1">
        <v>3000</v>
      </c>
      <c r="H37" s="1" t="s">
        <v>302</v>
      </c>
      <c r="I37" s="1">
        <v>7</v>
      </c>
      <c r="J37" s="1">
        <f t="shared" si="2"/>
        <v>21000</v>
      </c>
      <c r="K37" s="1"/>
      <c r="L37" s="1"/>
      <c r="M37" s="1"/>
      <c r="N37" s="1"/>
      <c r="O37" s="1"/>
      <c r="P37" s="1"/>
      <c r="Q37" s="1"/>
      <c r="R37" s="86">
        <v>0.18</v>
      </c>
      <c r="S37" s="1"/>
      <c r="T37" s="1"/>
      <c r="U37" s="1"/>
      <c r="V37" s="1"/>
    </row>
    <row r="38" spans="1:22" ht="201.6" x14ac:dyDescent="0.3">
      <c r="A38" s="1"/>
      <c r="B38" s="1"/>
      <c r="C38" s="1"/>
      <c r="D38" s="1"/>
      <c r="E38" s="1" t="s">
        <v>123</v>
      </c>
      <c r="F38" s="22" t="s">
        <v>673</v>
      </c>
      <c r="G38" s="1">
        <v>220</v>
      </c>
      <c r="H38" s="1" t="s">
        <v>302</v>
      </c>
      <c r="I38" s="1">
        <v>392</v>
      </c>
      <c r="J38" s="1">
        <f t="shared" si="2"/>
        <v>86240</v>
      </c>
      <c r="K38" s="1"/>
      <c r="L38" s="1"/>
      <c r="M38" s="1"/>
      <c r="N38" s="1"/>
      <c r="O38" s="1"/>
      <c r="P38" s="1"/>
      <c r="Q38" s="1"/>
      <c r="R38" s="86">
        <v>0.18</v>
      </c>
      <c r="S38" s="1"/>
      <c r="T38" s="1"/>
      <c r="U38" s="1"/>
      <c r="V38" s="1"/>
    </row>
    <row r="39" spans="1:22" ht="63" x14ac:dyDescent="0.3">
      <c r="A39" s="1"/>
      <c r="B39" s="1"/>
      <c r="C39" s="1"/>
      <c r="D39" s="1"/>
      <c r="E39" s="1" t="s">
        <v>123</v>
      </c>
      <c r="F39" s="22" t="s">
        <v>674</v>
      </c>
      <c r="G39" s="1">
        <v>1</v>
      </c>
      <c r="H39" s="1" t="s">
        <v>87</v>
      </c>
      <c r="I39" s="1">
        <v>33800</v>
      </c>
      <c r="J39" s="1">
        <f t="shared" si="2"/>
        <v>33800</v>
      </c>
      <c r="K39" s="1"/>
      <c r="L39" s="1"/>
      <c r="M39" s="1"/>
      <c r="N39" s="1"/>
      <c r="O39" s="1"/>
      <c r="P39" s="1"/>
      <c r="Q39" s="1"/>
      <c r="R39" s="86">
        <v>0.18</v>
      </c>
      <c r="S39" s="1"/>
      <c r="T39" s="1"/>
      <c r="U39" s="1"/>
      <c r="V39" s="1"/>
    </row>
    <row r="40" spans="1:22" x14ac:dyDescent="0.3">
      <c r="A40" s="1"/>
      <c r="B40" s="1"/>
      <c r="C40" s="1"/>
      <c r="D40" s="1"/>
      <c r="E40" s="1" t="s">
        <v>123</v>
      </c>
      <c r="F40" s="1" t="s">
        <v>675</v>
      </c>
      <c r="G40" s="1">
        <v>335</v>
      </c>
      <c r="H40" s="1" t="s">
        <v>302</v>
      </c>
      <c r="I40" s="1">
        <v>195</v>
      </c>
      <c r="J40" s="1">
        <f t="shared" si="2"/>
        <v>65325</v>
      </c>
      <c r="K40" s="1"/>
      <c r="L40" s="1"/>
      <c r="M40" s="1"/>
      <c r="N40" s="1"/>
      <c r="O40" s="1"/>
      <c r="P40" s="1"/>
      <c r="Q40" s="1"/>
      <c r="R40" s="86">
        <v>0.18</v>
      </c>
      <c r="S40" s="1"/>
      <c r="T40" s="1"/>
      <c r="U40" s="1"/>
      <c r="V40" s="1"/>
    </row>
    <row r="41" spans="1:22" ht="25.2" x14ac:dyDescent="0.3">
      <c r="A41" s="1"/>
      <c r="B41" s="1"/>
      <c r="C41" s="1"/>
      <c r="D41" s="1"/>
      <c r="E41" s="1" t="s">
        <v>123</v>
      </c>
      <c r="F41" s="22" t="s">
        <v>676</v>
      </c>
      <c r="G41" s="1">
        <v>70</v>
      </c>
      <c r="H41" s="1" t="s">
        <v>252</v>
      </c>
      <c r="I41" s="1">
        <v>130</v>
      </c>
      <c r="J41" s="1">
        <f t="shared" si="2"/>
        <v>9100</v>
      </c>
      <c r="K41" s="1"/>
      <c r="L41" s="1"/>
      <c r="M41" s="1"/>
      <c r="N41" s="1"/>
      <c r="O41" s="1"/>
      <c r="P41" s="1"/>
      <c r="Q41" s="1"/>
      <c r="R41" s="86">
        <v>0.18</v>
      </c>
      <c r="S41" s="1"/>
      <c r="T41" s="1"/>
      <c r="U41" s="1"/>
      <c r="V41" s="1"/>
    </row>
    <row r="42" spans="1:22" x14ac:dyDescent="0.3">
      <c r="A42" s="1"/>
      <c r="B42" s="1"/>
      <c r="C42" s="1"/>
      <c r="D42" s="1"/>
      <c r="E42" s="1" t="s">
        <v>123</v>
      </c>
      <c r="F42" s="1" t="s">
        <v>677</v>
      </c>
      <c r="G42" s="1">
        <v>1</v>
      </c>
      <c r="H42" s="1" t="s">
        <v>181</v>
      </c>
      <c r="I42" s="1">
        <v>3900</v>
      </c>
      <c r="J42" s="1">
        <f t="shared" si="2"/>
        <v>3900</v>
      </c>
      <c r="K42" s="1"/>
      <c r="L42" s="1"/>
      <c r="M42" s="1"/>
      <c r="N42" s="1"/>
      <c r="O42" s="1"/>
      <c r="P42" s="1"/>
      <c r="Q42" s="1"/>
      <c r="R42" s="86">
        <v>0.18</v>
      </c>
      <c r="S42" s="1"/>
      <c r="T42" s="1"/>
      <c r="U42" s="1"/>
      <c r="V42" s="1"/>
    </row>
    <row r="43" spans="1:22" ht="50.4" x14ac:dyDescent="0.3">
      <c r="A43" s="1"/>
      <c r="B43" s="1"/>
      <c r="C43" s="1"/>
      <c r="D43" s="1"/>
      <c r="E43" s="1" t="s">
        <v>123</v>
      </c>
      <c r="F43" s="22" t="s">
        <v>678</v>
      </c>
      <c r="G43" s="1">
        <v>1</v>
      </c>
      <c r="H43" s="1" t="s">
        <v>181</v>
      </c>
      <c r="I43" s="1">
        <v>1800</v>
      </c>
      <c r="J43" s="1">
        <f t="shared" si="2"/>
        <v>1800</v>
      </c>
      <c r="K43" s="1"/>
      <c r="L43" s="1"/>
      <c r="M43" s="1"/>
      <c r="N43" s="1"/>
      <c r="O43" s="1"/>
      <c r="P43" s="1"/>
      <c r="Q43" s="1"/>
      <c r="R43" s="86">
        <v>0.18</v>
      </c>
      <c r="S43" s="1"/>
      <c r="T43" s="1"/>
      <c r="U43" s="1"/>
      <c r="V43" s="1"/>
    </row>
    <row r="44" spans="1:22" ht="50.4" x14ac:dyDescent="0.3">
      <c r="A44" s="1"/>
      <c r="B44" s="1"/>
      <c r="C44" s="1"/>
      <c r="D44" s="1"/>
      <c r="E44" s="1" t="s">
        <v>123</v>
      </c>
      <c r="F44" s="22" t="s">
        <v>679</v>
      </c>
      <c r="G44" s="1">
        <v>1</v>
      </c>
      <c r="H44" s="1" t="s">
        <v>181</v>
      </c>
      <c r="I44" s="1">
        <v>2500</v>
      </c>
      <c r="J44" s="1">
        <f t="shared" si="2"/>
        <v>2500</v>
      </c>
      <c r="K44" s="1"/>
      <c r="L44" s="1"/>
      <c r="M44" s="1"/>
      <c r="N44" s="1"/>
      <c r="O44" s="1"/>
      <c r="P44" s="1"/>
      <c r="Q44" s="1"/>
      <c r="R44" s="86">
        <v>0.18</v>
      </c>
      <c r="S44" s="1"/>
      <c r="T44" s="1"/>
      <c r="U44" s="1"/>
      <c r="V44" s="1"/>
    </row>
    <row r="45" spans="1:22" x14ac:dyDescent="0.3">
      <c r="A45" s="1"/>
      <c r="B45" s="1"/>
      <c r="C45" s="1"/>
      <c r="D45" s="1"/>
      <c r="E45" s="1" t="s">
        <v>123</v>
      </c>
      <c r="F45" s="1" t="s">
        <v>680</v>
      </c>
      <c r="G45" s="1">
        <v>200</v>
      </c>
      <c r="H45" s="1" t="s">
        <v>252</v>
      </c>
      <c r="I45" s="1">
        <v>90</v>
      </c>
      <c r="J45" s="1">
        <f t="shared" si="2"/>
        <v>18000</v>
      </c>
      <c r="K45" s="1"/>
      <c r="L45" s="1"/>
      <c r="M45" s="1"/>
      <c r="N45" s="1"/>
      <c r="O45" s="1"/>
      <c r="P45" s="1"/>
      <c r="Q45" s="1"/>
      <c r="R45" s="86">
        <v>0.18</v>
      </c>
      <c r="S45" s="1"/>
      <c r="T45" s="1"/>
      <c r="U45" s="1"/>
      <c r="V45" s="1"/>
    </row>
    <row r="46" spans="1:22" ht="37.799999999999997" x14ac:dyDescent="0.3">
      <c r="A46" s="1"/>
      <c r="B46" s="1"/>
      <c r="C46" s="1"/>
      <c r="D46" s="1"/>
      <c r="E46" s="1" t="s">
        <v>123</v>
      </c>
      <c r="F46" s="22" t="s">
        <v>681</v>
      </c>
      <c r="G46" s="1">
        <v>1000</v>
      </c>
      <c r="H46" s="1" t="s">
        <v>302</v>
      </c>
      <c r="I46" s="1">
        <v>13</v>
      </c>
      <c r="J46" s="1">
        <f t="shared" si="2"/>
        <v>13000</v>
      </c>
      <c r="K46" s="1"/>
      <c r="L46" s="1"/>
      <c r="M46" s="1"/>
      <c r="N46" s="1"/>
      <c r="O46" s="1"/>
      <c r="P46" s="1"/>
      <c r="Q46" s="1"/>
      <c r="R46" s="86">
        <v>0.18</v>
      </c>
      <c r="S46" s="1"/>
      <c r="T46" s="1"/>
      <c r="U46" s="1"/>
      <c r="V46" s="1"/>
    </row>
    <row r="47" spans="1:22" x14ac:dyDescent="0.3">
      <c r="A47" s="1"/>
      <c r="B47" s="1"/>
      <c r="C47" s="1"/>
      <c r="D47" s="1"/>
      <c r="E47" s="1" t="s">
        <v>123</v>
      </c>
      <c r="F47" s="1" t="s">
        <v>682</v>
      </c>
      <c r="G47" s="1">
        <v>1000</v>
      </c>
      <c r="H47" s="1" t="s">
        <v>302</v>
      </c>
      <c r="I47" s="1">
        <v>7</v>
      </c>
      <c r="J47" s="1">
        <f t="shared" si="2"/>
        <v>7000</v>
      </c>
      <c r="K47" s="1"/>
      <c r="L47" s="1"/>
      <c r="M47" s="1"/>
      <c r="N47" s="1"/>
      <c r="O47" s="1"/>
      <c r="P47" s="1"/>
      <c r="Q47" s="1"/>
      <c r="R47" s="86">
        <v>0.18</v>
      </c>
      <c r="S47" s="1"/>
      <c r="T47" s="1"/>
      <c r="U47" s="1"/>
      <c r="V47" s="1"/>
    </row>
    <row r="48" spans="1:22" x14ac:dyDescent="0.3">
      <c r="A48" s="1"/>
      <c r="B48" s="1"/>
      <c r="C48" s="1"/>
      <c r="D48" s="1"/>
      <c r="E48" s="1" t="s">
        <v>123</v>
      </c>
      <c r="F48" s="1" t="s">
        <v>683</v>
      </c>
      <c r="G48" s="1">
        <v>1</v>
      </c>
      <c r="H48" s="1" t="s">
        <v>87</v>
      </c>
      <c r="I48" s="1">
        <v>3250</v>
      </c>
      <c r="J48" s="1">
        <f t="shared" si="2"/>
        <v>3250</v>
      </c>
      <c r="K48" s="1"/>
      <c r="L48" s="1"/>
      <c r="M48" s="1"/>
      <c r="N48" s="1"/>
      <c r="O48" s="1"/>
      <c r="P48" s="1"/>
      <c r="Q48" s="1"/>
      <c r="R48" s="86">
        <v>0.18</v>
      </c>
      <c r="S48" s="1"/>
      <c r="T48" s="1"/>
      <c r="U48" s="1"/>
      <c r="V48" s="1"/>
    </row>
    <row r="49" spans="1:22" x14ac:dyDescent="0.3">
      <c r="A49" s="1"/>
      <c r="B49" s="1"/>
      <c r="C49" s="1"/>
      <c r="D49" s="1"/>
      <c r="E49" s="1" t="s">
        <v>123</v>
      </c>
      <c r="F49" s="101" t="s">
        <v>684</v>
      </c>
      <c r="G49" s="1">
        <v>80</v>
      </c>
      <c r="H49" s="1" t="s">
        <v>302</v>
      </c>
      <c r="I49" s="1">
        <v>275</v>
      </c>
      <c r="J49" s="1">
        <f t="shared" si="2"/>
        <v>22000</v>
      </c>
      <c r="K49" s="1"/>
      <c r="L49" s="1"/>
      <c r="M49" s="1"/>
      <c r="N49" s="1"/>
      <c r="O49" s="1"/>
      <c r="P49" s="1"/>
      <c r="Q49" s="1"/>
      <c r="R49" s="86">
        <v>0.18</v>
      </c>
      <c r="S49" s="1"/>
      <c r="T49" s="1"/>
      <c r="U49" s="1"/>
      <c r="V49" s="1"/>
    </row>
    <row r="50" spans="1:22" x14ac:dyDescent="0.3">
      <c r="A50" s="1"/>
      <c r="B50" s="1"/>
      <c r="C50" s="1"/>
      <c r="D50" s="1"/>
      <c r="E50" s="1" t="s">
        <v>123</v>
      </c>
      <c r="F50" s="1" t="s">
        <v>685</v>
      </c>
      <c r="G50" s="1">
        <v>1</v>
      </c>
      <c r="H50" s="1" t="s">
        <v>28</v>
      </c>
      <c r="I50" s="1">
        <v>10400</v>
      </c>
      <c r="J50" s="1">
        <f t="shared" si="2"/>
        <v>10400</v>
      </c>
      <c r="K50" s="1"/>
      <c r="L50" s="1"/>
      <c r="M50" s="1"/>
      <c r="N50" s="1"/>
      <c r="O50" s="1"/>
      <c r="P50" s="1"/>
      <c r="Q50" s="1"/>
      <c r="R50" s="86">
        <v>0.18</v>
      </c>
      <c r="S50" s="1"/>
      <c r="T50" s="1"/>
      <c r="U50" s="1"/>
      <c r="V50" s="1"/>
    </row>
    <row r="51" spans="1:22" ht="25.2" x14ac:dyDescent="0.3">
      <c r="A51" s="1"/>
      <c r="B51" s="1"/>
      <c r="C51" s="1"/>
      <c r="D51" s="1"/>
      <c r="E51" s="1" t="s">
        <v>123</v>
      </c>
      <c r="F51" s="22" t="s">
        <v>338</v>
      </c>
      <c r="G51" s="1">
        <v>1</v>
      </c>
      <c r="H51" s="1" t="s">
        <v>87</v>
      </c>
      <c r="I51" s="1">
        <v>9000</v>
      </c>
      <c r="J51" s="1">
        <f t="shared" si="2"/>
        <v>9000</v>
      </c>
      <c r="K51" s="1"/>
      <c r="L51" s="1"/>
      <c r="M51" s="1"/>
      <c r="N51" s="1"/>
      <c r="O51" s="1"/>
      <c r="P51" s="1"/>
      <c r="Q51" s="1"/>
      <c r="R51" s="86">
        <v>0.18</v>
      </c>
      <c r="S51" s="1"/>
      <c r="T51" s="1"/>
      <c r="U51" s="1"/>
      <c r="V51" s="1"/>
    </row>
    <row r="52" spans="1:22" ht="25.2" x14ac:dyDescent="0.3">
      <c r="A52" s="1"/>
      <c r="B52" s="1"/>
      <c r="C52" s="1"/>
      <c r="D52" s="1"/>
      <c r="E52" s="1" t="s">
        <v>123</v>
      </c>
      <c r="F52" s="22" t="s">
        <v>340</v>
      </c>
      <c r="G52" s="1">
        <v>50</v>
      </c>
      <c r="H52" s="1" t="s">
        <v>302</v>
      </c>
      <c r="I52" s="1">
        <v>90</v>
      </c>
      <c r="J52" s="1">
        <f t="shared" si="2"/>
        <v>4500</v>
      </c>
      <c r="K52" s="1"/>
      <c r="L52" s="1"/>
      <c r="M52" s="1"/>
      <c r="N52" s="1"/>
      <c r="O52" s="1"/>
      <c r="P52" s="1"/>
      <c r="Q52" s="1"/>
      <c r="R52" s="86">
        <v>0.18</v>
      </c>
      <c r="S52" s="1"/>
      <c r="T52" s="1"/>
      <c r="U52" s="1"/>
      <c r="V52" s="1"/>
    </row>
    <row r="53" spans="1:22" ht="25.2" x14ac:dyDescent="0.3">
      <c r="A53" s="1"/>
      <c r="B53" s="1"/>
      <c r="C53" s="1"/>
      <c r="D53" s="1"/>
      <c r="E53" s="1" t="s">
        <v>123</v>
      </c>
      <c r="F53" s="22" t="s">
        <v>686</v>
      </c>
      <c r="G53" s="1">
        <v>1</v>
      </c>
      <c r="H53" s="1" t="s">
        <v>87</v>
      </c>
      <c r="I53" s="1">
        <v>13500</v>
      </c>
      <c r="J53" s="1">
        <f t="shared" si="2"/>
        <v>13500</v>
      </c>
      <c r="K53" s="1"/>
      <c r="L53" s="1"/>
      <c r="M53" s="1"/>
      <c r="N53" s="1"/>
      <c r="O53" s="1"/>
      <c r="P53" s="1"/>
      <c r="Q53" s="1"/>
      <c r="R53" s="86">
        <v>0.18</v>
      </c>
      <c r="S53" s="1"/>
      <c r="T53" s="1"/>
      <c r="U53" s="1"/>
      <c r="V53" s="1"/>
    </row>
    <row r="54" spans="1:22" ht="37.799999999999997" x14ac:dyDescent="0.3">
      <c r="A54" s="1"/>
      <c r="B54" s="1"/>
      <c r="C54" s="1"/>
      <c r="D54" s="1"/>
      <c r="E54" s="1" t="s">
        <v>123</v>
      </c>
      <c r="F54" s="22" t="s">
        <v>687</v>
      </c>
      <c r="G54" s="1">
        <v>1</v>
      </c>
      <c r="H54" s="1" t="s">
        <v>28</v>
      </c>
      <c r="I54" s="1">
        <v>4000</v>
      </c>
      <c r="J54" s="1">
        <f t="shared" si="2"/>
        <v>4000</v>
      </c>
      <c r="K54" s="1"/>
      <c r="L54" s="1"/>
      <c r="M54" s="1"/>
      <c r="N54" s="1"/>
      <c r="O54" s="1"/>
      <c r="P54" s="1"/>
      <c r="Q54" s="1"/>
      <c r="R54" s="86">
        <v>0.18</v>
      </c>
      <c r="S54" s="1"/>
      <c r="T54" s="1"/>
      <c r="U54" s="1"/>
      <c r="V54" s="1"/>
    </row>
    <row r="55" spans="1:22" ht="25.2" x14ac:dyDescent="0.3">
      <c r="A55" s="1"/>
      <c r="B55" s="1"/>
      <c r="C55" s="1"/>
      <c r="D55" s="1"/>
      <c r="E55" s="1" t="s">
        <v>123</v>
      </c>
      <c r="F55" s="22" t="s">
        <v>688</v>
      </c>
      <c r="G55" s="1">
        <v>40</v>
      </c>
      <c r="H55" s="1" t="s">
        <v>252</v>
      </c>
      <c r="I55" s="1">
        <v>140</v>
      </c>
      <c r="J55" s="1">
        <f t="shared" si="2"/>
        <v>5600</v>
      </c>
      <c r="K55" s="1"/>
      <c r="L55" s="1"/>
      <c r="M55" s="1"/>
      <c r="N55" s="1"/>
      <c r="O55" s="1"/>
      <c r="P55" s="1"/>
      <c r="Q55" s="1"/>
      <c r="R55" s="86">
        <v>0.18</v>
      </c>
      <c r="S55" s="1"/>
      <c r="T55" s="1"/>
      <c r="U55" s="1"/>
      <c r="V55" s="1"/>
    </row>
    <row r="56" spans="1:22" ht="25.2" x14ac:dyDescent="0.3">
      <c r="A56" s="1"/>
      <c r="B56" s="1"/>
      <c r="C56" s="1"/>
      <c r="D56" s="1"/>
      <c r="E56" s="1" t="s">
        <v>123</v>
      </c>
      <c r="F56" s="22" t="s">
        <v>689</v>
      </c>
      <c r="G56" s="1">
        <v>50</v>
      </c>
      <c r="H56" s="1" t="s">
        <v>28</v>
      </c>
      <c r="I56" s="1">
        <v>2600</v>
      </c>
      <c r="J56" s="1">
        <f t="shared" si="2"/>
        <v>130000</v>
      </c>
      <c r="K56" s="1"/>
      <c r="L56" s="1"/>
      <c r="M56" s="1"/>
      <c r="N56" s="1"/>
      <c r="O56" s="1"/>
      <c r="P56" s="1"/>
      <c r="Q56" s="1"/>
      <c r="R56" s="86">
        <v>0.18</v>
      </c>
      <c r="S56" s="1"/>
      <c r="T56" s="1"/>
      <c r="U56" s="1"/>
      <c r="V56" s="1"/>
    </row>
    <row r="57" spans="1:22" ht="50.4" x14ac:dyDescent="0.3">
      <c r="A57" s="1"/>
      <c r="B57" s="1"/>
      <c r="C57" s="1"/>
      <c r="D57" s="1"/>
      <c r="E57" s="1" t="s">
        <v>123</v>
      </c>
      <c r="F57" s="22" t="s">
        <v>690</v>
      </c>
      <c r="G57" s="1">
        <v>1</v>
      </c>
      <c r="H57" s="1" t="s">
        <v>28</v>
      </c>
      <c r="I57" s="1">
        <v>84635</v>
      </c>
      <c r="J57" s="1">
        <f t="shared" si="2"/>
        <v>84635</v>
      </c>
      <c r="K57" s="1"/>
      <c r="L57" s="1"/>
      <c r="M57" s="1"/>
      <c r="N57" s="1"/>
      <c r="O57" s="1"/>
      <c r="P57" s="1"/>
      <c r="Q57" s="1"/>
      <c r="R57" s="86">
        <v>0.18</v>
      </c>
      <c r="S57" s="1"/>
      <c r="T57" s="1"/>
      <c r="U57" s="1"/>
      <c r="V57" s="1"/>
    </row>
    <row r="58" spans="1:22" x14ac:dyDescent="0.3">
      <c r="A58" s="1"/>
      <c r="B58" s="1"/>
      <c r="C58" s="1"/>
      <c r="D58" s="1"/>
      <c r="E58" s="1" t="s">
        <v>123</v>
      </c>
      <c r="F58" s="1" t="s">
        <v>691</v>
      </c>
      <c r="G58" s="1">
        <v>6</v>
      </c>
      <c r="H58" s="1" t="s">
        <v>28</v>
      </c>
      <c r="I58" s="1">
        <v>16300</v>
      </c>
      <c r="J58" s="1">
        <f t="shared" si="2"/>
        <v>97800</v>
      </c>
      <c r="K58" s="1"/>
      <c r="L58" s="1"/>
      <c r="M58" s="1"/>
      <c r="N58" s="1"/>
      <c r="O58" s="1"/>
      <c r="P58" s="1"/>
      <c r="Q58" s="1"/>
      <c r="R58" s="86">
        <v>0.18</v>
      </c>
      <c r="S58" s="1"/>
      <c r="T58" s="1"/>
      <c r="U58" s="1"/>
      <c r="V58" s="1"/>
    </row>
    <row r="59" spans="1:22" ht="37.799999999999997" x14ac:dyDescent="0.3">
      <c r="A59" s="1"/>
      <c r="B59" s="1"/>
      <c r="C59" s="1"/>
      <c r="D59" s="1"/>
      <c r="E59" s="1" t="s">
        <v>123</v>
      </c>
      <c r="F59" s="22" t="s">
        <v>692</v>
      </c>
      <c r="G59" s="1">
        <v>1</v>
      </c>
      <c r="H59" s="1" t="s">
        <v>225</v>
      </c>
      <c r="I59" s="1">
        <v>1500</v>
      </c>
      <c r="J59" s="1">
        <f t="shared" si="2"/>
        <v>1500</v>
      </c>
      <c r="K59" s="1"/>
      <c r="L59" s="1"/>
      <c r="M59" s="1"/>
      <c r="N59" s="1"/>
      <c r="O59" s="1"/>
      <c r="P59" s="1"/>
      <c r="Q59" s="1"/>
      <c r="R59" s="86">
        <v>0.18</v>
      </c>
      <c r="S59" s="1"/>
      <c r="T59" s="1"/>
      <c r="U59" s="1"/>
      <c r="V59" s="1"/>
    </row>
    <row r="60" spans="1:22" ht="25.2" x14ac:dyDescent="0.3">
      <c r="A60" s="1"/>
      <c r="B60" s="1"/>
      <c r="C60" s="1"/>
      <c r="D60" s="1"/>
      <c r="E60" s="1" t="s">
        <v>123</v>
      </c>
      <c r="F60" s="22" t="s">
        <v>693</v>
      </c>
      <c r="G60" s="1">
        <v>1</v>
      </c>
      <c r="H60" s="1" t="s">
        <v>87</v>
      </c>
      <c r="I60" s="1">
        <v>56500</v>
      </c>
      <c r="J60" s="1">
        <f t="shared" si="2"/>
        <v>56500</v>
      </c>
      <c r="K60" s="1"/>
      <c r="L60" s="1"/>
      <c r="M60" s="1"/>
      <c r="N60" s="1"/>
      <c r="O60" s="1"/>
      <c r="P60" s="1"/>
      <c r="Q60" s="1"/>
      <c r="R60" s="86">
        <v>0.18</v>
      </c>
      <c r="S60" s="1"/>
      <c r="T60" s="1"/>
      <c r="U60" s="1"/>
      <c r="V60" s="1"/>
    </row>
    <row r="61" spans="1:22" ht="25.2" x14ac:dyDescent="0.3">
      <c r="A61" s="1"/>
      <c r="B61" s="1"/>
      <c r="C61" s="1"/>
      <c r="D61" s="1"/>
      <c r="E61" s="1" t="s">
        <v>123</v>
      </c>
      <c r="F61" s="22" t="s">
        <v>694</v>
      </c>
      <c r="G61" s="1">
        <v>3</v>
      </c>
      <c r="H61" s="1" t="s">
        <v>28</v>
      </c>
      <c r="I61" s="1">
        <v>8200</v>
      </c>
      <c r="J61" s="1">
        <f t="shared" si="2"/>
        <v>24600</v>
      </c>
      <c r="K61" s="1"/>
      <c r="L61" s="1"/>
      <c r="M61" s="1"/>
      <c r="N61" s="1"/>
      <c r="O61" s="1"/>
      <c r="P61" s="1"/>
      <c r="Q61" s="1"/>
      <c r="R61" s="86">
        <v>0.18</v>
      </c>
      <c r="S61" s="1"/>
      <c r="T61" s="1"/>
      <c r="U61" s="1"/>
      <c r="V61" s="1"/>
    </row>
    <row r="62" spans="1:22" ht="25.2" x14ac:dyDescent="0.3">
      <c r="A62" s="1"/>
      <c r="B62" s="1"/>
      <c r="C62" s="1"/>
      <c r="D62" s="1"/>
      <c r="E62" s="1" t="s">
        <v>123</v>
      </c>
      <c r="F62" s="102" t="s">
        <v>695</v>
      </c>
      <c r="G62" s="1">
        <v>1</v>
      </c>
      <c r="H62" s="1" t="s">
        <v>28</v>
      </c>
      <c r="I62" s="1">
        <v>68500</v>
      </c>
      <c r="J62" s="1">
        <f t="shared" si="2"/>
        <v>68500</v>
      </c>
      <c r="K62" s="1"/>
      <c r="L62" s="1"/>
      <c r="M62" s="1"/>
      <c r="N62" s="1"/>
      <c r="O62" s="1"/>
      <c r="P62" s="1"/>
      <c r="Q62" s="1"/>
      <c r="R62" s="86">
        <v>0.28000000000000003</v>
      </c>
      <c r="S62" s="1"/>
      <c r="T62" s="1"/>
      <c r="U62" s="1"/>
      <c r="V62" s="1"/>
    </row>
    <row r="63" spans="1:22" x14ac:dyDescent="0.3">
      <c r="A63" s="88"/>
      <c r="B63" s="88" t="s">
        <v>39</v>
      </c>
      <c r="C63" s="88"/>
      <c r="D63" s="88"/>
      <c r="E63" s="88"/>
      <c r="F63" s="88"/>
      <c r="G63" s="88"/>
      <c r="H63" s="1"/>
      <c r="I63" s="1"/>
      <c r="J63" s="124">
        <f>SUM(J33:J62)</f>
        <v>1587000</v>
      </c>
      <c r="K63" s="1"/>
      <c r="L63" s="1"/>
      <c r="M63" s="1"/>
      <c r="N63" s="1"/>
      <c r="O63" s="1"/>
      <c r="P63" s="1"/>
      <c r="Q63" s="1"/>
      <c r="R63" s="1"/>
      <c r="S63" s="1"/>
      <c r="T63" s="1"/>
      <c r="U63" s="1"/>
      <c r="V63" s="1"/>
    </row>
    <row r="64" spans="1:22" x14ac:dyDescent="0.3">
      <c r="A64" s="88"/>
      <c r="B64" s="88" t="s">
        <v>187</v>
      </c>
      <c r="C64" s="88"/>
      <c r="D64" s="88"/>
      <c r="E64" s="88"/>
      <c r="F64" s="88"/>
      <c r="G64" s="88"/>
      <c r="H64" s="1"/>
      <c r="I64" s="1"/>
      <c r="J64" s="124">
        <f>J63*18/100</f>
        <v>285660</v>
      </c>
      <c r="K64" s="1"/>
      <c r="L64" s="1"/>
      <c r="M64" s="1"/>
      <c r="N64" s="1"/>
      <c r="O64" s="1"/>
      <c r="P64" s="1"/>
      <c r="Q64" s="1"/>
      <c r="R64" s="1"/>
      <c r="S64" s="1"/>
      <c r="T64" s="1"/>
      <c r="U64" s="1"/>
      <c r="V64" s="1"/>
    </row>
    <row r="65" spans="1:22" x14ac:dyDescent="0.3">
      <c r="A65" s="88"/>
      <c r="B65" s="88" t="s">
        <v>41</v>
      </c>
      <c r="C65" s="88"/>
      <c r="D65" s="88"/>
      <c r="E65" s="88"/>
      <c r="F65" s="88"/>
      <c r="G65" s="88"/>
      <c r="H65" s="1"/>
      <c r="I65" s="1"/>
      <c r="J65" s="124">
        <f>SUM(J63:J64)</f>
        <v>1872660</v>
      </c>
      <c r="K65" s="1"/>
      <c r="L65" s="1"/>
      <c r="M65" s="1"/>
      <c r="N65" s="1"/>
      <c r="O65" s="1"/>
      <c r="P65" s="1"/>
      <c r="Q65" s="1"/>
      <c r="R65" s="1"/>
      <c r="S65" s="1"/>
      <c r="T65" s="1"/>
      <c r="U65" s="1"/>
      <c r="V65" s="1"/>
    </row>
    <row r="66" spans="1:22" x14ac:dyDescent="0.3">
      <c r="A66" s="1"/>
      <c r="B66" s="1"/>
      <c r="C66" s="1"/>
      <c r="D66" s="1"/>
      <c r="E66" s="1"/>
      <c r="F66" s="1"/>
      <c r="G66" s="1"/>
      <c r="H66" s="1"/>
      <c r="I66" s="1"/>
      <c r="J66" s="1"/>
      <c r="K66" s="1"/>
      <c r="L66" s="1"/>
      <c r="M66" s="1"/>
      <c r="N66" s="1"/>
      <c r="O66" s="1"/>
      <c r="P66" s="1"/>
      <c r="Q66" s="1"/>
      <c r="R66" s="1"/>
      <c r="S66" s="1"/>
      <c r="T66" s="1"/>
      <c r="U66" s="1"/>
      <c r="V66" s="1"/>
    </row>
  </sheetData>
  <mergeCells count="6">
    <mergeCell ref="A24:I24"/>
    <mergeCell ref="A14:I14"/>
    <mergeCell ref="A15:I15"/>
    <mergeCell ref="A16:I16"/>
    <mergeCell ref="A22:I22"/>
    <mergeCell ref="A23:I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4CE9-E4C5-4800-BD5E-2BC499829BC1}">
  <dimension ref="B1:F259"/>
  <sheetViews>
    <sheetView zoomScaleNormal="100" workbookViewId="0">
      <selection activeCell="C90" sqref="C90"/>
    </sheetView>
  </sheetViews>
  <sheetFormatPr defaultRowHeight="14.4" x14ac:dyDescent="0.3"/>
  <cols>
    <col min="1" max="1" width="6.44140625" customWidth="1"/>
    <col min="2" max="2" width="44.6640625" customWidth="1"/>
    <col min="3" max="3" width="11.6640625" customWidth="1"/>
    <col min="4" max="4" width="16.5546875" customWidth="1"/>
    <col min="5" max="5" width="11.33203125" customWidth="1"/>
    <col min="6" max="6" width="10.88671875" customWidth="1"/>
  </cols>
  <sheetData>
    <row r="1" spans="2:6" x14ac:dyDescent="0.3">
      <c r="B1" s="70" t="s">
        <v>988</v>
      </c>
      <c r="C1" s="69"/>
      <c r="D1" s="63"/>
    </row>
    <row r="2" spans="2:6" x14ac:dyDescent="0.3">
      <c r="B2" s="70" t="s">
        <v>989</v>
      </c>
      <c r="C2" s="69"/>
      <c r="D2" s="63"/>
    </row>
    <row r="3" spans="2:6" x14ac:dyDescent="0.3">
      <c r="B3" s="70" t="s">
        <v>990</v>
      </c>
      <c r="C3" s="69"/>
      <c r="D3" s="63"/>
    </row>
    <row r="4" spans="2:6" x14ac:dyDescent="0.3">
      <c r="B4" s="63"/>
      <c r="C4" s="69"/>
      <c r="D4" s="63"/>
    </row>
    <row r="5" spans="2:6" x14ac:dyDescent="0.3">
      <c r="B5" s="68" t="s">
        <v>8</v>
      </c>
      <c r="C5" s="68" t="s">
        <v>9</v>
      </c>
      <c r="D5" s="68" t="s">
        <v>10</v>
      </c>
      <c r="E5" s="68" t="s">
        <v>11</v>
      </c>
      <c r="F5" s="68" t="s">
        <v>12</v>
      </c>
    </row>
    <row r="6" spans="2:6" x14ac:dyDescent="0.3">
      <c r="B6" s="26" t="s">
        <v>321</v>
      </c>
      <c r="C6" s="1">
        <v>100</v>
      </c>
      <c r="D6" s="1" t="s">
        <v>28</v>
      </c>
      <c r="E6" s="1">
        <v>940</v>
      </c>
      <c r="F6" s="1">
        <f>C6*E6</f>
        <v>94000</v>
      </c>
    </row>
    <row r="7" spans="2:6" x14ac:dyDescent="0.3">
      <c r="B7" s="26" t="s">
        <v>323</v>
      </c>
      <c r="C7" s="1">
        <v>1</v>
      </c>
      <c r="D7" s="1" t="s">
        <v>87</v>
      </c>
      <c r="E7" s="1">
        <v>850</v>
      </c>
      <c r="F7" s="1">
        <f>C7*E7</f>
        <v>850</v>
      </c>
    </row>
    <row r="8" spans="2:6" x14ac:dyDescent="0.3">
      <c r="B8" s="71"/>
      <c r="C8" s="71"/>
      <c r="D8" s="72" t="s">
        <v>991</v>
      </c>
      <c r="E8" s="72"/>
      <c r="F8" s="72">
        <f>SUM(F6:F7)</f>
        <v>94850</v>
      </c>
    </row>
    <row r="11" spans="2:6" x14ac:dyDescent="0.3">
      <c r="B11" s="70" t="s">
        <v>992</v>
      </c>
    </row>
    <row r="12" spans="2:6" x14ac:dyDescent="0.3">
      <c r="B12" s="70" t="s">
        <v>993</v>
      </c>
    </row>
    <row r="13" spans="2:6" x14ac:dyDescent="0.3">
      <c r="B13" s="70" t="s">
        <v>994</v>
      </c>
    </row>
    <row r="15" spans="2:6" ht="50.4" x14ac:dyDescent="0.3">
      <c r="B15" s="51" t="s">
        <v>353</v>
      </c>
      <c r="C15" s="1">
        <v>1</v>
      </c>
      <c r="D15" s="1" t="s">
        <v>28</v>
      </c>
      <c r="E15" s="1">
        <v>37100</v>
      </c>
      <c r="F15" s="1">
        <f>C15*E15</f>
        <v>37100</v>
      </c>
    </row>
    <row r="16" spans="2:6" x14ac:dyDescent="0.3">
      <c r="B16" s="26" t="s">
        <v>356</v>
      </c>
      <c r="C16" s="1">
        <v>1</v>
      </c>
      <c r="D16" s="1" t="s">
        <v>87</v>
      </c>
      <c r="E16" s="1">
        <v>8000</v>
      </c>
      <c r="F16" s="1">
        <f>C16*E16</f>
        <v>8000</v>
      </c>
    </row>
    <row r="17" spans="2:6" x14ac:dyDescent="0.3">
      <c r="B17" s="64"/>
      <c r="C17" s="64"/>
      <c r="D17" s="64"/>
      <c r="E17" s="64"/>
      <c r="F17" s="64"/>
    </row>
    <row r="18" spans="2:6" x14ac:dyDescent="0.3">
      <c r="B18" s="64"/>
      <c r="C18" s="64"/>
      <c r="D18" s="64" t="s">
        <v>39</v>
      </c>
      <c r="E18" s="64"/>
      <c r="F18" s="64">
        <f>SUM(F15:F17)</f>
        <v>45100</v>
      </c>
    </row>
    <row r="19" spans="2:6" x14ac:dyDescent="0.3">
      <c r="B19" s="64"/>
      <c r="C19" s="64"/>
      <c r="D19" s="64" t="s">
        <v>187</v>
      </c>
      <c r="E19" s="64"/>
      <c r="F19" s="64">
        <f>F18*18/100</f>
        <v>8118</v>
      </c>
    </row>
    <row r="20" spans="2:6" x14ac:dyDescent="0.3">
      <c r="B20" s="64"/>
      <c r="C20" s="64"/>
      <c r="D20" s="73" t="s">
        <v>991</v>
      </c>
      <c r="E20" s="73"/>
      <c r="F20" s="73">
        <f>SUM(F18:F19)</f>
        <v>53218</v>
      </c>
    </row>
    <row r="23" spans="2:6" x14ac:dyDescent="0.3">
      <c r="B23" s="70" t="s">
        <v>995</v>
      </c>
    </row>
    <row r="24" spans="2:6" x14ac:dyDescent="0.3">
      <c r="B24" s="70" t="s">
        <v>993</v>
      </c>
    </row>
    <row r="25" spans="2:6" x14ac:dyDescent="0.3">
      <c r="B25" s="70" t="s">
        <v>996</v>
      </c>
    </row>
    <row r="27" spans="2:6" ht="50.4" x14ac:dyDescent="0.3">
      <c r="B27" s="51" t="s">
        <v>353</v>
      </c>
      <c r="C27" s="1">
        <v>1</v>
      </c>
      <c r="D27" s="1" t="s">
        <v>28</v>
      </c>
      <c r="E27" s="1">
        <v>37100</v>
      </c>
      <c r="F27" s="1">
        <f>C27*E27</f>
        <v>37100</v>
      </c>
    </row>
    <row r="28" spans="2:6" x14ac:dyDescent="0.3">
      <c r="B28" s="26" t="s">
        <v>356</v>
      </c>
      <c r="C28" s="1">
        <v>1</v>
      </c>
      <c r="D28" s="1" t="s">
        <v>87</v>
      </c>
      <c r="E28" s="1">
        <v>8000</v>
      </c>
      <c r="F28" s="1">
        <f>C28*E28</f>
        <v>8000</v>
      </c>
    </row>
    <row r="29" spans="2:6" x14ac:dyDescent="0.3">
      <c r="B29" s="64"/>
      <c r="C29" s="64"/>
      <c r="D29" s="64"/>
      <c r="E29" s="64"/>
      <c r="F29" s="64"/>
    </row>
    <row r="30" spans="2:6" x14ac:dyDescent="0.3">
      <c r="B30" s="64"/>
      <c r="C30" s="64"/>
      <c r="D30" s="64" t="s">
        <v>39</v>
      </c>
      <c r="E30" s="64"/>
      <c r="F30" s="64">
        <f>SUM(F27:F29)</f>
        <v>45100</v>
      </c>
    </row>
    <row r="31" spans="2:6" x14ac:dyDescent="0.3">
      <c r="B31" s="64"/>
      <c r="C31" s="64"/>
      <c r="D31" s="64" t="s">
        <v>187</v>
      </c>
      <c r="E31" s="64"/>
      <c r="F31" s="64">
        <f>F30*18/100</f>
        <v>8118</v>
      </c>
    </row>
    <row r="32" spans="2:6" x14ac:dyDescent="0.3">
      <c r="B32" s="64"/>
      <c r="C32" s="64"/>
      <c r="D32" s="73" t="s">
        <v>991</v>
      </c>
      <c r="E32" s="73"/>
      <c r="F32" s="73">
        <f>SUM(F30:F31)</f>
        <v>53218</v>
      </c>
    </row>
    <row r="35" spans="2:6" x14ac:dyDescent="0.3">
      <c r="B35" s="70" t="s">
        <v>997</v>
      </c>
    </row>
    <row r="36" spans="2:6" x14ac:dyDescent="0.3">
      <c r="B36" s="70" t="s">
        <v>993</v>
      </c>
    </row>
    <row r="37" spans="2:6" x14ac:dyDescent="0.3">
      <c r="B37" s="70" t="s">
        <v>998</v>
      </c>
    </row>
    <row r="39" spans="2:6" ht="50.4" x14ac:dyDescent="0.3">
      <c r="B39" s="51" t="s">
        <v>353</v>
      </c>
      <c r="C39" s="1">
        <v>1</v>
      </c>
      <c r="D39" s="1" t="s">
        <v>28</v>
      </c>
      <c r="E39" s="1">
        <v>37100</v>
      </c>
      <c r="F39" s="1">
        <f>C39*E39</f>
        <v>37100</v>
      </c>
    </row>
    <row r="40" spans="2:6" x14ac:dyDescent="0.3">
      <c r="B40" s="26" t="s">
        <v>356</v>
      </c>
      <c r="C40" s="1">
        <v>1</v>
      </c>
      <c r="D40" s="1" t="s">
        <v>87</v>
      </c>
      <c r="E40" s="1">
        <v>8000</v>
      </c>
      <c r="F40" s="1">
        <f>C40*E40</f>
        <v>8000</v>
      </c>
    </row>
    <row r="41" spans="2:6" x14ac:dyDescent="0.3">
      <c r="B41" s="64"/>
      <c r="C41" s="64"/>
      <c r="D41" s="64"/>
      <c r="E41" s="64"/>
      <c r="F41" s="64"/>
    </row>
    <row r="42" spans="2:6" x14ac:dyDescent="0.3">
      <c r="B42" s="64"/>
      <c r="C42" s="64"/>
      <c r="D42" s="64" t="s">
        <v>39</v>
      </c>
      <c r="E42" s="64"/>
      <c r="F42" s="64">
        <f>SUM(F39:F41)</f>
        <v>45100</v>
      </c>
    </row>
    <row r="43" spans="2:6" x14ac:dyDescent="0.3">
      <c r="B43" s="64"/>
      <c r="C43" s="64"/>
      <c r="D43" s="64" t="s">
        <v>187</v>
      </c>
      <c r="E43" s="64"/>
      <c r="F43" s="64">
        <f>F42*18/100</f>
        <v>8118</v>
      </c>
    </row>
    <row r="44" spans="2:6" x14ac:dyDescent="0.3">
      <c r="B44" s="64"/>
      <c r="C44" s="64"/>
      <c r="D44" s="73" t="s">
        <v>991</v>
      </c>
      <c r="E44" s="73"/>
      <c r="F44" s="73">
        <f>SUM(F42:F43)</f>
        <v>53218</v>
      </c>
    </row>
    <row r="47" spans="2:6" x14ac:dyDescent="0.3">
      <c r="B47" s="70" t="s">
        <v>999</v>
      </c>
    </row>
    <row r="48" spans="2:6" x14ac:dyDescent="0.3">
      <c r="B48" s="70" t="s">
        <v>1000</v>
      </c>
    </row>
    <row r="49" spans="2:6" x14ac:dyDescent="0.3">
      <c r="B49" s="70" t="s">
        <v>1001</v>
      </c>
    </row>
    <row r="51" spans="2:6" x14ac:dyDescent="0.3">
      <c r="B51" s="51" t="s">
        <v>362</v>
      </c>
      <c r="C51" s="1">
        <v>120</v>
      </c>
      <c r="D51" s="1" t="s">
        <v>252</v>
      </c>
      <c r="E51" s="1">
        <v>1180</v>
      </c>
      <c r="F51" s="1">
        <f>C51*E51</f>
        <v>141600</v>
      </c>
    </row>
    <row r="52" spans="2:6" x14ac:dyDescent="0.3">
      <c r="B52" s="74"/>
      <c r="C52" s="74"/>
      <c r="D52" s="74"/>
      <c r="E52" s="74"/>
      <c r="F52" s="64"/>
    </row>
    <row r="53" spans="2:6" x14ac:dyDescent="0.3">
      <c r="B53" s="74"/>
      <c r="C53" s="74"/>
      <c r="D53" s="64" t="s">
        <v>39</v>
      </c>
      <c r="E53" s="74"/>
      <c r="F53" s="64">
        <v>141600</v>
      </c>
    </row>
    <row r="54" spans="2:6" x14ac:dyDescent="0.3">
      <c r="B54" s="74"/>
      <c r="C54" s="74"/>
      <c r="D54" s="64" t="s">
        <v>599</v>
      </c>
      <c r="E54" s="74"/>
      <c r="F54" s="64">
        <v>0</v>
      </c>
    </row>
    <row r="55" spans="2:6" x14ac:dyDescent="0.3">
      <c r="B55" s="74"/>
      <c r="C55" s="74"/>
      <c r="D55" s="73" t="s">
        <v>991</v>
      </c>
      <c r="E55" s="74"/>
      <c r="F55" s="73">
        <f>SUM(F51:F54)</f>
        <v>283200</v>
      </c>
    </row>
    <row r="58" spans="2:6" x14ac:dyDescent="0.3">
      <c r="B58" s="70" t="s">
        <v>1002</v>
      </c>
    </row>
    <row r="59" spans="2:6" x14ac:dyDescent="0.3">
      <c r="B59" s="70" t="s">
        <v>1000</v>
      </c>
    </row>
    <row r="60" spans="2:6" x14ac:dyDescent="0.3">
      <c r="B60" s="70" t="s">
        <v>1001</v>
      </c>
    </row>
    <row r="62" spans="2:6" ht="25.2" x14ac:dyDescent="0.3">
      <c r="B62" s="51" t="s">
        <v>1003</v>
      </c>
      <c r="C62" s="1">
        <v>10</v>
      </c>
      <c r="D62" s="1" t="s">
        <v>28</v>
      </c>
      <c r="E62" s="1">
        <v>750</v>
      </c>
      <c r="F62" s="1">
        <f>C62*E62</f>
        <v>7500</v>
      </c>
    </row>
    <row r="63" spans="2:6" x14ac:dyDescent="0.3">
      <c r="B63" s="64"/>
      <c r="C63" s="64"/>
      <c r="D63" s="64"/>
      <c r="E63" s="64"/>
      <c r="F63" s="64"/>
    </row>
    <row r="64" spans="2:6" x14ac:dyDescent="0.3">
      <c r="B64" s="64"/>
      <c r="C64" s="64"/>
      <c r="D64" s="64" t="s">
        <v>39</v>
      </c>
      <c r="E64" s="64"/>
      <c r="F64" s="64">
        <v>7500</v>
      </c>
    </row>
    <row r="65" spans="2:6" x14ac:dyDescent="0.3">
      <c r="B65" s="64"/>
      <c r="C65" s="64"/>
      <c r="D65" s="64" t="s">
        <v>599</v>
      </c>
      <c r="E65" s="64"/>
      <c r="F65" s="64">
        <v>0</v>
      </c>
    </row>
    <row r="66" spans="2:6" x14ac:dyDescent="0.3">
      <c r="B66" s="64"/>
      <c r="C66" s="64"/>
      <c r="D66" s="73" t="s">
        <v>991</v>
      </c>
      <c r="E66" s="64"/>
      <c r="F66" s="73">
        <f>SUM(F63:F65)</f>
        <v>7500</v>
      </c>
    </row>
    <row r="69" spans="2:6" x14ac:dyDescent="0.3">
      <c r="B69" s="70" t="s">
        <v>1004</v>
      </c>
    </row>
    <row r="70" spans="2:6" x14ac:dyDescent="0.3">
      <c r="B70" s="70" t="s">
        <v>1005</v>
      </c>
    </row>
    <row r="71" spans="2:6" x14ac:dyDescent="0.3">
      <c r="B71" s="70" t="s">
        <v>1001</v>
      </c>
    </row>
    <row r="73" spans="2:6" x14ac:dyDescent="0.3">
      <c r="B73" s="26" t="s">
        <v>381</v>
      </c>
      <c r="C73" s="1">
        <v>20</v>
      </c>
      <c r="D73" s="1" t="s">
        <v>28</v>
      </c>
      <c r="E73" s="1">
        <v>4800</v>
      </c>
      <c r="F73" s="1">
        <f>C73*E73</f>
        <v>96000</v>
      </c>
    </row>
    <row r="74" spans="2:6" x14ac:dyDescent="0.3">
      <c r="B74" s="26" t="s">
        <v>383</v>
      </c>
      <c r="C74" s="1">
        <v>30</v>
      </c>
      <c r="D74" s="1" t="s">
        <v>28</v>
      </c>
      <c r="E74" s="1">
        <v>4800</v>
      </c>
      <c r="F74" s="1">
        <f t="shared" ref="F74:F75" si="0">C74*E74</f>
        <v>144000</v>
      </c>
    </row>
    <row r="75" spans="2:6" x14ac:dyDescent="0.3">
      <c r="B75" s="75" t="s">
        <v>384</v>
      </c>
      <c r="C75" s="1">
        <v>60</v>
      </c>
      <c r="D75" s="1" t="s">
        <v>28</v>
      </c>
      <c r="E75" s="1">
        <v>1191</v>
      </c>
      <c r="F75" s="1">
        <f t="shared" si="0"/>
        <v>71460</v>
      </c>
    </row>
    <row r="76" spans="2:6" x14ac:dyDescent="0.3">
      <c r="B76" s="74"/>
      <c r="C76" s="74"/>
      <c r="D76" s="74"/>
      <c r="E76" s="74"/>
      <c r="F76" s="74"/>
    </row>
    <row r="77" spans="2:6" x14ac:dyDescent="0.3">
      <c r="B77" s="74"/>
      <c r="C77" s="74"/>
      <c r="D77" s="64" t="s">
        <v>39</v>
      </c>
      <c r="E77" s="74"/>
      <c r="F77" s="74">
        <f>SUM(F73:F76)</f>
        <v>311460</v>
      </c>
    </row>
    <row r="78" spans="2:6" x14ac:dyDescent="0.3">
      <c r="B78" s="74"/>
      <c r="C78" s="74"/>
      <c r="D78" s="64" t="s">
        <v>187</v>
      </c>
      <c r="E78" s="74"/>
      <c r="F78" s="74">
        <f>F77*18/100</f>
        <v>56062.8</v>
      </c>
    </row>
    <row r="79" spans="2:6" x14ac:dyDescent="0.3">
      <c r="B79" s="74"/>
      <c r="C79" s="74"/>
      <c r="D79" s="73" t="s">
        <v>991</v>
      </c>
      <c r="E79" s="74"/>
      <c r="F79" s="77">
        <f>SUM(F77:F78)</f>
        <v>367522.8</v>
      </c>
    </row>
    <row r="82" spans="2:6" x14ac:dyDescent="0.3">
      <c r="B82" s="70" t="s">
        <v>1006</v>
      </c>
    </row>
    <row r="83" spans="2:6" x14ac:dyDescent="0.3">
      <c r="B83" s="70" t="s">
        <v>1007</v>
      </c>
    </row>
    <row r="84" spans="2:6" x14ac:dyDescent="0.3">
      <c r="B84" s="70" t="s">
        <v>1001</v>
      </c>
    </row>
    <row r="86" spans="2:6" x14ac:dyDescent="0.3">
      <c r="B86" s="26" t="s">
        <v>387</v>
      </c>
      <c r="C86" s="1">
        <v>50</v>
      </c>
      <c r="D86" s="1" t="s">
        <v>28</v>
      </c>
      <c r="E86" s="1">
        <v>1191</v>
      </c>
      <c r="F86" s="1">
        <f t="shared" ref="F86:F97" si="1">C86*E86</f>
        <v>59550</v>
      </c>
    </row>
    <row r="87" spans="2:6" x14ac:dyDescent="0.3">
      <c r="B87" s="26" t="s">
        <v>389</v>
      </c>
      <c r="C87" s="1">
        <v>6</v>
      </c>
      <c r="D87" s="1" t="s">
        <v>28</v>
      </c>
      <c r="E87" s="1">
        <v>4800</v>
      </c>
      <c r="F87" s="1">
        <f t="shared" si="1"/>
        <v>28800</v>
      </c>
    </row>
    <row r="88" spans="2:6" x14ac:dyDescent="0.3">
      <c r="B88" s="26" t="s">
        <v>390</v>
      </c>
      <c r="C88" s="1">
        <v>5</v>
      </c>
      <c r="D88" s="1" t="s">
        <v>28</v>
      </c>
      <c r="E88" s="1">
        <v>8400</v>
      </c>
      <c r="F88" s="1">
        <f t="shared" si="1"/>
        <v>42000</v>
      </c>
    </row>
    <row r="89" spans="2:6" x14ac:dyDescent="0.3">
      <c r="B89" s="26" t="s">
        <v>391</v>
      </c>
      <c r="C89" s="1">
        <v>5</v>
      </c>
      <c r="D89" s="1" t="s">
        <v>28</v>
      </c>
      <c r="E89" s="1">
        <v>1356</v>
      </c>
      <c r="F89" s="1">
        <f t="shared" si="1"/>
        <v>6780</v>
      </c>
    </row>
    <row r="90" spans="2:6" x14ac:dyDescent="0.3">
      <c r="B90" s="26" t="s">
        <v>392</v>
      </c>
      <c r="C90" s="1">
        <v>20</v>
      </c>
      <c r="D90" s="1" t="s">
        <v>28</v>
      </c>
      <c r="E90" s="1">
        <v>4800</v>
      </c>
      <c r="F90" s="1">
        <f t="shared" si="1"/>
        <v>96000</v>
      </c>
    </row>
    <row r="91" spans="2:6" x14ac:dyDescent="0.3">
      <c r="B91" s="26" t="s">
        <v>393</v>
      </c>
      <c r="C91" s="1">
        <v>10</v>
      </c>
      <c r="D91" s="1" t="s">
        <v>28</v>
      </c>
      <c r="E91" s="1">
        <v>160</v>
      </c>
      <c r="F91" s="1">
        <f t="shared" si="1"/>
        <v>1600</v>
      </c>
    </row>
    <row r="92" spans="2:6" x14ac:dyDescent="0.3">
      <c r="B92" s="26" t="s">
        <v>394</v>
      </c>
      <c r="C92" s="1">
        <v>50</v>
      </c>
      <c r="D92" s="1" t="s">
        <v>28</v>
      </c>
      <c r="E92" s="1">
        <v>24</v>
      </c>
      <c r="F92" s="1">
        <f t="shared" si="1"/>
        <v>1200</v>
      </c>
    </row>
    <row r="93" spans="2:6" x14ac:dyDescent="0.3">
      <c r="B93" s="26" t="s">
        <v>395</v>
      </c>
      <c r="C93" s="1">
        <v>20</v>
      </c>
      <c r="D93" s="1" t="s">
        <v>28</v>
      </c>
      <c r="E93" s="1">
        <v>2100</v>
      </c>
      <c r="F93" s="1">
        <f t="shared" si="1"/>
        <v>42000</v>
      </c>
    </row>
    <row r="94" spans="2:6" x14ac:dyDescent="0.3">
      <c r="B94" s="26" t="s">
        <v>396</v>
      </c>
      <c r="C94" s="1">
        <v>10</v>
      </c>
      <c r="D94" s="1" t="s">
        <v>28</v>
      </c>
      <c r="E94" s="1">
        <v>260</v>
      </c>
      <c r="F94" s="1">
        <f t="shared" si="1"/>
        <v>2600</v>
      </c>
    </row>
    <row r="95" spans="2:6" x14ac:dyDescent="0.3">
      <c r="B95" s="26" t="s">
        <v>397</v>
      </c>
      <c r="C95" s="1">
        <v>20</v>
      </c>
      <c r="D95" s="1" t="s">
        <v>28</v>
      </c>
      <c r="E95" s="1">
        <v>418</v>
      </c>
      <c r="F95" s="1">
        <f t="shared" si="1"/>
        <v>8360</v>
      </c>
    </row>
    <row r="96" spans="2:6" x14ac:dyDescent="0.3">
      <c r="B96" s="26" t="s">
        <v>398</v>
      </c>
      <c r="C96" s="1">
        <v>100</v>
      </c>
      <c r="D96" s="1" t="s">
        <v>28</v>
      </c>
      <c r="E96" s="1">
        <v>85</v>
      </c>
      <c r="F96" s="1">
        <f t="shared" si="1"/>
        <v>8500</v>
      </c>
    </row>
    <row r="97" spans="2:6" x14ac:dyDescent="0.3">
      <c r="B97" s="26" t="s">
        <v>399</v>
      </c>
      <c r="C97" s="1">
        <v>100</v>
      </c>
      <c r="D97" s="1" t="s">
        <v>28</v>
      </c>
      <c r="E97" s="1">
        <v>140</v>
      </c>
      <c r="F97" s="1">
        <f t="shared" si="1"/>
        <v>14000</v>
      </c>
    </row>
    <row r="98" spans="2:6" x14ac:dyDescent="0.3">
      <c r="B98" s="64"/>
      <c r="C98" s="64"/>
      <c r="D98" s="64"/>
      <c r="E98" s="64"/>
      <c r="F98" s="64"/>
    </row>
    <row r="99" spans="2:6" x14ac:dyDescent="0.3">
      <c r="B99" s="64"/>
      <c r="C99" s="64"/>
      <c r="D99" s="64" t="s">
        <v>39</v>
      </c>
      <c r="E99" s="64"/>
      <c r="F99" s="1">
        <f>SUM(F86:F98)</f>
        <v>311390</v>
      </c>
    </row>
    <row r="100" spans="2:6" x14ac:dyDescent="0.3">
      <c r="B100" s="64"/>
      <c r="C100" s="64"/>
      <c r="D100" s="64" t="s">
        <v>187</v>
      </c>
      <c r="E100" s="64"/>
      <c r="F100" s="64">
        <f>F99*18/100</f>
        <v>56050.2</v>
      </c>
    </row>
    <row r="101" spans="2:6" x14ac:dyDescent="0.3">
      <c r="B101" s="64"/>
      <c r="C101" s="64"/>
      <c r="D101" s="73" t="s">
        <v>991</v>
      </c>
      <c r="E101" s="64"/>
      <c r="F101" s="73">
        <f>SUM(F99:F100)</f>
        <v>367440.2</v>
      </c>
    </row>
    <row r="104" spans="2:6" x14ac:dyDescent="0.3">
      <c r="B104" s="70" t="s">
        <v>1008</v>
      </c>
    </row>
    <row r="105" spans="2:6" x14ac:dyDescent="0.3">
      <c r="B105" s="70" t="s">
        <v>1007</v>
      </c>
    </row>
    <row r="106" spans="2:6" x14ac:dyDescent="0.3">
      <c r="B106" s="70" t="s">
        <v>1009</v>
      </c>
    </row>
    <row r="108" spans="2:6" x14ac:dyDescent="0.3">
      <c r="B108" s="26" t="s">
        <v>483</v>
      </c>
      <c r="C108" s="1">
        <v>5</v>
      </c>
      <c r="D108" s="1" t="s">
        <v>28</v>
      </c>
      <c r="E108" s="1">
        <v>6370</v>
      </c>
      <c r="F108" s="1">
        <f>C108*E108</f>
        <v>31850</v>
      </c>
    </row>
    <row r="109" spans="2:6" x14ac:dyDescent="0.3">
      <c r="B109" s="51" t="s">
        <v>488</v>
      </c>
      <c r="C109" s="1">
        <v>1</v>
      </c>
      <c r="D109" s="1" t="s">
        <v>28</v>
      </c>
      <c r="E109" s="1">
        <v>24255</v>
      </c>
      <c r="F109" s="1">
        <f t="shared" ref="F109:F119" si="2">C109*E109</f>
        <v>24255</v>
      </c>
    </row>
    <row r="110" spans="2:6" x14ac:dyDescent="0.3">
      <c r="B110" s="76" t="s">
        <v>1010</v>
      </c>
      <c r="C110" s="1">
        <v>6</v>
      </c>
      <c r="D110" s="1" t="s">
        <v>28</v>
      </c>
      <c r="E110" s="1">
        <v>7644</v>
      </c>
      <c r="F110" s="1">
        <f t="shared" si="2"/>
        <v>45864</v>
      </c>
    </row>
    <row r="111" spans="2:6" x14ac:dyDescent="0.3">
      <c r="B111" s="26" t="s">
        <v>1011</v>
      </c>
      <c r="C111" s="1">
        <v>1</v>
      </c>
      <c r="D111" s="1" t="s">
        <v>28</v>
      </c>
      <c r="E111" s="1">
        <v>4488</v>
      </c>
      <c r="F111" s="1">
        <f t="shared" si="2"/>
        <v>4488</v>
      </c>
    </row>
    <row r="112" spans="2:6" x14ac:dyDescent="0.3">
      <c r="B112" s="26" t="s">
        <v>492</v>
      </c>
      <c r="C112" s="1">
        <v>3</v>
      </c>
      <c r="D112" s="1" t="s">
        <v>28</v>
      </c>
      <c r="E112" s="1">
        <v>5733</v>
      </c>
      <c r="F112" s="1">
        <f>C112*E112</f>
        <v>17199</v>
      </c>
    </row>
    <row r="113" spans="2:6" x14ac:dyDescent="0.3">
      <c r="B113" s="76" t="s">
        <v>496</v>
      </c>
      <c r="C113" s="1">
        <v>60</v>
      </c>
      <c r="D113" s="1" t="s">
        <v>308</v>
      </c>
      <c r="E113" s="1">
        <v>470</v>
      </c>
      <c r="F113" s="1">
        <f t="shared" si="2"/>
        <v>28200</v>
      </c>
    </row>
    <row r="114" spans="2:6" x14ac:dyDescent="0.3">
      <c r="B114" s="76" t="s">
        <v>1012</v>
      </c>
      <c r="C114" s="1">
        <v>60</v>
      </c>
      <c r="D114" s="1" t="s">
        <v>28</v>
      </c>
      <c r="E114" s="1">
        <v>647</v>
      </c>
      <c r="F114" s="1">
        <f t="shared" si="2"/>
        <v>38820</v>
      </c>
    </row>
    <row r="115" spans="2:6" x14ac:dyDescent="0.3">
      <c r="B115" s="26" t="s">
        <v>497</v>
      </c>
      <c r="C115" s="1">
        <v>8</v>
      </c>
      <c r="D115" s="1" t="s">
        <v>28</v>
      </c>
      <c r="E115" s="1">
        <v>294</v>
      </c>
      <c r="F115" s="1">
        <f t="shared" si="2"/>
        <v>2352</v>
      </c>
    </row>
    <row r="116" spans="2:6" x14ac:dyDescent="0.3">
      <c r="B116" s="26" t="s">
        <v>498</v>
      </c>
      <c r="C116" s="1">
        <v>3</v>
      </c>
      <c r="D116" s="1" t="s">
        <v>28</v>
      </c>
      <c r="E116" s="1">
        <v>490</v>
      </c>
      <c r="F116" s="1">
        <f t="shared" si="2"/>
        <v>1470</v>
      </c>
    </row>
    <row r="117" spans="2:6" x14ac:dyDescent="0.3">
      <c r="B117" s="26" t="s">
        <v>499</v>
      </c>
      <c r="C117" s="1">
        <v>120</v>
      </c>
      <c r="D117" s="1" t="s">
        <v>308</v>
      </c>
      <c r="E117" s="1">
        <v>245</v>
      </c>
      <c r="F117" s="1">
        <f t="shared" si="2"/>
        <v>29400</v>
      </c>
    </row>
    <row r="118" spans="2:6" x14ac:dyDescent="0.3">
      <c r="B118" s="26" t="s">
        <v>500</v>
      </c>
      <c r="C118" s="1">
        <v>1</v>
      </c>
      <c r="D118" s="1" t="s">
        <v>87</v>
      </c>
      <c r="E118" s="1">
        <v>47040</v>
      </c>
      <c r="F118" s="1">
        <f t="shared" si="2"/>
        <v>47040</v>
      </c>
    </row>
    <row r="119" spans="2:6" x14ac:dyDescent="0.3">
      <c r="B119" s="26" t="s">
        <v>501</v>
      </c>
      <c r="C119" s="1">
        <v>10</v>
      </c>
      <c r="D119" s="1" t="s">
        <v>141</v>
      </c>
      <c r="E119" s="1">
        <v>235</v>
      </c>
      <c r="F119" s="1">
        <f t="shared" si="2"/>
        <v>2350</v>
      </c>
    </row>
    <row r="120" spans="2:6" x14ac:dyDescent="0.3">
      <c r="B120" s="64"/>
      <c r="C120" s="64"/>
      <c r="D120" s="64"/>
      <c r="E120" s="64"/>
      <c r="F120" s="64"/>
    </row>
    <row r="121" spans="2:6" x14ac:dyDescent="0.3">
      <c r="B121" s="64"/>
      <c r="C121" s="64"/>
      <c r="D121" s="64" t="s">
        <v>39</v>
      </c>
      <c r="E121" s="64"/>
      <c r="F121" s="1">
        <f>SUM(F108:F120)</f>
        <v>273288</v>
      </c>
    </row>
    <row r="122" spans="2:6" x14ac:dyDescent="0.3">
      <c r="B122" s="64"/>
      <c r="C122" s="64"/>
      <c r="D122" s="64" t="s">
        <v>187</v>
      </c>
      <c r="E122" s="64"/>
      <c r="F122" s="64">
        <f>F121*18/100</f>
        <v>49191.839999999997</v>
      </c>
    </row>
    <row r="123" spans="2:6" x14ac:dyDescent="0.3">
      <c r="B123" s="64"/>
      <c r="C123" s="64"/>
      <c r="D123" s="73" t="s">
        <v>991</v>
      </c>
      <c r="E123" s="64"/>
      <c r="F123" s="73">
        <f>SUM(F121:F122)</f>
        <v>322479.83999999997</v>
      </c>
    </row>
    <row r="126" spans="2:6" x14ac:dyDescent="0.3">
      <c r="B126" s="70" t="s">
        <v>1013</v>
      </c>
    </row>
    <row r="127" spans="2:6" x14ac:dyDescent="0.3">
      <c r="B127" s="70" t="s">
        <v>1014</v>
      </c>
    </row>
    <row r="128" spans="2:6" x14ac:dyDescent="0.3">
      <c r="B128" s="70" t="s">
        <v>1001</v>
      </c>
    </row>
    <row r="130" spans="2:6" ht="50.4" x14ac:dyDescent="0.3">
      <c r="B130" s="51" t="s">
        <v>401</v>
      </c>
      <c r="C130" s="1">
        <v>10</v>
      </c>
      <c r="D130" s="1" t="s">
        <v>28</v>
      </c>
      <c r="E130" s="1">
        <v>3200</v>
      </c>
      <c r="F130" s="1">
        <f>C130*E130</f>
        <v>32000</v>
      </c>
    </row>
    <row r="131" spans="2:6" x14ac:dyDescent="0.3">
      <c r="B131" s="74"/>
      <c r="C131" s="74"/>
      <c r="D131" s="74"/>
      <c r="E131" s="74"/>
      <c r="F131" s="74"/>
    </row>
    <row r="132" spans="2:6" x14ac:dyDescent="0.3">
      <c r="B132" s="74"/>
      <c r="C132" s="74"/>
      <c r="D132" s="64" t="s">
        <v>39</v>
      </c>
      <c r="E132" s="74"/>
      <c r="F132" s="64">
        <f>SUM(F130:F131)</f>
        <v>32000</v>
      </c>
    </row>
    <row r="133" spans="2:6" x14ac:dyDescent="0.3">
      <c r="B133" s="74"/>
      <c r="C133" s="74"/>
      <c r="D133" s="64" t="s">
        <v>599</v>
      </c>
      <c r="E133" s="74"/>
      <c r="F133" s="64">
        <v>0</v>
      </c>
    </row>
    <row r="134" spans="2:6" x14ac:dyDescent="0.3">
      <c r="B134" s="74"/>
      <c r="C134" s="74"/>
      <c r="D134" s="73" t="s">
        <v>991</v>
      </c>
      <c r="E134" s="74"/>
      <c r="F134" s="73">
        <f>SUM(F132:F133)</f>
        <v>32000</v>
      </c>
    </row>
    <row r="137" spans="2:6" x14ac:dyDescent="0.3">
      <c r="B137" s="70" t="s">
        <v>1015</v>
      </c>
    </row>
    <row r="138" spans="2:6" x14ac:dyDescent="0.3">
      <c r="B138" s="70" t="s">
        <v>1016</v>
      </c>
    </row>
    <row r="139" spans="2:6" x14ac:dyDescent="0.3">
      <c r="B139" s="70" t="s">
        <v>1001</v>
      </c>
    </row>
    <row r="141" spans="2:6" ht="25.2" x14ac:dyDescent="0.3">
      <c r="B141" s="79" t="s">
        <v>415</v>
      </c>
      <c r="C141" s="59">
        <v>1</v>
      </c>
      <c r="D141" s="59" t="s">
        <v>28</v>
      </c>
      <c r="E141" s="59">
        <v>22000</v>
      </c>
      <c r="F141" s="59">
        <f>C141*E141</f>
        <v>22000</v>
      </c>
    </row>
    <row r="142" spans="2:6" x14ac:dyDescent="0.3">
      <c r="B142" s="78" t="s">
        <v>419</v>
      </c>
      <c r="C142" s="59">
        <v>4</v>
      </c>
      <c r="D142" s="59" t="s">
        <v>28</v>
      </c>
      <c r="E142" s="59">
        <v>800</v>
      </c>
      <c r="F142" s="59">
        <f>C142*E142</f>
        <v>3200</v>
      </c>
    </row>
    <row r="143" spans="2:6" x14ac:dyDescent="0.3">
      <c r="B143" s="64"/>
      <c r="C143" s="64"/>
      <c r="D143" s="64"/>
      <c r="E143" s="64"/>
      <c r="F143" s="64"/>
    </row>
    <row r="144" spans="2:6" x14ac:dyDescent="0.3">
      <c r="B144" s="64"/>
      <c r="C144" s="64"/>
      <c r="D144" s="64" t="s">
        <v>39</v>
      </c>
      <c r="E144" s="64"/>
      <c r="F144" s="64">
        <f>SUM(F141:F143)</f>
        <v>25200</v>
      </c>
    </row>
    <row r="145" spans="2:6" x14ac:dyDescent="0.3">
      <c r="B145" s="64"/>
      <c r="C145" s="64"/>
      <c r="D145" s="64" t="s">
        <v>599</v>
      </c>
      <c r="E145" s="64"/>
      <c r="F145" s="64">
        <v>0</v>
      </c>
    </row>
    <row r="146" spans="2:6" x14ac:dyDescent="0.3">
      <c r="B146" s="64"/>
      <c r="C146" s="64"/>
      <c r="D146" s="73" t="s">
        <v>991</v>
      </c>
      <c r="E146" s="64"/>
      <c r="F146" s="73">
        <f>SUM(F144:F145)</f>
        <v>25200</v>
      </c>
    </row>
    <row r="149" spans="2:6" x14ac:dyDescent="0.3">
      <c r="B149" s="70" t="s">
        <v>1017</v>
      </c>
    </row>
    <row r="150" spans="2:6" x14ac:dyDescent="0.3">
      <c r="B150" s="70" t="s">
        <v>1016</v>
      </c>
    </row>
    <row r="151" spans="2:6" x14ac:dyDescent="0.3">
      <c r="B151" s="70" t="s">
        <v>1001</v>
      </c>
    </row>
    <row r="153" spans="2:6" ht="25.2" x14ac:dyDescent="0.3">
      <c r="B153" s="79" t="s">
        <v>420</v>
      </c>
      <c r="C153" s="59">
        <v>180</v>
      </c>
      <c r="D153" s="59" t="s">
        <v>302</v>
      </c>
      <c r="E153" s="59">
        <v>395</v>
      </c>
      <c r="F153" s="59">
        <f>C153*E153</f>
        <v>71100</v>
      </c>
    </row>
    <row r="154" spans="2:6" x14ac:dyDescent="0.3">
      <c r="B154" s="78" t="s">
        <v>424</v>
      </c>
      <c r="C154" s="59">
        <v>1</v>
      </c>
      <c r="D154" s="59" t="s">
        <v>87</v>
      </c>
      <c r="E154" s="59">
        <v>3900</v>
      </c>
      <c r="F154" s="59">
        <f>C154*E154</f>
        <v>3900</v>
      </c>
    </row>
    <row r="155" spans="2:6" x14ac:dyDescent="0.3">
      <c r="B155" s="64"/>
      <c r="C155" s="64"/>
      <c r="D155" s="64"/>
      <c r="E155" s="64"/>
      <c r="F155" s="64"/>
    </row>
    <row r="156" spans="2:6" x14ac:dyDescent="0.3">
      <c r="B156" s="64"/>
      <c r="C156" s="64"/>
      <c r="D156" s="64" t="s">
        <v>39</v>
      </c>
      <c r="E156" s="64"/>
      <c r="F156" s="64">
        <f>SUM(F153:F155)</f>
        <v>75000</v>
      </c>
    </row>
    <row r="157" spans="2:6" x14ac:dyDescent="0.3">
      <c r="B157" s="64"/>
      <c r="C157" s="64"/>
      <c r="D157" s="64" t="s">
        <v>599</v>
      </c>
      <c r="E157" s="64"/>
      <c r="F157" s="64">
        <v>0</v>
      </c>
    </row>
    <row r="158" spans="2:6" x14ac:dyDescent="0.3">
      <c r="B158" s="64"/>
      <c r="C158" s="64"/>
      <c r="D158" s="73" t="s">
        <v>991</v>
      </c>
      <c r="E158" s="64"/>
      <c r="F158" s="73">
        <f>SUM(F156:F157)</f>
        <v>75000</v>
      </c>
    </row>
    <row r="160" spans="2:6" x14ac:dyDescent="0.3">
      <c r="B160" s="70" t="s">
        <v>1018</v>
      </c>
    </row>
    <row r="161" spans="2:6" x14ac:dyDescent="0.3">
      <c r="B161" s="70" t="s">
        <v>1019</v>
      </c>
    </row>
    <row r="162" spans="2:6" x14ac:dyDescent="0.3">
      <c r="B162" s="70" t="s">
        <v>1001</v>
      </c>
    </row>
    <row r="164" spans="2:6" x14ac:dyDescent="0.3">
      <c r="B164" s="78" t="s">
        <v>425</v>
      </c>
      <c r="C164" s="59">
        <v>60</v>
      </c>
      <c r="D164" s="59" t="s">
        <v>28</v>
      </c>
      <c r="E164" s="59">
        <v>1191</v>
      </c>
      <c r="F164" s="59">
        <f>C164*E164</f>
        <v>71460</v>
      </c>
    </row>
    <row r="165" spans="2:6" x14ac:dyDescent="0.3">
      <c r="B165" s="79" t="s">
        <v>427</v>
      </c>
      <c r="C165" s="59">
        <v>12</v>
      </c>
      <c r="D165" s="59" t="s">
        <v>28</v>
      </c>
      <c r="E165" s="59">
        <v>4800</v>
      </c>
      <c r="F165" s="59">
        <f t="shared" ref="F165:F176" si="3">C165*E165</f>
        <v>57600</v>
      </c>
    </row>
    <row r="166" spans="2:6" x14ac:dyDescent="0.3">
      <c r="B166" s="79" t="s">
        <v>428</v>
      </c>
      <c r="C166" s="59">
        <v>10</v>
      </c>
      <c r="D166" s="59" t="s">
        <v>28</v>
      </c>
      <c r="E166" s="59">
        <v>1356</v>
      </c>
      <c r="F166" s="59">
        <f t="shared" si="3"/>
        <v>13560</v>
      </c>
    </row>
    <row r="167" spans="2:6" x14ac:dyDescent="0.3">
      <c r="B167" s="78" t="s">
        <v>429</v>
      </c>
      <c r="C167" s="59">
        <v>25</v>
      </c>
      <c r="D167" s="59" t="s">
        <v>28</v>
      </c>
      <c r="E167" s="59">
        <v>4800</v>
      </c>
      <c r="F167" s="59">
        <f t="shared" si="3"/>
        <v>120000</v>
      </c>
    </row>
    <row r="168" spans="2:6" x14ac:dyDescent="0.3">
      <c r="B168" s="79" t="s">
        <v>430</v>
      </c>
      <c r="C168" s="59">
        <v>10</v>
      </c>
      <c r="D168" s="59" t="s">
        <v>28</v>
      </c>
      <c r="E168" s="59">
        <v>2100</v>
      </c>
      <c r="F168" s="59">
        <f t="shared" si="3"/>
        <v>21000</v>
      </c>
    </row>
    <row r="169" spans="2:6" x14ac:dyDescent="0.3">
      <c r="B169" s="78" t="s">
        <v>431</v>
      </c>
      <c r="C169" s="59">
        <v>100</v>
      </c>
      <c r="D169" s="59" t="s">
        <v>28</v>
      </c>
      <c r="E169" s="59">
        <v>85</v>
      </c>
      <c r="F169" s="59">
        <f t="shared" si="3"/>
        <v>8500</v>
      </c>
    </row>
    <row r="170" spans="2:6" x14ac:dyDescent="0.3">
      <c r="B170" s="79" t="s">
        <v>432</v>
      </c>
      <c r="C170" s="59">
        <v>100</v>
      </c>
      <c r="D170" s="59" t="s">
        <v>28</v>
      </c>
      <c r="E170" s="59">
        <v>140</v>
      </c>
      <c r="F170" s="59">
        <f t="shared" si="3"/>
        <v>14000</v>
      </c>
    </row>
    <row r="171" spans="2:6" ht="25.2" x14ac:dyDescent="0.3">
      <c r="B171" s="79" t="s">
        <v>433</v>
      </c>
      <c r="C171" s="59">
        <v>15</v>
      </c>
      <c r="D171" s="59" t="s">
        <v>28</v>
      </c>
      <c r="E171" s="59">
        <v>2500</v>
      </c>
      <c r="F171" s="59">
        <f t="shared" si="3"/>
        <v>37500</v>
      </c>
    </row>
    <row r="172" spans="2:6" ht="25.2" x14ac:dyDescent="0.3">
      <c r="B172" s="79" t="s">
        <v>434</v>
      </c>
      <c r="C172" s="59">
        <v>5</v>
      </c>
      <c r="D172" s="59" t="s">
        <v>28</v>
      </c>
      <c r="E172" s="59">
        <v>3600</v>
      </c>
      <c r="F172" s="59">
        <f t="shared" si="3"/>
        <v>18000</v>
      </c>
    </row>
    <row r="173" spans="2:6" ht="25.2" x14ac:dyDescent="0.3">
      <c r="B173" s="79" t="s">
        <v>435</v>
      </c>
      <c r="C173" s="59">
        <v>5</v>
      </c>
      <c r="D173" s="59" t="s">
        <v>28</v>
      </c>
      <c r="E173" s="59">
        <v>2300</v>
      </c>
      <c r="F173" s="59">
        <f t="shared" si="3"/>
        <v>11500</v>
      </c>
    </row>
    <row r="174" spans="2:6" x14ac:dyDescent="0.3">
      <c r="B174" s="79" t="s">
        <v>436</v>
      </c>
      <c r="C174" s="59">
        <v>50</v>
      </c>
      <c r="D174" s="59" t="s">
        <v>28</v>
      </c>
      <c r="E174" s="59">
        <v>15</v>
      </c>
      <c r="F174" s="59">
        <f t="shared" si="3"/>
        <v>750</v>
      </c>
    </row>
    <row r="175" spans="2:6" x14ac:dyDescent="0.3">
      <c r="B175" s="79" t="s">
        <v>437</v>
      </c>
      <c r="C175" s="59">
        <v>20</v>
      </c>
      <c r="D175" s="59" t="s">
        <v>28</v>
      </c>
      <c r="E175" s="59">
        <v>80</v>
      </c>
      <c r="F175" s="59">
        <f t="shared" si="3"/>
        <v>1600</v>
      </c>
    </row>
    <row r="176" spans="2:6" x14ac:dyDescent="0.3">
      <c r="B176" s="78" t="s">
        <v>438</v>
      </c>
      <c r="C176" s="59">
        <v>10</v>
      </c>
      <c r="D176" s="59" t="s">
        <v>28</v>
      </c>
      <c r="E176" s="59">
        <v>1250</v>
      </c>
      <c r="F176" s="59">
        <f t="shared" si="3"/>
        <v>12500</v>
      </c>
    </row>
    <row r="177" spans="2:6" x14ac:dyDescent="0.3">
      <c r="B177" s="74"/>
      <c r="C177" s="74"/>
      <c r="D177" s="74"/>
      <c r="E177" s="74"/>
      <c r="F177" s="74"/>
    </row>
    <row r="178" spans="2:6" x14ac:dyDescent="0.3">
      <c r="B178" s="74"/>
      <c r="C178" s="74"/>
      <c r="D178" s="64" t="s">
        <v>39</v>
      </c>
      <c r="E178" s="74"/>
      <c r="F178" s="59">
        <f>SUM(F164:F177)</f>
        <v>387970</v>
      </c>
    </row>
    <row r="179" spans="2:6" x14ac:dyDescent="0.3">
      <c r="B179" s="74"/>
      <c r="C179" s="74"/>
      <c r="D179" s="64" t="s">
        <v>187</v>
      </c>
      <c r="E179" s="74"/>
      <c r="F179" s="64">
        <f>F178*18/100</f>
        <v>69834.600000000006</v>
      </c>
    </row>
    <row r="180" spans="2:6" x14ac:dyDescent="0.3">
      <c r="B180" s="74"/>
      <c r="C180" s="74"/>
      <c r="D180" s="73" t="s">
        <v>991</v>
      </c>
      <c r="E180" s="74"/>
      <c r="F180" s="73">
        <f>SUM(F178:F179)</f>
        <v>457804.6</v>
      </c>
    </row>
    <row r="183" spans="2:6" x14ac:dyDescent="0.3">
      <c r="B183" s="70" t="s">
        <v>1020</v>
      </c>
    </row>
    <row r="184" spans="2:6" x14ac:dyDescent="0.3">
      <c r="B184" s="70" t="s">
        <v>1021</v>
      </c>
    </row>
    <row r="185" spans="2:6" x14ac:dyDescent="0.3">
      <c r="B185" s="70" t="s">
        <v>1001</v>
      </c>
    </row>
    <row r="187" spans="2:6" ht="37.799999999999997" x14ac:dyDescent="0.3">
      <c r="B187" s="79" t="s">
        <v>440</v>
      </c>
      <c r="C187" s="59">
        <v>15</v>
      </c>
      <c r="D187" s="59" t="s">
        <v>60</v>
      </c>
      <c r="E187" s="59">
        <v>55</v>
      </c>
      <c r="F187" s="59">
        <f>C187*E187</f>
        <v>825</v>
      </c>
    </row>
    <row r="188" spans="2:6" ht="25.2" x14ac:dyDescent="0.3">
      <c r="B188" s="79" t="s">
        <v>442</v>
      </c>
      <c r="C188" s="59">
        <v>30</v>
      </c>
      <c r="D188" s="59" t="s">
        <v>28</v>
      </c>
      <c r="E188" s="59">
        <v>15</v>
      </c>
      <c r="F188" s="59">
        <f t="shared" ref="F188:F200" si="4">C188*E188</f>
        <v>450</v>
      </c>
    </row>
    <row r="189" spans="2:6" ht="25.2" x14ac:dyDescent="0.3">
      <c r="B189" s="79" t="s">
        <v>443</v>
      </c>
      <c r="C189" s="59">
        <v>85</v>
      </c>
      <c r="D189" s="59" t="s">
        <v>28</v>
      </c>
      <c r="E189" s="59">
        <v>15</v>
      </c>
      <c r="F189" s="59">
        <f t="shared" si="4"/>
        <v>1275</v>
      </c>
    </row>
    <row r="190" spans="2:6" ht="25.2" x14ac:dyDescent="0.3">
      <c r="B190" s="79" t="s">
        <v>444</v>
      </c>
      <c r="C190" s="59">
        <v>15</v>
      </c>
      <c r="D190" s="59" t="s">
        <v>28</v>
      </c>
      <c r="E190" s="59">
        <v>175</v>
      </c>
      <c r="F190" s="59">
        <f t="shared" si="4"/>
        <v>2625</v>
      </c>
    </row>
    <row r="191" spans="2:6" ht="25.2" x14ac:dyDescent="0.3">
      <c r="B191" s="79" t="s">
        <v>445</v>
      </c>
      <c r="C191" s="59">
        <v>20</v>
      </c>
      <c r="D191" s="59" t="s">
        <v>28</v>
      </c>
      <c r="E191" s="59">
        <v>1300</v>
      </c>
      <c r="F191" s="59">
        <f t="shared" si="4"/>
        <v>26000</v>
      </c>
    </row>
    <row r="192" spans="2:6" ht="37.799999999999997" x14ac:dyDescent="0.3">
      <c r="B192" s="79" t="s">
        <v>446</v>
      </c>
      <c r="C192" s="59">
        <v>140</v>
      </c>
      <c r="D192" s="59" t="s">
        <v>28</v>
      </c>
      <c r="E192" s="59">
        <v>280</v>
      </c>
      <c r="F192" s="59">
        <f t="shared" si="4"/>
        <v>39200</v>
      </c>
    </row>
    <row r="193" spans="2:6" ht="25.2" x14ac:dyDescent="0.3">
      <c r="B193" s="79" t="s">
        <v>447</v>
      </c>
      <c r="C193" s="59">
        <v>70</v>
      </c>
      <c r="D193" s="59" t="s">
        <v>28</v>
      </c>
      <c r="E193" s="59">
        <v>18</v>
      </c>
      <c r="F193" s="59">
        <f t="shared" si="4"/>
        <v>1260</v>
      </c>
    </row>
    <row r="194" spans="2:6" ht="25.2" x14ac:dyDescent="0.3">
      <c r="B194" s="79" t="s">
        <v>448</v>
      </c>
      <c r="C194" s="59">
        <v>70</v>
      </c>
      <c r="D194" s="59" t="s">
        <v>28</v>
      </c>
      <c r="E194" s="59">
        <v>18</v>
      </c>
      <c r="F194" s="59">
        <f t="shared" si="4"/>
        <v>1260</v>
      </c>
    </row>
    <row r="195" spans="2:6" ht="25.2" x14ac:dyDescent="0.3">
      <c r="B195" s="79" t="s">
        <v>449</v>
      </c>
      <c r="C195" s="59">
        <v>2</v>
      </c>
      <c r="D195" s="59" t="s">
        <v>53</v>
      </c>
      <c r="E195" s="59">
        <v>490</v>
      </c>
      <c r="F195" s="59">
        <f t="shared" si="4"/>
        <v>980</v>
      </c>
    </row>
    <row r="196" spans="2:6" ht="37.799999999999997" x14ac:dyDescent="0.3">
      <c r="B196" s="79" t="s">
        <v>450</v>
      </c>
      <c r="C196" s="59">
        <v>12</v>
      </c>
      <c r="D196" s="59" t="s">
        <v>60</v>
      </c>
      <c r="E196" s="59">
        <v>82</v>
      </c>
      <c r="F196" s="59">
        <f t="shared" si="4"/>
        <v>984</v>
      </c>
    </row>
    <row r="197" spans="2:6" ht="25.2" x14ac:dyDescent="0.3">
      <c r="B197" s="79" t="s">
        <v>451</v>
      </c>
      <c r="C197" s="59">
        <v>90</v>
      </c>
      <c r="D197" s="59" t="s">
        <v>60</v>
      </c>
      <c r="E197" s="59">
        <v>102</v>
      </c>
      <c r="F197" s="59">
        <f t="shared" si="4"/>
        <v>9180</v>
      </c>
    </row>
    <row r="198" spans="2:6" ht="63" x14ac:dyDescent="0.3">
      <c r="B198" s="79" t="s">
        <v>452</v>
      </c>
      <c r="C198" s="59">
        <v>1</v>
      </c>
      <c r="D198" s="59" t="s">
        <v>87</v>
      </c>
      <c r="E198" s="59">
        <v>7000</v>
      </c>
      <c r="F198" s="59">
        <f t="shared" si="4"/>
        <v>7000</v>
      </c>
    </row>
    <row r="199" spans="2:6" ht="25.2" x14ac:dyDescent="0.3">
      <c r="B199" s="79" t="s">
        <v>454</v>
      </c>
      <c r="C199" s="59">
        <v>1</v>
      </c>
      <c r="D199" s="59" t="s">
        <v>87</v>
      </c>
      <c r="E199" s="59">
        <v>2800</v>
      </c>
      <c r="F199" s="59">
        <f t="shared" si="4"/>
        <v>2800</v>
      </c>
    </row>
    <row r="200" spans="2:6" ht="25.2" x14ac:dyDescent="0.3">
      <c r="B200" s="79" t="s">
        <v>455</v>
      </c>
      <c r="C200" s="59">
        <v>30</v>
      </c>
      <c r="D200" s="59" t="s">
        <v>28</v>
      </c>
      <c r="E200" s="59">
        <v>22</v>
      </c>
      <c r="F200" s="59">
        <f t="shared" si="4"/>
        <v>660</v>
      </c>
    </row>
    <row r="201" spans="2:6" x14ac:dyDescent="0.3">
      <c r="B201" s="80"/>
      <c r="C201" s="74"/>
      <c r="D201" s="74"/>
      <c r="E201" s="74"/>
      <c r="F201" s="74"/>
    </row>
    <row r="202" spans="2:6" x14ac:dyDescent="0.3">
      <c r="B202" s="80"/>
      <c r="C202" s="74"/>
      <c r="D202" s="64" t="s">
        <v>39</v>
      </c>
      <c r="E202" s="74"/>
      <c r="F202" s="59">
        <f>SUM(F187:F201)</f>
        <v>94499</v>
      </c>
    </row>
    <row r="203" spans="2:6" x14ac:dyDescent="0.3">
      <c r="B203" s="80"/>
      <c r="C203" s="74"/>
      <c r="D203" s="64" t="s">
        <v>599</v>
      </c>
      <c r="E203" s="74"/>
      <c r="F203" s="64">
        <v>0</v>
      </c>
    </row>
    <row r="204" spans="2:6" x14ac:dyDescent="0.3">
      <c r="B204" s="74"/>
      <c r="C204" s="74"/>
      <c r="D204" s="73" t="s">
        <v>991</v>
      </c>
      <c r="E204" s="74"/>
      <c r="F204" s="73">
        <f>SUM(F202:F203)</f>
        <v>94499</v>
      </c>
    </row>
    <row r="207" spans="2:6" x14ac:dyDescent="0.3">
      <c r="B207" s="70" t="s">
        <v>1022</v>
      </c>
    </row>
    <row r="208" spans="2:6" x14ac:dyDescent="0.3">
      <c r="B208" s="70" t="s">
        <v>1021</v>
      </c>
    </row>
    <row r="209" spans="2:6" x14ac:dyDescent="0.3">
      <c r="B209" s="70" t="s">
        <v>1023</v>
      </c>
    </row>
    <row r="211" spans="2:6" ht="37.799999999999997" x14ac:dyDescent="0.3">
      <c r="B211" s="51" t="s">
        <v>457</v>
      </c>
      <c r="C211" s="1">
        <v>1</v>
      </c>
      <c r="D211" s="1" t="s">
        <v>87</v>
      </c>
      <c r="E211" s="1">
        <v>26850</v>
      </c>
      <c r="F211" s="1">
        <f>C211*E211</f>
        <v>26850</v>
      </c>
    </row>
    <row r="212" spans="2:6" x14ac:dyDescent="0.3">
      <c r="B212" s="64"/>
      <c r="C212" s="64"/>
      <c r="D212" s="64"/>
      <c r="E212" s="64"/>
      <c r="F212" s="64"/>
    </row>
    <row r="213" spans="2:6" x14ac:dyDescent="0.3">
      <c r="B213" s="64"/>
      <c r="C213" s="64"/>
      <c r="D213" s="64" t="s">
        <v>39</v>
      </c>
      <c r="E213" s="64"/>
      <c r="F213" s="64">
        <f>SUM(F211:F212)</f>
        <v>26850</v>
      </c>
    </row>
    <row r="214" spans="2:6" x14ac:dyDescent="0.3">
      <c r="B214" s="64"/>
      <c r="C214" s="64"/>
      <c r="D214" s="64" t="s">
        <v>599</v>
      </c>
      <c r="E214" s="64"/>
      <c r="F214" s="64">
        <v>0</v>
      </c>
    </row>
    <row r="215" spans="2:6" x14ac:dyDescent="0.3">
      <c r="B215" s="64"/>
      <c r="C215" s="64"/>
      <c r="D215" s="73" t="s">
        <v>991</v>
      </c>
      <c r="E215" s="64"/>
      <c r="F215" s="73">
        <f>SUM(F213:F214)</f>
        <v>26850</v>
      </c>
    </row>
    <row r="218" spans="2:6" x14ac:dyDescent="0.3">
      <c r="B218" s="70" t="s">
        <v>1024</v>
      </c>
    </row>
    <row r="219" spans="2:6" x14ac:dyDescent="0.3">
      <c r="B219" s="70" t="s">
        <v>1025</v>
      </c>
    </row>
    <row r="220" spans="2:6" x14ac:dyDescent="0.3">
      <c r="B220" s="70" t="s">
        <v>1001</v>
      </c>
    </row>
    <row r="222" spans="2:6" x14ac:dyDescent="0.3">
      <c r="B222" s="51" t="s">
        <v>459</v>
      </c>
      <c r="C222" s="1">
        <v>750</v>
      </c>
      <c r="D222" s="1" t="s">
        <v>60</v>
      </c>
      <c r="E222" s="1">
        <v>95</v>
      </c>
      <c r="F222" s="1">
        <f t="shared" ref="F222:F230" si="5">C222*E222</f>
        <v>71250</v>
      </c>
    </row>
    <row r="223" spans="2:6" ht="25.2" x14ac:dyDescent="0.3">
      <c r="B223" s="51" t="s">
        <v>461</v>
      </c>
      <c r="C223" s="1">
        <v>750</v>
      </c>
      <c r="D223" s="1" t="s">
        <v>60</v>
      </c>
      <c r="E223" s="1">
        <v>24</v>
      </c>
      <c r="F223" s="1">
        <f t="shared" si="5"/>
        <v>18000</v>
      </c>
    </row>
    <row r="224" spans="2:6" ht="25.2" x14ac:dyDescent="0.3">
      <c r="B224" s="51" t="s">
        <v>464</v>
      </c>
      <c r="C224" s="1">
        <v>750</v>
      </c>
      <c r="D224" s="1" t="s">
        <v>60</v>
      </c>
      <c r="E224" s="1">
        <v>35</v>
      </c>
      <c r="F224" s="1">
        <f t="shared" si="5"/>
        <v>26250</v>
      </c>
    </row>
    <row r="225" spans="2:6" x14ac:dyDescent="0.3">
      <c r="B225" s="26" t="s">
        <v>466</v>
      </c>
      <c r="C225" s="1">
        <v>500</v>
      </c>
      <c r="D225" s="1" t="s">
        <v>111</v>
      </c>
      <c r="E225" s="1">
        <v>83</v>
      </c>
      <c r="F225" s="1">
        <f t="shared" si="5"/>
        <v>41500</v>
      </c>
    </row>
    <row r="226" spans="2:6" x14ac:dyDescent="0.3">
      <c r="B226" s="26" t="s">
        <v>467</v>
      </c>
      <c r="C226" s="1">
        <v>500</v>
      </c>
      <c r="D226" s="1" t="s">
        <v>111</v>
      </c>
      <c r="E226" s="1">
        <v>65</v>
      </c>
      <c r="F226" s="1">
        <f t="shared" si="5"/>
        <v>32500</v>
      </c>
    </row>
    <row r="227" spans="2:6" x14ac:dyDescent="0.3">
      <c r="B227" s="26" t="s">
        <v>468</v>
      </c>
      <c r="C227" s="1">
        <v>900</v>
      </c>
      <c r="D227" s="1" t="s">
        <v>111</v>
      </c>
      <c r="E227" s="1">
        <v>24</v>
      </c>
      <c r="F227" s="1">
        <f t="shared" si="5"/>
        <v>21600</v>
      </c>
    </row>
    <row r="228" spans="2:6" ht="25.2" x14ac:dyDescent="0.3">
      <c r="B228" s="51" t="s">
        <v>469</v>
      </c>
      <c r="C228" s="1">
        <v>1000</v>
      </c>
      <c r="D228" s="1" t="s">
        <v>111</v>
      </c>
      <c r="E228" s="1">
        <v>147</v>
      </c>
      <c r="F228" s="1">
        <f t="shared" si="5"/>
        <v>147000</v>
      </c>
    </row>
    <row r="229" spans="2:6" x14ac:dyDescent="0.3">
      <c r="B229" s="26" t="s">
        <v>470</v>
      </c>
      <c r="C229" s="1">
        <v>250</v>
      </c>
      <c r="D229" s="1" t="s">
        <v>252</v>
      </c>
      <c r="E229" s="1">
        <v>110</v>
      </c>
      <c r="F229" s="1">
        <f t="shared" si="5"/>
        <v>27500</v>
      </c>
    </row>
    <row r="230" spans="2:6" ht="25.2" x14ac:dyDescent="0.3">
      <c r="B230" s="51" t="s">
        <v>471</v>
      </c>
      <c r="C230" s="1">
        <v>26</v>
      </c>
      <c r="D230" s="1" t="s">
        <v>28</v>
      </c>
      <c r="E230" s="1">
        <v>707.7</v>
      </c>
      <c r="F230" s="1">
        <f t="shared" si="5"/>
        <v>18400.2</v>
      </c>
    </row>
    <row r="231" spans="2:6" x14ac:dyDescent="0.3">
      <c r="B231" s="80"/>
      <c r="C231" s="74"/>
      <c r="D231" s="74"/>
      <c r="E231" s="74"/>
      <c r="F231" s="74"/>
    </row>
    <row r="232" spans="2:6" x14ac:dyDescent="0.3">
      <c r="B232" s="74"/>
      <c r="C232" s="74"/>
      <c r="D232" s="64" t="s">
        <v>39</v>
      </c>
      <c r="E232" s="74"/>
      <c r="F232" s="1">
        <f>SUM(F222:F231)</f>
        <v>404000.2</v>
      </c>
    </row>
    <row r="233" spans="2:6" x14ac:dyDescent="0.3">
      <c r="B233" s="74"/>
      <c r="C233" s="74"/>
      <c r="D233" s="64" t="s">
        <v>599</v>
      </c>
      <c r="E233" s="74"/>
      <c r="F233" s="64">
        <v>0</v>
      </c>
    </row>
    <row r="234" spans="2:6" x14ac:dyDescent="0.3">
      <c r="B234" s="74"/>
      <c r="C234" s="74"/>
      <c r="D234" s="73" t="s">
        <v>991</v>
      </c>
      <c r="E234" s="74"/>
      <c r="F234" s="73">
        <f>SUM(F232:F233)</f>
        <v>404000.2</v>
      </c>
    </row>
    <row r="237" spans="2:6" x14ac:dyDescent="0.3">
      <c r="B237" s="70" t="s">
        <v>1026</v>
      </c>
    </row>
    <row r="238" spans="2:6" x14ac:dyDescent="0.3">
      <c r="B238" s="70" t="s">
        <v>1027</v>
      </c>
    </row>
    <row r="239" spans="2:6" x14ac:dyDescent="0.3">
      <c r="B239" s="70" t="s">
        <v>1001</v>
      </c>
    </row>
    <row r="241" spans="2:6" x14ac:dyDescent="0.3">
      <c r="B241" s="26" t="s">
        <v>473</v>
      </c>
      <c r="C241" s="1">
        <v>500</v>
      </c>
      <c r="D241" s="1" t="s">
        <v>60</v>
      </c>
      <c r="E241" s="1">
        <v>75</v>
      </c>
      <c r="F241" s="1">
        <f t="shared" ref="F241:F244" si="6">C241*E241</f>
        <v>37500</v>
      </c>
    </row>
    <row r="242" spans="2:6" x14ac:dyDescent="0.3">
      <c r="B242" s="51" t="s">
        <v>475</v>
      </c>
      <c r="C242" s="1">
        <v>95</v>
      </c>
      <c r="D242" s="1" t="s">
        <v>28</v>
      </c>
      <c r="E242" s="1">
        <v>250</v>
      </c>
      <c r="F242" s="1">
        <f t="shared" si="6"/>
        <v>23750</v>
      </c>
    </row>
    <row r="243" spans="2:6" x14ac:dyDescent="0.3">
      <c r="B243" s="26" t="s">
        <v>476</v>
      </c>
      <c r="C243" s="1">
        <v>500</v>
      </c>
      <c r="D243" s="1" t="s">
        <v>28</v>
      </c>
      <c r="E243" s="1">
        <v>45</v>
      </c>
      <c r="F243" s="1">
        <f t="shared" si="6"/>
        <v>22500</v>
      </c>
    </row>
    <row r="244" spans="2:6" x14ac:dyDescent="0.3">
      <c r="B244" s="51" t="s">
        <v>477</v>
      </c>
      <c r="C244" s="1">
        <v>500</v>
      </c>
      <c r="D244" s="1" t="s">
        <v>28</v>
      </c>
      <c r="E244" s="1">
        <v>75</v>
      </c>
      <c r="F244" s="1">
        <f t="shared" si="6"/>
        <v>37500</v>
      </c>
    </row>
    <row r="245" spans="2:6" x14ac:dyDescent="0.3">
      <c r="B245" s="74"/>
      <c r="C245" s="74"/>
      <c r="D245" s="74"/>
      <c r="E245" s="74"/>
      <c r="F245" s="74"/>
    </row>
    <row r="246" spans="2:6" x14ac:dyDescent="0.3">
      <c r="B246" s="74"/>
      <c r="C246" s="74"/>
      <c r="D246" s="64" t="s">
        <v>39</v>
      </c>
      <c r="E246" s="74"/>
      <c r="F246" s="1">
        <f>SUM(F241:F245)</f>
        <v>121250</v>
      </c>
    </row>
    <row r="247" spans="2:6" x14ac:dyDescent="0.3">
      <c r="B247" s="74"/>
      <c r="C247" s="74"/>
      <c r="D247" s="64" t="s">
        <v>599</v>
      </c>
      <c r="E247" s="74"/>
      <c r="F247" s="64">
        <v>0</v>
      </c>
    </row>
    <row r="248" spans="2:6" x14ac:dyDescent="0.3">
      <c r="B248" s="74"/>
      <c r="C248" s="74"/>
      <c r="D248" s="73" t="s">
        <v>991</v>
      </c>
      <c r="E248" s="74"/>
      <c r="F248" s="73">
        <f>SUM(F246:F247)</f>
        <v>121250</v>
      </c>
    </row>
    <row r="251" spans="2:6" x14ac:dyDescent="0.3">
      <c r="B251" s="70" t="s">
        <v>1028</v>
      </c>
    </row>
    <row r="252" spans="2:6" x14ac:dyDescent="0.3">
      <c r="B252" s="70" t="s">
        <v>1027</v>
      </c>
    </row>
    <row r="253" spans="2:6" x14ac:dyDescent="0.3">
      <c r="B253" s="70" t="s">
        <v>1001</v>
      </c>
    </row>
    <row r="255" spans="2:6" ht="50.4" x14ac:dyDescent="0.3">
      <c r="B255" s="51" t="s">
        <v>479</v>
      </c>
      <c r="C255" s="1">
        <v>1</v>
      </c>
      <c r="D255" s="1" t="s">
        <v>28</v>
      </c>
      <c r="E255" s="1">
        <v>81000</v>
      </c>
      <c r="F255" s="1">
        <f>C255*E255</f>
        <v>81000</v>
      </c>
    </row>
    <row r="256" spans="2:6" x14ac:dyDescent="0.3">
      <c r="B256" s="74"/>
      <c r="C256" s="74"/>
      <c r="D256" s="74"/>
      <c r="E256" s="74"/>
      <c r="F256" s="74"/>
    </row>
    <row r="257" spans="2:6" x14ac:dyDescent="0.3">
      <c r="B257" s="74"/>
      <c r="C257" s="74"/>
      <c r="D257" s="64" t="s">
        <v>39</v>
      </c>
      <c r="E257" s="74"/>
      <c r="F257" s="64">
        <f>SUM(F255:F256)</f>
        <v>81000</v>
      </c>
    </row>
    <row r="258" spans="2:6" x14ac:dyDescent="0.3">
      <c r="B258" s="74"/>
      <c r="C258" s="74"/>
      <c r="D258" s="64" t="s">
        <v>599</v>
      </c>
      <c r="E258" s="74"/>
      <c r="F258" s="64">
        <v>0</v>
      </c>
    </row>
    <row r="259" spans="2:6" x14ac:dyDescent="0.3">
      <c r="B259" s="74"/>
      <c r="C259" s="74"/>
      <c r="D259" s="73" t="s">
        <v>991</v>
      </c>
      <c r="E259" s="74"/>
      <c r="F259" s="73">
        <f>SUM(F257:F258)</f>
        <v>81000</v>
      </c>
    </row>
  </sheetData>
  <printOptions horizontalCentered="1"/>
  <pageMargins left="0.7" right="0.7" top="0.25" bottom="0.25" header="0.3" footer="0.3"/>
  <pageSetup scale="87" orientation="portrait" horizontalDpi="300" verticalDpi="300" r:id="rId1"/>
  <rowBreaks count="4" manualBreakCount="4">
    <brk id="46" max="16383" man="1"/>
    <brk id="148" max="16383" man="1"/>
    <brk id="192" max="5" man="1"/>
    <brk id="23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AC5B-FFCE-4F9E-ABF1-CF99980D086E}">
  <dimension ref="A1:V7"/>
  <sheetViews>
    <sheetView workbookViewId="0">
      <selection activeCell="F12" sqref="F12"/>
    </sheetView>
  </sheetViews>
  <sheetFormatPr defaultRowHeight="14.4" x14ac:dyDescent="0.3"/>
  <cols>
    <col min="1" max="1" width="5" bestFit="1" customWidth="1"/>
    <col min="2" max="2" width="13.44140625" bestFit="1" customWidth="1"/>
    <col min="3" max="3" width="9.5546875" bestFit="1" customWidth="1"/>
    <col min="4" max="4" width="28.6640625" bestFit="1" customWidth="1"/>
    <col min="5" max="5" width="11.6640625" customWidth="1"/>
    <col min="6" max="6" width="53.33203125" bestFit="1" customWidth="1"/>
    <col min="7" max="7" width="5.33203125" bestFit="1" customWidth="1"/>
    <col min="8" max="8" width="4.33203125" bestFit="1" customWidth="1"/>
    <col min="9" max="9" width="9.6640625" bestFit="1" customWidth="1"/>
    <col min="10" max="10" width="9.5546875" bestFit="1" customWidth="1"/>
    <col min="11" max="13" width="7.5546875" bestFit="1" customWidth="1"/>
    <col min="14" max="14" width="9.33203125" bestFit="1" customWidth="1"/>
    <col min="15" max="15" width="9.109375" bestFit="1" customWidth="1"/>
    <col min="16" max="16" width="9.88671875" bestFit="1" customWidth="1"/>
    <col min="17" max="17" width="12.5546875" bestFit="1" customWidth="1"/>
    <col min="18" max="18" width="4.44140625" bestFit="1" customWidth="1"/>
    <col min="19" max="19" width="10.6640625" bestFit="1" customWidth="1"/>
    <col min="20" max="20" width="10.109375" bestFit="1" customWidth="1"/>
    <col min="21" max="21" width="13.6640625" bestFit="1" customWidth="1"/>
    <col min="22" max="22" width="9.33203125" bestFit="1" customWidth="1"/>
  </cols>
  <sheetData>
    <row r="1" spans="1:22" ht="27.6" x14ac:dyDescent="0.3">
      <c r="A1" s="15" t="s">
        <v>3</v>
      </c>
      <c r="B1" s="15" t="s">
        <v>4</v>
      </c>
      <c r="C1" s="15" t="s">
        <v>5</v>
      </c>
      <c r="D1" s="15" t="s">
        <v>6</v>
      </c>
      <c r="E1" s="15" t="s">
        <v>7</v>
      </c>
      <c r="F1" s="15" t="s">
        <v>8</v>
      </c>
      <c r="G1" s="15" t="s">
        <v>9</v>
      </c>
      <c r="H1" s="15" t="s">
        <v>10</v>
      </c>
      <c r="I1" s="15" t="s">
        <v>11</v>
      </c>
      <c r="J1" s="15" t="s">
        <v>12</v>
      </c>
      <c r="K1" s="15" t="s">
        <v>13</v>
      </c>
      <c r="L1" s="15" t="s">
        <v>14</v>
      </c>
      <c r="M1" s="15" t="s">
        <v>15</v>
      </c>
      <c r="N1" s="15" t="s">
        <v>16</v>
      </c>
      <c r="O1" s="15" t="s">
        <v>17</v>
      </c>
      <c r="P1" s="15" t="s">
        <v>18</v>
      </c>
      <c r="Q1" s="15" t="s">
        <v>19</v>
      </c>
      <c r="R1" s="15" t="s">
        <v>20</v>
      </c>
      <c r="S1" s="15" t="s">
        <v>21</v>
      </c>
      <c r="T1" s="15" t="s">
        <v>22</v>
      </c>
      <c r="U1" s="15" t="s">
        <v>23</v>
      </c>
      <c r="V1" s="134" t="s">
        <v>24</v>
      </c>
    </row>
    <row r="2" spans="1:22" ht="25.2" x14ac:dyDescent="0.3">
      <c r="A2" s="221">
        <v>1</v>
      </c>
      <c r="B2" s="221" t="s">
        <v>1573</v>
      </c>
      <c r="C2" s="224">
        <v>45816</v>
      </c>
      <c r="D2" s="149" t="s">
        <v>1574</v>
      </c>
      <c r="E2" s="149"/>
      <c r="F2" s="103" t="s">
        <v>1575</v>
      </c>
      <c r="G2" s="85">
        <v>1</v>
      </c>
      <c r="H2" s="85" t="s">
        <v>225</v>
      </c>
      <c r="I2" s="85">
        <v>847200</v>
      </c>
      <c r="J2" s="85">
        <f>G2*I2</f>
        <v>847200</v>
      </c>
      <c r="K2" s="85"/>
      <c r="L2" s="85"/>
      <c r="M2" s="85" t="s">
        <v>1576</v>
      </c>
      <c r="N2" s="85" t="s">
        <v>1565</v>
      </c>
      <c r="O2" s="85"/>
      <c r="P2" s="85"/>
      <c r="Q2" s="85">
        <f>O2*P2</f>
        <v>0</v>
      </c>
      <c r="R2" s="104">
        <v>0.18</v>
      </c>
      <c r="S2" s="85">
        <f>Q2*R2</f>
        <v>0</v>
      </c>
      <c r="T2" s="85">
        <f>Q2+S2</f>
        <v>0</v>
      </c>
      <c r="U2" s="16" t="s">
        <v>1652</v>
      </c>
      <c r="V2" s="19">
        <v>45909</v>
      </c>
    </row>
    <row r="3" spans="1:22" x14ac:dyDescent="0.3">
      <c r="A3" s="222"/>
      <c r="B3" s="222"/>
      <c r="C3" s="225"/>
      <c r="D3" s="150"/>
      <c r="E3" s="150"/>
      <c r="F3" s="85"/>
      <c r="G3" s="85"/>
      <c r="H3" s="85"/>
      <c r="I3" s="85"/>
      <c r="J3" s="85"/>
      <c r="K3" s="85"/>
      <c r="L3" s="85"/>
      <c r="M3" s="85"/>
      <c r="N3" s="85"/>
      <c r="O3" s="85"/>
      <c r="P3" s="85"/>
      <c r="Q3" s="85">
        <f t="shared" ref="Q3:Q4" si="0">O3*P3</f>
        <v>0</v>
      </c>
      <c r="R3" s="104">
        <v>0.18</v>
      </c>
      <c r="S3" s="85">
        <f t="shared" ref="S3:S4" si="1">Q3*R3</f>
        <v>0</v>
      </c>
      <c r="T3" s="85">
        <f t="shared" ref="T3:T4" si="2">Q3+S3</f>
        <v>0</v>
      </c>
      <c r="U3" s="85"/>
      <c r="V3" s="85"/>
    </row>
    <row r="4" spans="1:22" x14ac:dyDescent="0.3">
      <c r="A4" s="223"/>
      <c r="B4" s="223"/>
      <c r="C4" s="226"/>
      <c r="D4" s="151"/>
      <c r="E4" s="151"/>
      <c r="F4" s="85"/>
      <c r="G4" s="85"/>
      <c r="H4" s="85"/>
      <c r="I4" s="85"/>
      <c r="J4" s="85"/>
      <c r="K4" s="85"/>
      <c r="L4" s="85"/>
      <c r="M4" s="85"/>
      <c r="N4" s="85"/>
      <c r="O4" s="85"/>
      <c r="P4" s="85"/>
      <c r="Q4" s="85">
        <f t="shared" si="0"/>
        <v>0</v>
      </c>
      <c r="R4" s="104">
        <v>0.18</v>
      </c>
      <c r="S4" s="85">
        <f t="shared" si="1"/>
        <v>0</v>
      </c>
      <c r="T4" s="85">
        <f t="shared" si="2"/>
        <v>0</v>
      </c>
      <c r="U4" s="85"/>
      <c r="V4" s="85"/>
    </row>
    <row r="5" spans="1:22" x14ac:dyDescent="0.3">
      <c r="A5" s="1"/>
      <c r="B5" s="85"/>
      <c r="C5" s="1"/>
      <c r="D5" s="1"/>
      <c r="E5" s="1"/>
      <c r="F5" s="124" t="s">
        <v>39</v>
      </c>
      <c r="G5" s="133"/>
      <c r="H5" s="133"/>
      <c r="I5" s="133"/>
      <c r="J5" s="133">
        <f>SUM(J2:J4)</f>
        <v>847200</v>
      </c>
      <c r="K5" s="133"/>
      <c r="L5" s="133"/>
      <c r="M5" s="133"/>
      <c r="N5" s="133"/>
      <c r="O5" s="133"/>
      <c r="P5" s="133"/>
      <c r="Q5" s="133"/>
      <c r="R5" s="133"/>
      <c r="S5" s="133"/>
      <c r="T5" s="133"/>
      <c r="U5" s="133"/>
      <c r="V5" s="133"/>
    </row>
    <row r="6" spans="1:22" x14ac:dyDescent="0.3">
      <c r="A6" s="1"/>
      <c r="B6" s="1"/>
      <c r="C6" s="1"/>
      <c r="D6" s="1"/>
      <c r="E6" s="1"/>
      <c r="F6" s="124" t="s">
        <v>599</v>
      </c>
      <c r="G6" s="133"/>
      <c r="H6" s="133"/>
      <c r="I6" s="133"/>
      <c r="J6" s="133">
        <f>J5*18/100</f>
        <v>152496</v>
      </c>
      <c r="K6" s="133"/>
      <c r="L6" s="133"/>
      <c r="M6" s="133"/>
      <c r="N6" s="133"/>
      <c r="O6" s="133"/>
      <c r="P6" s="133"/>
      <c r="Q6" s="133"/>
      <c r="R6" s="133"/>
      <c r="S6" s="133"/>
      <c r="T6" s="133"/>
      <c r="U6" s="133"/>
      <c r="V6" s="133"/>
    </row>
    <row r="7" spans="1:22" x14ac:dyDescent="0.3">
      <c r="A7" s="1"/>
      <c r="B7" s="1"/>
      <c r="C7" s="1"/>
      <c r="D7" s="1"/>
      <c r="E7" s="1"/>
      <c r="F7" s="124" t="s">
        <v>41</v>
      </c>
      <c r="G7" s="133"/>
      <c r="H7" s="133"/>
      <c r="I7" s="133"/>
      <c r="J7" s="133">
        <f>J6+J5</f>
        <v>999696</v>
      </c>
      <c r="K7" s="133"/>
      <c r="L7" s="133"/>
      <c r="M7" s="133"/>
      <c r="N7" s="133"/>
      <c r="O7" s="133"/>
      <c r="P7" s="133"/>
      <c r="Q7" s="133"/>
      <c r="R7" s="133"/>
      <c r="S7" s="133"/>
      <c r="T7" s="133">
        <f>SUM(T2:T6)</f>
        <v>0</v>
      </c>
      <c r="U7" s="133"/>
      <c r="V7" s="133"/>
    </row>
  </sheetData>
  <mergeCells count="3">
    <mergeCell ref="A2:A4"/>
    <mergeCell ref="B2:B4"/>
    <mergeCell ref="C2: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HCL PO</vt:lpstr>
      <vt:lpstr>Pending PO</vt:lpstr>
      <vt:lpstr>DLF MALL</vt:lpstr>
      <vt:lpstr>Sheet1</vt:lpstr>
      <vt:lpstr>Satya Praksh</vt:lpstr>
      <vt:lpstr>HCL Sec-60</vt:lpstr>
      <vt:lpstr>8100014714</vt:lpstr>
      <vt:lpstr>Metlife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New Bharat</dc:creator>
  <cp:keywords/>
  <dc:description/>
  <cp:lastModifiedBy>Suresh Rawat</cp:lastModifiedBy>
  <cp:revision/>
  <cp:lastPrinted>2026-07-13T05:25:25Z</cp:lastPrinted>
  <dcterms:created xsi:type="dcterms:W3CDTF">2015-06-05T18:17:20Z</dcterms:created>
  <dcterms:modified xsi:type="dcterms:W3CDTF">2026-08-20T11:38:48Z</dcterms:modified>
  <cp:category/>
  <cp:contentStatus/>
</cp:coreProperties>
</file>